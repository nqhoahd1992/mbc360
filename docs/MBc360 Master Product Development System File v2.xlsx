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0" documentId="8_{4FF62350-5DFC-4795-A6FE-BABBB57812FE}" xr6:coauthVersionLast="47" xr6:coauthVersionMax="47" xr10:uidLastSave="{00000000-0000-0000-0000-000000000000}"/>
  <bookViews>
    <workbookView xWindow="0" yWindow="0" windowWidth="0" windowHeight="0" firstSheet="9" activeTab="11" xr2:uid="{00000000-000D-0000-FFFF-FFFF00000000}"/>
  </bookViews>
  <sheets>
    <sheet name="Introduction" sheetId="1" r:id="rId1"/>
    <sheet name="Guide To Using This Document" sheetId="2" r:id="rId2"/>
    <sheet name="Requirements" sheetId="3" r:id="rId3"/>
    <sheet name="Template_Index" sheetId="9" r:id="rId4"/>
    <sheet name="PHASE1 G1-3 MKTG" sheetId="4" r:id="rId5"/>
    <sheet name="PHASE2 G4-6 NPD" sheetId="5" r:id="rId6"/>
    <sheet name="PHASE3 G7-9 QUAL" sheetId="6" r:id="rId7"/>
    <sheet name="PHASE4 G10-12 REG" sheetId="7" r:id="rId8"/>
    <sheet name="Stage_Map" sheetId="8" r:id="rId9"/>
    <sheet name="Chris Needs Document" sheetId="56" r:id="rId10"/>
    <sheet name="Chris Ingredient Review" sheetId="57" r:id="rId11"/>
    <sheet name="NPD Front-End Roadmap" sheetId="58" r:id="rId12"/>
    <sheet name="1. Needs &amp; Scientific Basis" sheetId="59" r:id="rId13"/>
    <sheet name="2. Competitor Landscape" sheetId="60" r:id="rId14"/>
    <sheet name="3. Target Product &amp; Tech" sheetId="61" r:id="rId15"/>
    <sheet name="4. Evidence &amp; Claim Support" sheetId="62" r:id="rId16"/>
    <sheet name="5. Ingredient Monograph" sheetId="63" r:id="rId17"/>
    <sheet name="6. Evidence &amp; Search Rules" sheetId="64" r:id="rId18"/>
    <sheet name="Tuan-Formula_BOM" sheetId="11" r:id="rId19"/>
    <sheet name="Tuan-Batch_Formula_Trace" sheetId="36" r:id="rId20"/>
    <sheet name="Tuan-Formulation_Chg_Reg" sheetId="50" r:id="rId21"/>
    <sheet name="Tuan-Formula_Chg_Control" sheetId="45" r:id="rId22"/>
    <sheet name="Tuan-Product_Dev_Report" sheetId="53" r:id="rId23"/>
    <sheet name="Sekar-GMP_Links" sheetId="47" r:id="rId24"/>
    <sheet name="Sekar-Micro_PET_Evidence" sheetId="21" r:id="rId25"/>
    <sheet name="Sankar-Stability_Release" sheetId="22" r:id="rId26"/>
    <sheet name="George-Test_Report_Index" sheetId="35" r:id="rId27"/>
    <sheet name="George-Eye_Safety_Evid" sheetId="23" r:id="rId28"/>
    <sheet name="George-Product_Evid_Summ" sheetId="10" r:id="rId29"/>
    <sheet name="George-Formulation_Safety" sheetId="15" r:id="rId30"/>
    <sheet name="George-Mechanism_Claims" sheetId="24" r:id="rId31"/>
    <sheet name="George-Twinkle5_Claims" sheetId="25" r:id="rId32"/>
    <sheet name="George-Efficacy_Assur" sheetId="26" r:id="rId33"/>
    <sheet name="George-Functional_Effic" sheetId="27" r:id="rId34"/>
    <sheet name="George-Clinical_Human_Ev" sheetId="28" r:id="rId35"/>
    <sheet name="George-Study_Protocol" sheetId="29" r:id="rId36"/>
    <sheet name="George-Efficacy_Std_Plan" sheetId="30" r:id="rId37"/>
    <sheet name="George-Potency_Proc_Ctrl" sheetId="31" r:id="rId38"/>
    <sheet name="George-Medical_Summary" sheetId="33" r:id="rId39"/>
    <sheet name="ChiChu-Prohibited_Ingred" sheetId="16" r:id="rId40"/>
    <sheet name="ChiChu-PB_Caution_Limits" sheetId="17" r:id="rId41"/>
    <sheet name="ChiChu-Fragrance_Safety" sheetId="19" r:id="rId42"/>
    <sheet name="ChiChu-ASEAN_PIF_Map" sheetId="37" r:id="rId43"/>
    <sheet name="ChiChu-PIF_Checklist" sheetId="38" r:id="rId44"/>
    <sheet name="ChiChu-PIF_Evid_Export" sheetId="39" r:id="rId45"/>
    <sheet name="ChiChu-SKU_Claims_PIF" sheetId="40" r:id="rId46"/>
    <sheet name="ChiChu-PIF_Evid_Closure" sheetId="41" r:id="rId47"/>
    <sheet name="ChiChu-Published_Info_Ap" sheetId="42" r:id="rId48"/>
    <sheet name="Lily-Released_Label_Ctrl" sheetId="55" r:id="rId49"/>
    <sheet name="Lily-Packaging_BOM" sheetId="12" r:id="rId50"/>
    <sheet name="Lily-Packaging_Specs_Art" sheetId="20" r:id="rId51"/>
    <sheet name="Lily-Artwork_Chg_Control" sheetId="44" r:id="rId52"/>
    <sheet name="Chidkamon-Supplier_RM" sheetId="14" r:id="rId53"/>
    <sheet name="Chidkamon-Ingred_Substit" sheetId="18" r:id="rId54"/>
    <sheet name="Chidkamon-Prod_Family_Reg" sheetId="49" r:id="rId55"/>
    <sheet name="Nguyen-Campaigns_Social" sheetId="51" r:id="rId56"/>
    <sheet name="Nguyen-HCP_Efficacy_Ans" sheetId="32" r:id="rId57"/>
    <sheet name="Nguyen-HCP_Test_Rpt_Pack" sheetId="34" r:id="rId58"/>
    <sheet name="Nguyen-Product_Feedback" sheetId="52" r:id="rId59"/>
    <sheet name="Nguyen-Change_Ctrl_Comm" sheetId="43" r:id="rId60"/>
    <sheet name="Nguyen-Change_Templates" sheetId="46" r:id="rId61"/>
    <sheet name="Hannah-Costing_Calc" sheetId="13" r:id="rId62"/>
    <sheet name="Hannah-PostMarket_CAPA" sheetId="48" r:id="rId63"/>
    <sheet name="MBC360 FEEDBACK" sheetId="54" state="hidden" r:id="rId6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1" i="52" l="1"/>
  <c r="C70" i="52"/>
  <c r="C69" i="52"/>
  <c r="C68" i="52"/>
  <c r="C67" i="52"/>
  <c r="C66" i="52"/>
  <c r="C65" i="52"/>
  <c r="C64" i="52"/>
  <c r="C63" i="52"/>
  <c r="C62" i="52"/>
  <c r="S8" i="50"/>
  <c r="S57" i="50"/>
  <c r="S56" i="50"/>
  <c r="S55" i="50"/>
  <c r="S54" i="50"/>
  <c r="S53" i="50"/>
  <c r="S52" i="50"/>
  <c r="S51" i="50"/>
  <c r="S50" i="50"/>
  <c r="S49" i="50"/>
  <c r="S48" i="50"/>
  <c r="S47" i="50"/>
  <c r="S46" i="50"/>
  <c r="S45" i="50"/>
  <c r="S44" i="50"/>
  <c r="S43" i="50"/>
  <c r="S42" i="50"/>
  <c r="S41" i="50"/>
  <c r="S40" i="50"/>
  <c r="S39" i="50"/>
  <c r="S38" i="50"/>
  <c r="S37" i="50"/>
  <c r="S36" i="50"/>
  <c r="S35" i="50"/>
  <c r="S34" i="50"/>
  <c r="S33" i="50"/>
  <c r="S32" i="50"/>
  <c r="S31" i="50"/>
  <c r="S30" i="50"/>
  <c r="S29" i="50"/>
  <c r="S28" i="50"/>
  <c r="S27" i="50"/>
  <c r="S26" i="50"/>
  <c r="S25" i="50"/>
  <c r="S24" i="50"/>
  <c r="S23" i="50"/>
  <c r="S22" i="50"/>
  <c r="S21" i="50"/>
  <c r="S20" i="50"/>
  <c r="S19" i="50"/>
  <c r="S18" i="50"/>
  <c r="S17" i="50"/>
  <c r="S16" i="50"/>
  <c r="S15" i="50"/>
  <c r="S14" i="50"/>
  <c r="S13" i="50"/>
  <c r="S12" i="50"/>
  <c r="S11" i="50"/>
  <c r="S10" i="50"/>
  <c r="S9" i="50"/>
  <c r="B69" i="50"/>
  <c r="B62" i="50"/>
  <c r="E66" i="49"/>
  <c r="D66" i="49" a="1"/>
  <c r="D66" i="49" s="1"/>
  <c r="C66" i="49"/>
  <c r="B66" i="49"/>
  <c r="E65" i="49"/>
  <c r="D65" i="49" a="1"/>
  <c r="D65" i="49" s="1"/>
  <c r="C65" i="49"/>
  <c r="B65" i="49"/>
  <c r="E64" i="49"/>
  <c r="D64" i="49" a="1"/>
  <c r="D64" i="49" s="1"/>
  <c r="C64" i="49"/>
  <c r="B64" i="49"/>
  <c r="E63" i="49"/>
  <c r="D63" i="49" a="1"/>
  <c r="D63" i="49" s="1"/>
  <c r="C63" i="49"/>
  <c r="B63" i="49"/>
  <c r="E62" i="49"/>
  <c r="D62" i="49" a="1"/>
  <c r="D62" i="49" s="1"/>
  <c r="C62" i="49"/>
  <c r="B62" i="49"/>
  <c r="E61" i="49"/>
  <c r="D61" i="49" a="1"/>
  <c r="D61" i="49" s="1"/>
  <c r="C61" i="49"/>
  <c r="B61" i="49"/>
  <c r="E60" i="49"/>
  <c r="D60" i="49" a="1"/>
  <c r="D60" i="49" s="1"/>
  <c r="C60" i="49"/>
  <c r="B60" i="49"/>
  <c r="E59" i="49"/>
  <c r="D59" i="49" a="1"/>
  <c r="D59" i="49" s="1"/>
  <c r="C59" i="49"/>
  <c r="B59" i="49"/>
  <c r="E58" i="49"/>
  <c r="D58" i="49" a="1"/>
  <c r="D58" i="49" s="1"/>
  <c r="C58" i="49"/>
  <c r="B58" i="49"/>
  <c r="E57" i="49"/>
  <c r="D57" i="49" a="1"/>
  <c r="D57" i="49" s="1"/>
  <c r="C57" i="49"/>
  <c r="B57" i="49"/>
  <c r="E56" i="49"/>
  <c r="D56" i="49" a="1"/>
  <c r="D56" i="49" s="1"/>
  <c r="C56" i="49"/>
  <c r="B56" i="49"/>
  <c r="E55" i="49"/>
  <c r="D55" i="49" a="1"/>
  <c r="D55" i="49" s="1"/>
  <c r="C55" i="49"/>
  <c r="B55" i="49"/>
  <c r="E54" i="49"/>
  <c r="D54" i="49" a="1"/>
  <c r="D54" i="49" s="1"/>
  <c r="C54" i="49"/>
  <c r="B54" i="49"/>
  <c r="E53" i="49"/>
  <c r="D53" i="49" a="1"/>
  <c r="D53" i="49" s="1"/>
  <c r="C53" i="49"/>
  <c r="B53" i="49"/>
  <c r="E52" i="49"/>
  <c r="D52" i="49" a="1"/>
  <c r="D52" i="49"/>
  <c r="C52" i="49"/>
  <c r="B52" i="49"/>
  <c r="G19" i="16"/>
  <c r="H19" i="16" s="1"/>
  <c r="G18" i="16"/>
  <c r="H18" i="16" s="1"/>
  <c r="G17" i="16"/>
  <c r="H17" i="16" s="1"/>
  <c r="G16" i="16"/>
  <c r="H16" i="16" s="1"/>
  <c r="G15" i="16"/>
  <c r="H15" i="16" s="1"/>
  <c r="G14" i="16"/>
  <c r="H14" i="16" s="1"/>
  <c r="G13" i="16"/>
  <c r="H13" i="16" s="1"/>
  <c r="G12" i="16"/>
  <c r="H12" i="16" s="1"/>
  <c r="G11" i="16"/>
  <c r="H11" i="16" s="1"/>
  <c r="G10" i="16"/>
  <c r="H10" i="16" s="1"/>
  <c r="G9" i="16"/>
  <c r="H9" i="16" s="1"/>
  <c r="G8" i="16"/>
  <c r="H8" i="16" s="1"/>
  <c r="E64" i="15"/>
  <c r="D64" i="15"/>
  <c r="C64" i="15"/>
  <c r="B64" i="15"/>
  <c r="A64" i="15"/>
  <c r="E63" i="15"/>
  <c r="D63" i="15"/>
  <c r="C63" i="15"/>
  <c r="B63" i="15"/>
  <c r="A63" i="15"/>
  <c r="E62" i="15"/>
  <c r="D62" i="15"/>
  <c r="C62" i="15"/>
  <c r="B62" i="15"/>
  <c r="A62" i="15"/>
  <c r="E61" i="15"/>
  <c r="D61" i="15"/>
  <c r="C61" i="15"/>
  <c r="B61" i="15"/>
  <c r="A61" i="15"/>
  <c r="E60" i="15"/>
  <c r="D60" i="15"/>
  <c r="C60" i="15"/>
  <c r="B60" i="15"/>
  <c r="A60" i="15"/>
  <c r="E59" i="15"/>
  <c r="D59" i="15"/>
  <c r="C59" i="15"/>
  <c r="B59" i="15"/>
  <c r="A59" i="15"/>
  <c r="E58" i="15"/>
  <c r="D58" i="15"/>
  <c r="C58" i="15"/>
  <c r="B58" i="15"/>
  <c r="A58" i="15"/>
  <c r="E57" i="15"/>
  <c r="D57" i="15"/>
  <c r="C57" i="15"/>
  <c r="B57" i="15"/>
  <c r="A57" i="15"/>
  <c r="E56" i="15"/>
  <c r="D56" i="15"/>
  <c r="C56" i="15"/>
  <c r="B56" i="15"/>
  <c r="A56" i="15"/>
  <c r="E55" i="15"/>
  <c r="D55" i="15"/>
  <c r="C55" i="15"/>
  <c r="B55" i="15"/>
  <c r="A55" i="15"/>
  <c r="E54" i="15"/>
  <c r="D54" i="15"/>
  <c r="C54" i="15"/>
  <c r="B54" i="15"/>
  <c r="A54" i="15"/>
  <c r="E53" i="15"/>
  <c r="D53" i="15"/>
  <c r="C53" i="15"/>
  <c r="B53" i="15"/>
  <c r="A53" i="15"/>
  <c r="E52" i="15"/>
  <c r="D52" i="15"/>
  <c r="C52" i="15"/>
  <c r="B52" i="15"/>
  <c r="A52" i="15"/>
  <c r="E51" i="15"/>
  <c r="D51" i="15"/>
  <c r="C51" i="15"/>
  <c r="B51" i="15"/>
  <c r="A51" i="15"/>
  <c r="E50" i="15"/>
  <c r="D50" i="15"/>
  <c r="C50" i="15"/>
  <c r="B50" i="15"/>
  <c r="A50" i="15"/>
  <c r="E49" i="15"/>
  <c r="D49" i="15"/>
  <c r="C49" i="15"/>
  <c r="B49" i="15"/>
  <c r="A49" i="15"/>
  <c r="E48" i="15"/>
  <c r="D48" i="15"/>
  <c r="C48" i="15"/>
  <c r="B48" i="15"/>
  <c r="A48" i="15"/>
  <c r="E47" i="15"/>
  <c r="D47" i="15"/>
  <c r="C47" i="15"/>
  <c r="B47" i="15"/>
  <c r="A47" i="15"/>
  <c r="E46" i="15"/>
  <c r="D46" i="15"/>
  <c r="C46" i="15"/>
  <c r="B46" i="15"/>
  <c r="A46" i="15"/>
  <c r="E45" i="15"/>
  <c r="D45" i="15"/>
  <c r="C45" i="15"/>
  <c r="B45" i="15"/>
  <c r="A45" i="15"/>
  <c r="E44" i="15"/>
  <c r="D44" i="15"/>
  <c r="C44" i="15"/>
  <c r="B44" i="15"/>
  <c r="A44" i="15"/>
  <c r="E43" i="15"/>
  <c r="D43" i="15"/>
  <c r="C43" i="15"/>
  <c r="B43" i="15"/>
  <c r="A43" i="15"/>
  <c r="E42" i="15"/>
  <c r="D42" i="15"/>
  <c r="C42" i="15"/>
  <c r="B42" i="15"/>
  <c r="A42" i="15"/>
  <c r="E41" i="15"/>
  <c r="D41" i="15"/>
  <c r="C41" i="15"/>
  <c r="B41" i="15"/>
  <c r="A41" i="15"/>
  <c r="E40" i="15"/>
  <c r="D40" i="15"/>
  <c r="C40" i="15"/>
  <c r="B40" i="15"/>
  <c r="A40" i="15"/>
  <c r="E39" i="15"/>
  <c r="D39" i="15"/>
  <c r="C39" i="15"/>
  <c r="B39" i="15"/>
  <c r="A39" i="15"/>
  <c r="E38" i="15"/>
  <c r="D38" i="15"/>
  <c r="C38" i="15"/>
  <c r="B38" i="15"/>
  <c r="A38" i="15"/>
  <c r="E37" i="15"/>
  <c r="D37" i="15"/>
  <c r="C37" i="15"/>
  <c r="B37" i="15"/>
  <c r="A37" i="15"/>
  <c r="E36" i="15"/>
  <c r="D36" i="15"/>
  <c r="C36" i="15"/>
  <c r="B36" i="15"/>
  <c r="A36" i="15"/>
  <c r="E35" i="15"/>
  <c r="D35" i="15"/>
  <c r="C35" i="15"/>
  <c r="B35" i="15"/>
  <c r="A35" i="15"/>
  <c r="E34" i="15"/>
  <c r="D34" i="15"/>
  <c r="C34" i="15"/>
  <c r="B34" i="15"/>
  <c r="A34" i="15"/>
  <c r="E33" i="15"/>
  <c r="D33" i="15"/>
  <c r="C33" i="15"/>
  <c r="B33" i="15"/>
  <c r="A33" i="15"/>
  <c r="E32" i="15"/>
  <c r="D32" i="15"/>
  <c r="C32" i="15"/>
  <c r="B32" i="15"/>
  <c r="A32" i="15"/>
  <c r="E31" i="15"/>
  <c r="D31" i="15"/>
  <c r="C31" i="15"/>
  <c r="B31" i="15"/>
  <c r="A31" i="15"/>
  <c r="E30" i="15"/>
  <c r="D30" i="15"/>
  <c r="C30" i="15"/>
  <c r="B30" i="15"/>
  <c r="A30" i="15"/>
  <c r="E29" i="15"/>
  <c r="D29" i="15"/>
  <c r="C29" i="15"/>
  <c r="B29" i="15"/>
  <c r="A29" i="15"/>
  <c r="E28" i="15"/>
  <c r="D28" i="15"/>
  <c r="C28" i="15"/>
  <c r="B28" i="15"/>
  <c r="A28" i="15"/>
  <c r="E27" i="15"/>
  <c r="D27" i="15"/>
  <c r="C27" i="15"/>
  <c r="B27" i="15"/>
  <c r="A27" i="15"/>
  <c r="E26" i="15"/>
  <c r="D26" i="15"/>
  <c r="C26" i="15"/>
  <c r="B26" i="15"/>
  <c r="A26" i="15"/>
  <c r="E25" i="15"/>
  <c r="D25" i="15"/>
  <c r="C25" i="15"/>
  <c r="B25" i="15"/>
  <c r="A25" i="15"/>
  <c r="E24" i="15"/>
  <c r="D24" i="15"/>
  <c r="C24" i="15"/>
  <c r="B24" i="15"/>
  <c r="A24" i="15"/>
  <c r="E23" i="15"/>
  <c r="D23" i="15"/>
  <c r="C23" i="15"/>
  <c r="B23" i="15"/>
  <c r="A23" i="15"/>
  <c r="E22" i="15"/>
  <c r="D22" i="15"/>
  <c r="C22" i="15"/>
  <c r="B22" i="15"/>
  <c r="A22" i="15"/>
  <c r="E21" i="15"/>
  <c r="D21" i="15"/>
  <c r="C21" i="15"/>
  <c r="B21" i="15"/>
  <c r="A21" i="15"/>
  <c r="E20" i="15"/>
  <c r="D20" i="15"/>
  <c r="C20" i="15"/>
  <c r="B20" i="15"/>
  <c r="A20" i="15"/>
  <c r="E19" i="15"/>
  <c r="D19" i="15"/>
  <c r="C19" i="15"/>
  <c r="B19" i="15"/>
  <c r="A19" i="15"/>
  <c r="E18" i="15"/>
  <c r="D18" i="15"/>
  <c r="C18" i="15"/>
  <c r="B18" i="15"/>
  <c r="A18" i="15"/>
  <c r="E17" i="15"/>
  <c r="D17" i="15"/>
  <c r="C17" i="15"/>
  <c r="B17" i="15"/>
  <c r="A17" i="15"/>
  <c r="E16" i="15"/>
  <c r="D16" i="15"/>
  <c r="C16" i="15"/>
  <c r="B16" i="15"/>
  <c r="A16" i="15"/>
  <c r="E15" i="15"/>
  <c r="D15" i="15"/>
  <c r="C15" i="15"/>
  <c r="B15" i="15"/>
  <c r="A15" i="15"/>
  <c r="B23" i="13"/>
  <c r="H107" i="12"/>
  <c r="H106" i="12"/>
  <c r="H105" i="12"/>
  <c r="H104" i="12"/>
  <c r="H103" i="12"/>
  <c r="H102" i="12"/>
  <c r="H101" i="12"/>
  <c r="H100" i="12"/>
  <c r="H99" i="12"/>
  <c r="H98" i="12"/>
  <c r="H97" i="12"/>
  <c r="H96" i="12"/>
  <c r="H95" i="12"/>
  <c r="H94" i="12"/>
  <c r="H93" i="12"/>
  <c r="H92" i="12"/>
  <c r="H91" i="12"/>
  <c r="H90" i="12"/>
  <c r="H89" i="12"/>
  <c r="H88" i="12"/>
  <c r="H87" i="12"/>
  <c r="H86" i="12"/>
  <c r="H85" i="12"/>
  <c r="H84" i="12"/>
  <c r="H83" i="12"/>
  <c r="H82" i="12"/>
  <c r="H81" i="12"/>
  <c r="H80" i="12"/>
  <c r="H79" i="12"/>
  <c r="H78" i="12"/>
  <c r="H77" i="12"/>
  <c r="H76" i="12"/>
  <c r="H75" i="12"/>
  <c r="H74" i="12"/>
  <c r="H73" i="12"/>
  <c r="H72" i="12"/>
  <c r="H71" i="12"/>
  <c r="H70" i="12"/>
  <c r="H69" i="12"/>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109" i="12" s="1"/>
  <c r="B12" i="13" s="1"/>
  <c r="G107" i="11"/>
  <c r="H107" i="11" s="1"/>
  <c r="J107" i="11" s="1"/>
  <c r="K107" i="11" s="1"/>
  <c r="G106" i="11"/>
  <c r="H106" i="11" s="1"/>
  <c r="J106" i="11" s="1"/>
  <c r="K106" i="11" s="1"/>
  <c r="G105" i="11"/>
  <c r="H105" i="11" s="1"/>
  <c r="J105" i="11" s="1"/>
  <c r="K105" i="11" s="1"/>
  <c r="G104" i="11"/>
  <c r="H104" i="11" s="1"/>
  <c r="J104" i="11" s="1"/>
  <c r="K104" i="11" s="1"/>
  <c r="G103" i="11"/>
  <c r="H103" i="11" s="1"/>
  <c r="J103" i="11" s="1"/>
  <c r="K103" i="11" s="1"/>
  <c r="G102" i="11"/>
  <c r="H102" i="11" s="1"/>
  <c r="J102" i="11" s="1"/>
  <c r="K102" i="11" s="1"/>
  <c r="G101" i="11"/>
  <c r="H101" i="11" s="1"/>
  <c r="J101" i="11" s="1"/>
  <c r="K101" i="11" s="1"/>
  <c r="G100" i="11"/>
  <c r="H100" i="11" s="1"/>
  <c r="J100" i="11" s="1"/>
  <c r="K100" i="11" s="1"/>
  <c r="G99" i="11"/>
  <c r="H99" i="11" s="1"/>
  <c r="J99" i="11" s="1"/>
  <c r="K99" i="11" s="1"/>
  <c r="G98" i="11"/>
  <c r="H98" i="11" s="1"/>
  <c r="J98" i="11" s="1"/>
  <c r="K98" i="11" s="1"/>
  <c r="G97" i="11"/>
  <c r="H97" i="11" s="1"/>
  <c r="J97" i="11" s="1"/>
  <c r="K97" i="11" s="1"/>
  <c r="G96" i="11"/>
  <c r="H96" i="11" s="1"/>
  <c r="J96" i="11" s="1"/>
  <c r="K96" i="11" s="1"/>
  <c r="G95" i="11"/>
  <c r="H95" i="11" s="1"/>
  <c r="J95" i="11" s="1"/>
  <c r="K95" i="11" s="1"/>
  <c r="G94" i="11"/>
  <c r="H94" i="11" s="1"/>
  <c r="J94" i="11" s="1"/>
  <c r="K94" i="11" s="1"/>
  <c r="G93" i="11"/>
  <c r="H93" i="11" s="1"/>
  <c r="J93" i="11" s="1"/>
  <c r="K93" i="11" s="1"/>
  <c r="G92" i="11"/>
  <c r="H92" i="11" s="1"/>
  <c r="J92" i="11" s="1"/>
  <c r="K92" i="11" s="1"/>
  <c r="G91" i="11"/>
  <c r="H91" i="11" s="1"/>
  <c r="J91" i="11" s="1"/>
  <c r="K91" i="11" s="1"/>
  <c r="G90" i="11"/>
  <c r="H90" i="11" s="1"/>
  <c r="J90" i="11" s="1"/>
  <c r="K90" i="11" s="1"/>
  <c r="G89" i="11"/>
  <c r="H89" i="11" s="1"/>
  <c r="J89" i="11" s="1"/>
  <c r="K89" i="11" s="1"/>
  <c r="G88" i="11"/>
  <c r="H88" i="11" s="1"/>
  <c r="J88" i="11" s="1"/>
  <c r="K88" i="11" s="1"/>
  <c r="G87" i="11"/>
  <c r="H87" i="11" s="1"/>
  <c r="J87" i="11" s="1"/>
  <c r="K87" i="11" s="1"/>
  <c r="G86" i="11"/>
  <c r="H86" i="11" s="1"/>
  <c r="J86" i="11" s="1"/>
  <c r="K86" i="11" s="1"/>
  <c r="G85" i="11"/>
  <c r="H85" i="11" s="1"/>
  <c r="J85" i="11" s="1"/>
  <c r="K85" i="11" s="1"/>
  <c r="G84" i="11"/>
  <c r="H84" i="11" s="1"/>
  <c r="J84" i="11" s="1"/>
  <c r="K84" i="11" s="1"/>
  <c r="G83" i="11"/>
  <c r="H83" i="11" s="1"/>
  <c r="J83" i="11" s="1"/>
  <c r="K83" i="11" s="1"/>
  <c r="G82" i="11"/>
  <c r="H82" i="11" s="1"/>
  <c r="J82" i="11" s="1"/>
  <c r="K82" i="11" s="1"/>
  <c r="G81" i="11"/>
  <c r="H81" i="11" s="1"/>
  <c r="J81" i="11" s="1"/>
  <c r="K81" i="11" s="1"/>
  <c r="G80" i="11"/>
  <c r="H80" i="11" s="1"/>
  <c r="J80" i="11" s="1"/>
  <c r="K80" i="11" s="1"/>
  <c r="G79" i="11"/>
  <c r="H79" i="11" s="1"/>
  <c r="J79" i="11" s="1"/>
  <c r="K79" i="11" s="1"/>
  <c r="G78" i="11"/>
  <c r="H78" i="11" s="1"/>
  <c r="J78" i="11" s="1"/>
  <c r="K78" i="11" s="1"/>
  <c r="G77" i="11"/>
  <c r="H77" i="11" s="1"/>
  <c r="J77" i="11" s="1"/>
  <c r="K77" i="11" s="1"/>
  <c r="G76" i="11"/>
  <c r="H76" i="11" s="1"/>
  <c r="J76" i="11" s="1"/>
  <c r="K76" i="11" s="1"/>
  <c r="G75" i="11"/>
  <c r="H75" i="11" s="1"/>
  <c r="J75" i="11" s="1"/>
  <c r="K75" i="11" s="1"/>
  <c r="G74" i="11"/>
  <c r="H74" i="11" s="1"/>
  <c r="J74" i="11" s="1"/>
  <c r="K74" i="11" s="1"/>
  <c r="G73" i="11"/>
  <c r="H73" i="11" s="1"/>
  <c r="J73" i="11" s="1"/>
  <c r="K73" i="11" s="1"/>
  <c r="G72" i="11"/>
  <c r="H72" i="11" s="1"/>
  <c r="J72" i="11" s="1"/>
  <c r="K72" i="11" s="1"/>
  <c r="G71" i="11"/>
  <c r="H71" i="11" s="1"/>
  <c r="J71" i="11" s="1"/>
  <c r="K71" i="11" s="1"/>
  <c r="G70" i="11"/>
  <c r="H70" i="11" s="1"/>
  <c r="J70" i="11" s="1"/>
  <c r="K70" i="11" s="1"/>
  <c r="G69" i="11"/>
  <c r="H69" i="11" s="1"/>
  <c r="J69" i="11" s="1"/>
  <c r="K69" i="11" s="1"/>
  <c r="G68" i="11"/>
  <c r="H68" i="11" s="1"/>
  <c r="J68" i="11" s="1"/>
  <c r="K68" i="11" s="1"/>
  <c r="G67" i="11"/>
  <c r="H67" i="11" s="1"/>
  <c r="J67" i="11" s="1"/>
  <c r="K67" i="11" s="1"/>
  <c r="G66" i="11"/>
  <c r="H66" i="11" s="1"/>
  <c r="J66" i="11" s="1"/>
  <c r="K66" i="11" s="1"/>
  <c r="G65" i="11"/>
  <c r="H65" i="11" s="1"/>
  <c r="J65" i="11" s="1"/>
  <c r="K65" i="11" s="1"/>
  <c r="G64" i="11"/>
  <c r="H64" i="11" s="1"/>
  <c r="J64" i="11" s="1"/>
  <c r="K64" i="11" s="1"/>
  <c r="G63" i="11"/>
  <c r="H63" i="11" s="1"/>
  <c r="J63" i="11" s="1"/>
  <c r="K63" i="11" s="1"/>
  <c r="G62" i="11"/>
  <c r="H62" i="11" s="1"/>
  <c r="J62" i="11" s="1"/>
  <c r="K62" i="11" s="1"/>
  <c r="G61" i="11"/>
  <c r="H61" i="11" s="1"/>
  <c r="J61" i="11" s="1"/>
  <c r="K61" i="11" s="1"/>
  <c r="G60" i="11"/>
  <c r="H60" i="11" s="1"/>
  <c r="J60" i="11" s="1"/>
  <c r="K60" i="11" s="1"/>
  <c r="G59" i="11"/>
  <c r="H59" i="11" s="1"/>
  <c r="J59" i="11" s="1"/>
  <c r="K59" i="11" s="1"/>
  <c r="G58" i="11"/>
  <c r="H58" i="11" s="1"/>
  <c r="J58" i="11" s="1"/>
  <c r="K58" i="11" s="1"/>
  <c r="G57" i="11"/>
  <c r="H57" i="11" s="1"/>
  <c r="J57" i="11" s="1"/>
  <c r="K57" i="11" s="1"/>
  <c r="G56" i="11"/>
  <c r="H56" i="11" s="1"/>
  <c r="J56" i="11" s="1"/>
  <c r="K56" i="11" s="1"/>
  <c r="G55" i="11"/>
  <c r="H55" i="11" s="1"/>
  <c r="J55" i="11" s="1"/>
  <c r="K55" i="11" s="1"/>
  <c r="G54" i="11"/>
  <c r="H54" i="11" s="1"/>
  <c r="J54" i="11" s="1"/>
  <c r="K54" i="11" s="1"/>
  <c r="G53" i="11"/>
  <c r="H53" i="11" s="1"/>
  <c r="J53" i="11" s="1"/>
  <c r="K53" i="11" s="1"/>
  <c r="G52" i="11"/>
  <c r="H52" i="11" s="1"/>
  <c r="J52" i="11" s="1"/>
  <c r="K52" i="11" s="1"/>
  <c r="G51" i="11"/>
  <c r="H51" i="11" s="1"/>
  <c r="J51" i="11" s="1"/>
  <c r="K51" i="11" s="1"/>
  <c r="G50" i="11"/>
  <c r="H50" i="11" s="1"/>
  <c r="J50" i="11" s="1"/>
  <c r="K50" i="11" s="1"/>
  <c r="G49" i="11"/>
  <c r="H49" i="11" s="1"/>
  <c r="J49" i="11" s="1"/>
  <c r="K49" i="11" s="1"/>
  <c r="G48" i="11"/>
  <c r="H48" i="11" s="1"/>
  <c r="J48" i="11" s="1"/>
  <c r="K48" i="11" s="1"/>
  <c r="G47" i="11"/>
  <c r="H47" i="11" s="1"/>
  <c r="J47" i="11" s="1"/>
  <c r="K47" i="11" s="1"/>
  <c r="G46" i="11"/>
  <c r="H46" i="11" s="1"/>
  <c r="J46" i="11" s="1"/>
  <c r="K46" i="11" s="1"/>
  <c r="G45" i="11"/>
  <c r="H45" i="11" s="1"/>
  <c r="J45" i="11" s="1"/>
  <c r="K45" i="11" s="1"/>
  <c r="G44" i="11"/>
  <c r="H44" i="11" s="1"/>
  <c r="J44" i="11" s="1"/>
  <c r="K44" i="11" s="1"/>
  <c r="G43" i="11"/>
  <c r="H43" i="11" s="1"/>
  <c r="J43" i="11" s="1"/>
  <c r="K43" i="11" s="1"/>
  <c r="G42" i="11"/>
  <c r="H42" i="11" s="1"/>
  <c r="J42" i="11" s="1"/>
  <c r="K42" i="11" s="1"/>
  <c r="G41" i="11"/>
  <c r="H41" i="11" s="1"/>
  <c r="J41" i="11" s="1"/>
  <c r="K41" i="11" s="1"/>
  <c r="G40" i="11"/>
  <c r="H40" i="11" s="1"/>
  <c r="J40" i="11" s="1"/>
  <c r="K40" i="11" s="1"/>
  <c r="G39" i="11"/>
  <c r="H39" i="11" s="1"/>
  <c r="J39" i="11" s="1"/>
  <c r="K39" i="11" s="1"/>
  <c r="G38" i="11"/>
  <c r="H38" i="11" s="1"/>
  <c r="J38" i="11" s="1"/>
  <c r="K38" i="11" s="1"/>
  <c r="G37" i="11"/>
  <c r="H37" i="11" s="1"/>
  <c r="J37" i="11" s="1"/>
  <c r="K37" i="11" s="1"/>
  <c r="G36" i="11"/>
  <c r="H36" i="11" s="1"/>
  <c r="J36" i="11" s="1"/>
  <c r="K36" i="11" s="1"/>
  <c r="G35" i="11"/>
  <c r="H35" i="11" s="1"/>
  <c r="J35" i="11" s="1"/>
  <c r="K35" i="11" s="1"/>
  <c r="G34" i="11"/>
  <c r="H34" i="11" s="1"/>
  <c r="J34" i="11" s="1"/>
  <c r="K34" i="11" s="1"/>
  <c r="G33" i="11"/>
  <c r="H33" i="11" s="1"/>
  <c r="J33" i="11" s="1"/>
  <c r="K33" i="11" s="1"/>
  <c r="G32" i="11"/>
  <c r="H32" i="11" s="1"/>
  <c r="J32" i="11" s="1"/>
  <c r="K32" i="11" s="1"/>
  <c r="G31" i="11"/>
  <c r="H31" i="11" s="1"/>
  <c r="J31" i="11" s="1"/>
  <c r="K31" i="11" s="1"/>
  <c r="G30" i="11"/>
  <c r="H30" i="11" s="1"/>
  <c r="J30" i="11" s="1"/>
  <c r="K30" i="11" s="1"/>
  <c r="G29" i="11"/>
  <c r="H29" i="11" s="1"/>
  <c r="J29" i="11" s="1"/>
  <c r="K29" i="11" s="1"/>
  <c r="G28" i="11"/>
  <c r="H28" i="11" s="1"/>
  <c r="J28" i="11" s="1"/>
  <c r="K28" i="11" s="1"/>
  <c r="G27" i="11"/>
  <c r="H27" i="11" s="1"/>
  <c r="J27" i="11" s="1"/>
  <c r="K27" i="11" s="1"/>
  <c r="G26" i="11"/>
  <c r="H26" i="11" s="1"/>
  <c r="J26" i="11" s="1"/>
  <c r="K26" i="11" s="1"/>
  <c r="G25" i="11"/>
  <c r="H25" i="11" s="1"/>
  <c r="J25" i="11" s="1"/>
  <c r="K25" i="11" s="1"/>
  <c r="G24" i="11"/>
  <c r="H24" i="11" s="1"/>
  <c r="J24" i="11" s="1"/>
  <c r="K24" i="11" s="1"/>
  <c r="G23" i="11"/>
  <c r="H23" i="11" s="1"/>
  <c r="J23" i="11" s="1"/>
  <c r="K23" i="11" s="1"/>
  <c r="G22" i="11"/>
  <c r="H22" i="11" s="1"/>
  <c r="J22" i="11" s="1"/>
  <c r="K22" i="11" s="1"/>
  <c r="G21" i="11"/>
  <c r="H21" i="11" s="1"/>
  <c r="J21" i="11" s="1"/>
  <c r="K21" i="11" s="1"/>
  <c r="G20" i="11"/>
  <c r="H20" i="11" s="1"/>
  <c r="J20" i="11" s="1"/>
  <c r="K20" i="11" s="1"/>
  <c r="G19" i="11"/>
  <c r="H19" i="11" s="1"/>
  <c r="J19" i="11" s="1"/>
  <c r="K19" i="11" s="1"/>
  <c r="G18" i="11"/>
  <c r="H18" i="11" s="1"/>
  <c r="J18" i="11" s="1"/>
  <c r="K18" i="11" s="1"/>
  <c r="G17" i="11"/>
  <c r="H17" i="11" s="1"/>
  <c r="J17" i="11" s="1"/>
  <c r="K17" i="11" s="1"/>
  <c r="G16" i="11"/>
  <c r="H16" i="11" s="1"/>
  <c r="J16" i="11" s="1"/>
  <c r="K16" i="11" s="1"/>
  <c r="G15" i="11"/>
  <c r="H15" i="11" s="1"/>
  <c r="J15" i="11" s="1"/>
  <c r="K15" i="11" s="1"/>
  <c r="G14" i="11"/>
  <c r="H14" i="11" s="1"/>
  <c r="J14" i="11" s="1"/>
  <c r="K14" i="11" s="1"/>
  <c r="G13" i="11"/>
  <c r="H13" i="11" s="1"/>
  <c r="J13" i="11" s="1"/>
  <c r="K13" i="11" s="1"/>
  <c r="G12" i="11"/>
  <c r="H12" i="11" s="1"/>
  <c r="J12" i="11" s="1"/>
  <c r="K12" i="11" s="1"/>
  <c r="G11" i="11"/>
  <c r="H11" i="11" s="1"/>
  <c r="J11" i="11" s="1"/>
  <c r="K11" i="11" s="1"/>
  <c r="G10" i="11"/>
  <c r="H10" i="11" s="1"/>
  <c r="J10" i="11" s="1"/>
  <c r="K10" i="11" s="1"/>
  <c r="G9" i="11"/>
  <c r="H9" i="11" s="1"/>
  <c r="J9" i="11" s="1"/>
  <c r="K9" i="11" s="1"/>
  <c r="G8" i="11"/>
  <c r="H8" i="11" s="1"/>
  <c r="J8" i="11" s="1"/>
  <c r="K8" i="11" s="1"/>
  <c r="B68" i="50" l="1"/>
  <c r="B67" i="50"/>
  <c r="B66" i="50"/>
  <c r="B65" i="50"/>
  <c r="B64" i="50"/>
  <c r="B63" i="50"/>
  <c r="B11" i="13"/>
  <c r="B21" i="13" s="1"/>
  <c r="K109" i="11"/>
  <c r="M15" i="15"/>
  <c r="G15" i="15"/>
  <c r="F15" i="15"/>
  <c r="M16" i="15"/>
  <c r="G16" i="15"/>
  <c r="F16" i="15"/>
  <c r="M17" i="15"/>
  <c r="G17" i="15"/>
  <c r="F17" i="15"/>
  <c r="M18" i="15"/>
  <c r="G18" i="15"/>
  <c r="F18" i="15"/>
  <c r="M19" i="15"/>
  <c r="G19" i="15"/>
  <c r="F19" i="15"/>
  <c r="M20" i="15"/>
  <c r="G20" i="15"/>
  <c r="F20" i="15"/>
  <c r="M21" i="15"/>
  <c r="G21" i="15"/>
  <c r="F21" i="15"/>
  <c r="M22" i="15"/>
  <c r="G22" i="15"/>
  <c r="F22" i="15"/>
  <c r="M23" i="15"/>
  <c r="G23" i="15"/>
  <c r="F23" i="15"/>
  <c r="M24" i="15"/>
  <c r="G24" i="15"/>
  <c r="F24" i="15"/>
  <c r="M25" i="15"/>
  <c r="G25" i="15"/>
  <c r="F25" i="15"/>
  <c r="M26" i="15"/>
  <c r="G26" i="15"/>
  <c r="F26" i="15"/>
  <c r="M27" i="15"/>
  <c r="G27" i="15"/>
  <c r="F27" i="15"/>
  <c r="M28" i="15"/>
  <c r="G28" i="15"/>
  <c r="F28" i="15"/>
  <c r="M29" i="15"/>
  <c r="G29" i="15"/>
  <c r="F29" i="15"/>
  <c r="M30" i="15"/>
  <c r="G30" i="15"/>
  <c r="F30" i="15"/>
  <c r="M31" i="15"/>
  <c r="G31" i="15"/>
  <c r="F31" i="15"/>
  <c r="M32" i="15"/>
  <c r="G32" i="15"/>
  <c r="F32" i="15"/>
  <c r="M33" i="15"/>
  <c r="G33" i="15"/>
  <c r="F33" i="15"/>
  <c r="M34" i="15"/>
  <c r="G34" i="15"/>
  <c r="F34" i="15"/>
  <c r="M35" i="15"/>
  <c r="G35" i="15"/>
  <c r="F35" i="15"/>
  <c r="M36" i="15"/>
  <c r="G36" i="15"/>
  <c r="F36" i="15"/>
  <c r="M37" i="15"/>
  <c r="G37" i="15"/>
  <c r="F37" i="15"/>
  <c r="M38" i="15"/>
  <c r="G38" i="15"/>
  <c r="F38" i="15"/>
  <c r="M39" i="15"/>
  <c r="G39" i="15"/>
  <c r="F39" i="15"/>
  <c r="M40" i="15"/>
  <c r="G40" i="15"/>
  <c r="F40" i="15"/>
  <c r="M41" i="15"/>
  <c r="G41" i="15"/>
  <c r="F41" i="15"/>
  <c r="M42" i="15"/>
  <c r="G42" i="15"/>
  <c r="F42" i="15"/>
  <c r="M43" i="15"/>
  <c r="G43" i="15"/>
  <c r="F43" i="15"/>
  <c r="M44" i="15"/>
  <c r="G44" i="15"/>
  <c r="F44" i="15"/>
  <c r="M45" i="15"/>
  <c r="G45" i="15"/>
  <c r="F45" i="15"/>
  <c r="M46" i="15"/>
  <c r="G46" i="15"/>
  <c r="F46" i="15"/>
  <c r="M47" i="15"/>
  <c r="G47" i="15"/>
  <c r="F47" i="15"/>
  <c r="M48" i="15"/>
  <c r="G48" i="15"/>
  <c r="F48" i="15"/>
  <c r="M49" i="15"/>
  <c r="G49" i="15"/>
  <c r="F49" i="15"/>
  <c r="M50" i="15"/>
  <c r="G50" i="15"/>
  <c r="F50" i="15"/>
  <c r="M51" i="15"/>
  <c r="G51" i="15"/>
  <c r="F51" i="15"/>
  <c r="M52" i="15"/>
  <c r="G52" i="15"/>
  <c r="F52" i="15"/>
  <c r="M53" i="15"/>
  <c r="G53" i="15"/>
  <c r="F53" i="15"/>
  <c r="M54" i="15"/>
  <c r="G54" i="15"/>
  <c r="F54" i="15"/>
  <c r="M55" i="15"/>
  <c r="G55" i="15"/>
  <c r="F55" i="15"/>
  <c r="M56" i="15"/>
  <c r="G56" i="15"/>
  <c r="F56" i="15"/>
  <c r="M57" i="15"/>
  <c r="G57" i="15"/>
  <c r="F57" i="15"/>
  <c r="M58" i="15"/>
  <c r="G58" i="15"/>
  <c r="F58" i="15"/>
  <c r="M59" i="15"/>
  <c r="G59" i="15"/>
  <c r="F59" i="15"/>
  <c r="M60" i="15"/>
  <c r="G60" i="15"/>
  <c r="F60" i="15"/>
  <c r="M61" i="15"/>
  <c r="G61" i="15"/>
  <c r="F61" i="15"/>
  <c r="M62" i="15"/>
  <c r="G62" i="15"/>
  <c r="F62" i="15"/>
  <c r="M63" i="15"/>
  <c r="G63" i="15"/>
  <c r="F63" i="15"/>
  <c r="M64" i="15"/>
  <c r="G64" i="15"/>
  <c r="F64" i="15"/>
  <c r="B24" i="13" l="1"/>
  <c r="B22"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<sst xmlns="http://schemas.openxmlformats.org/spreadsheetml/2006/main" count="6114" uniqueCount="3069">
  <si>
    <t>MBc360 Development &amp; Quality System</t>
  </si>
  <si>
    <t>Topic</t>
  </si>
  <si>
    <t>Instruction</t>
  </si>
  <si>
    <t>Purpose</t>
  </si>
  <si>
    <t>This workbook is the controlled project evidence record for MBc360. It now includes the product-development lifecycle, Skincare for Two checks, PIF mapping, study approvals and HCP/distributor evidence outputs.</t>
  </si>
  <si>
    <t>How to select multiple options</t>
  </si>
  <si>
    <t>Use the one-click checkbox cells. Multiple checkboxes can be selected in each section.</t>
  </si>
  <si>
    <t>How to use dropdowns</t>
  </si>
  <si>
    <t>Use dropdowns only where one status/decision/value should be selected.</t>
  </si>
  <si>
    <t>Notes / free typing</t>
  </si>
  <si>
    <t>Use the notes areas and notes/action columns on each form.</t>
  </si>
  <si>
    <t>Evidence requirement</t>
  </si>
  <si>
    <t>Every checked item that supports a decision should include evidence/reference, method reference, internal link, date and initials.</t>
  </si>
  <si>
    <t>Template style</t>
  </si>
  <si>
    <t>Workbook uses the Max Biocare / MBc360 controlled document style.</t>
  </si>
  <si>
    <t>Skincare for Two</t>
  </si>
  <si>
    <t>Maternal products must include maternal use plus baby-contact/infant exposure consideration; this is mandatory, not optional.</t>
  </si>
  <si>
    <t>Study paperwork</t>
  </si>
  <si>
    <t>Human/consumer studies require proposal, participant plan, consent, adverse-event log and signatures before results support claims.</t>
  </si>
  <si>
    <t>Approval route</t>
  </si>
  <si>
    <t>Current route: Chris prepares study proposal, George/Head of Department signs off, Sekar or nominated independent reviewer signs off outside the department.</t>
  </si>
  <si>
    <t>PIF layer</t>
  </si>
  <si>
    <t>ASEAN PIF mapping is mandatory before dossier export or market submission.</t>
  </si>
  <si>
    <t>Ingredient proof</t>
  </si>
  <si>
    <t>Use Prohibited_Ingredients, PB_Caution_Limits and Ingredient_Substitution to answer distributor/HCP questions.</t>
  </si>
  <si>
    <t>Medical summary</t>
  </si>
  <si>
    <t>Use Medical_Summary as the ready-to-answer HCP/distributor evidence pack.</t>
  </si>
  <si>
    <t>Twinkle 5</t>
  </si>
  <si>
    <t>Use Twinkle5_Claims_Map to connect skin-quality principles to evidence and claim controls.</t>
  </si>
  <si>
    <t>Workbook order</t>
  </si>
  <si>
    <t>Product_Request -&gt; Formula/Costing/Packaging -&gt; Gates 01-12 -&gt; Safety/PIF/HCP support sheets -&gt; Evidence_Register -&gt; PostMarket.</t>
  </si>
  <si>
    <t>Efficacy_Assurance</t>
  </si>
  <si>
    <t>Use this first to check that efficacy is being controlled as clearly as safety.</t>
  </si>
  <si>
    <t>Mechanism_Claims_Map</t>
  </si>
  <si>
    <t>Map each claim to the underlying problem, mechanism, ingredients, evidence level and approved wording.</t>
  </si>
  <si>
    <t>Potency_Process_Control</t>
  </si>
  <si>
    <t>Control supply quality, active markers, heat/light/oxygen/pH/process risks and GMP evidence.</t>
  </si>
  <si>
    <t>V18 change-control additions</t>
  </si>
  <si>
    <t>Change control and communication are now explicit: artwork, formula, label, claim, supplier, process and market changes require a trigger, owner, impact assessment, approval, communication and closure.</t>
  </si>
  <si>
    <t>No silent corrections</t>
  </si>
  <si>
    <t>Artwork/label/formula changes must not be corrected informally or secretly. Use Change_Control_Comm and the relevant change-control sheet.</t>
  </si>
  <si>
    <t>Artwork changes</t>
  </si>
  <si>
    <t>Use Artwork_Change_Control for redlines, proof approvals, printer release and obsolete version control.</t>
  </si>
  <si>
    <t>Formula changes</t>
  </si>
  <si>
    <t>Use Formula_Change_Control for old-vs-new formula comparison and Sales/Marketing explanation.</t>
  </si>
  <si>
    <t>Sales/Marketing communication</t>
  </si>
  <si>
    <t>Changes that affect label, formula, claims, product story, sensory profile, market material or customer answers require notification and acknowledgement.</t>
  </si>
  <si>
    <t>Templates/forms</t>
  </si>
  <si>
    <t>Use Change_Templates for change request, artwork sign-off, formula comparison, Sales/Marketing notification and closure checklist.</t>
  </si>
  <si>
    <t>Closure</t>
  </si>
  <si>
    <t>Close only when evidence is saved, approvals are complete, affected teams are notified and obsolete materials are controlled.</t>
  </si>
  <si>
    <t>Product evidence outputs</t>
  </si>
  <si>
    <t>Use Product_Evidence_Summary, Test_Report_Index, Clinical_Human_Evidence, Eye_Safety_Evidence, Functional_Efficacy, Fragrance_Safety, Batch_Formula_Trace and HCP_Test_Report_Pack.</t>
  </si>
  <si>
    <t>PIF integration</t>
  </si>
  <si>
    <t>Use PIF_Checklist_ASEAN for the full PIF List mapping; use ASEAN_PIF_Map as the high-level dossier overview.</t>
  </si>
  <si>
    <t>New sheets</t>
  </si>
  <si>
    <t>PIF_Evidence_Export; SKU_Claims_PIF_Register; PIF_Evidence_Closure</t>
  </si>
  <si>
    <t>In-market priority</t>
  </si>
  <si>
    <t>Complete LEMC and LEBC PIF evidence attachment first, then remaining in-market products.</t>
  </si>
  <si>
    <t>Summary-only rule</t>
  </si>
  <si>
    <t>Ingredient mechanism tables support explanations only; full formula, reports, safety assessment and claim substantiation remain in the PIF.</t>
  </si>
  <si>
    <t>External use</t>
  </si>
  <si>
    <t>No external HCP/distributor/pharmacy claim use until PIF attachment status and approval are closed.</t>
  </si>
  <si>
    <t>Data Entry Guide</t>
  </si>
  <si>
    <t>Feature</t>
  </si>
  <si>
    <t>How to use</t>
  </si>
  <si>
    <t>Checkboxes</t>
  </si>
  <si>
    <t>Click once in the checkbox cell to select or clear. Multiple options can be selected in the same section.</t>
  </si>
  <si>
    <t>Dropdowns</t>
  </si>
  <si>
    <t>Use dropdowns for single-choice controlled fields such as stage status, decision, priority and Y/N/NA.</t>
  </si>
  <si>
    <t>Notes</t>
  </si>
  <si>
    <t>Use notes/action columns or the free-type notes areas for explanations, caveats, customer comments or internal decisions.</t>
  </si>
  <si>
    <t>Evidence</t>
  </si>
  <si>
    <t>Each completed check should reference evidence, method reference and internal link where applicable.</t>
  </si>
  <si>
    <t>Costing</t>
  </si>
  <si>
    <t>Use the Costing_Calc, Formula_BOM and Packaging_BOM sheets for numeric inputs and formulas.</t>
  </si>
  <si>
    <t>Packaging / regulatory</t>
  </si>
  <si>
    <t>Use the dedicated support sheets plus the relevant stage forms. Packaging is included in the main workbook.</t>
  </si>
  <si>
    <t>Metric</t>
  </si>
  <si>
    <t>Value</t>
  </si>
  <si>
    <t>Controlled gates</t>
  </si>
  <si>
    <t>Renamed for non-technical navigation; Gate IDs retained in Stage_Map</t>
  </si>
  <si>
    <t>Skincare for Two checks</t>
  </si>
  <si>
    <t>Mandatory</t>
  </si>
  <si>
    <t>Maternal products must include baby-contact/infant exposure assessment</t>
  </si>
  <si>
    <t>Study approval trail</t>
  </si>
  <si>
    <t>Required</t>
  </si>
  <si>
    <t>Proposal + Head sign-off + independent reviewer + saved records</t>
  </si>
  <si>
    <t>Participant evidence</t>
  </si>
  <si>
    <t>Required when claims need human support</t>
  </si>
  <si>
    <t>Sample size target, consent, recruitment log and final report</t>
  </si>
  <si>
    <t>PIF / dossier mapping</t>
  </si>
  <si>
    <t>ASEAN_PIF_Map before dossier export</t>
  </si>
  <si>
    <t>Prohibited ingredient proof</t>
  </si>
  <si>
    <t>Prohibited_Ingredients formula check and evidence link</t>
  </si>
  <si>
    <t>Pregnancy/BF caution limits</t>
  </si>
  <si>
    <t>PB_Caution_Limits concentration/status check</t>
  </si>
  <si>
    <t>HCP/distributor pack</t>
  </si>
  <si>
    <t>Required for partner questions</t>
  </si>
  <si>
    <t>Medical_Summary output</t>
  </si>
  <si>
    <t>Twinkle 5 claim mapping</t>
  </si>
  <si>
    <t>Required where used</t>
  </si>
  <si>
    <t>Twinkle5_Claims_Map and evidence links</t>
  </si>
  <si>
    <t>Post-market learning</t>
  </si>
  <si>
    <t>Gate 12/PostMarket feedback and CAPA</t>
  </si>
  <si>
    <t>Topical efficacy assurance</t>
  </si>
  <si>
    <t>Problem -&gt; mechanism -&gt; potency/source -&gt; formula/process -&gt; evidence -&gt; claim wording</t>
  </si>
  <si>
    <t>Mechanism of action map</t>
  </si>
  <si>
    <t>Required for benefit claims</t>
  </si>
  <si>
    <t>Use Mechanism_Claims_Map before HCP/distributor use</t>
  </si>
  <si>
    <t>Potency/process controls</t>
  </si>
  <si>
    <t>Use Potency_Process_Control for heat-sensitive ingredients, active markers, pH, processing and GMP controls</t>
  </si>
  <si>
    <t>Efficacy study plan</t>
  </si>
  <si>
    <t>Required when claims need proof</t>
  </si>
  <si>
    <t>Use Efficacy_Study_Plan and Study_Protocol with participant number rationale</t>
  </si>
  <si>
    <t>HCP efficacy answer</t>
  </si>
  <si>
    <t>Required for pharmacy/distributor questions</t>
  </si>
  <si>
    <t>Use HCP_Efficacy_Answer and Medical_Summary</t>
  </si>
  <si>
    <t>Post-market efficacy feedback</t>
  </si>
  <si>
    <t>Capture real-world benefit feedback, complaints, CAPA and improvements</t>
  </si>
  <si>
    <t>No silent artwork/formula corrections</t>
  </si>
  <si>
    <t>Use Change_Control_Comm for any artwork, label, formula, claim, supplier, process, packaging or market change</t>
  </si>
  <si>
    <t>Artwork change sign-off</t>
  </si>
  <si>
    <t>Redline, proof approval, regulatory/QA sign-off, final approved PDF and obsolete version control</t>
  </si>
  <si>
    <t>Formula change comparison</t>
  </si>
  <si>
    <t>Old vs new formula, impact assessment and Sales/Marketing-ready summary</t>
  </si>
  <si>
    <t>Sales/Marketing notification</t>
  </si>
  <si>
    <t>Required when customer-facing</t>
  </si>
  <si>
    <t>Notify and record acknowledgement where label/formula/claims/story/sensory/customer answers change</t>
  </si>
  <si>
    <t>Closure evidence</t>
  </si>
  <si>
    <t>Approvals, evidence links, communications, implementation status and closure notes saved</t>
  </si>
  <si>
    <t>Product evidence summary</t>
  </si>
  <si>
    <t>Product_Evidence_Summary shows safety, efficacy, PIF and HCP evidence output status.</t>
  </si>
  <si>
    <t>Test report index</t>
  </si>
  <si>
    <t>Test_Report_Index records method, score, acceptance limit, conclusion and final report link.</t>
  </si>
  <si>
    <t>PIF checklist</t>
  </si>
  <si>
    <t>PIF_Checklist_ASEAN imports the PIF List into the project file.</t>
  </si>
  <si>
    <t>Evidence Template Index</t>
  </si>
  <si>
    <t>EVIDENCE TEMPLATE MAP</t>
  </si>
  <si>
    <t>Evidence concept</t>
  </si>
  <si>
    <t>Template tab</t>
  </si>
  <si>
    <t>Evidence captured</t>
  </si>
  <si>
    <t>When to complete</t>
  </si>
  <si>
    <t>Gate</t>
  </si>
  <si>
    <t>Owner</t>
  </si>
  <si>
    <t>Status</t>
  </si>
  <si>
    <t>1. Commercial costing</t>
  </si>
  <si>
    <t>Formula_BOM</t>
  </si>
  <si>
    <t>Formula composition, ingredient cost, evidence links</t>
  </si>
  <si>
    <t>Complete once per formula version</t>
  </si>
  <si>
    <t>05</t>
  </si>
  <si>
    <t>R&amp;I / Finance</t>
  </si>
  <si>
    <t>Not Started</t>
  </si>
  <si>
    <t>Feeds Costing_Calc and Formulation_Safety</t>
  </si>
  <si>
    <t>Packaging_BOM</t>
  </si>
  <si>
    <t>Packaging components, pack cost, spec/artwork links</t>
  </si>
  <si>
    <t>Complete once per SKU/pack</t>
  </si>
  <si>
    <t>06</t>
  </si>
  <si>
    <t>Packaging / Finance</t>
  </si>
  <si>
    <t>Feeds Costing_Calc</t>
  </si>
  <si>
    <t>Costing_Calc</t>
  </si>
  <si>
    <t>COGS, margin and forecast assumptions</t>
  </si>
  <si>
    <t>Complete once per SKU scenario</t>
  </si>
  <si>
    <t>Finance / Project owner</t>
  </si>
  <si>
    <t>Inputs only; formulas calculate outputs</t>
  </si>
  <si>
    <t>2. Ingredient evidence</t>
  </si>
  <si>
    <t>Supplier_RM_Evidence</t>
  </si>
  <si>
    <t>SDS, CoA, TDS, allergens, origin, impurities</t>
  </si>
  <si>
    <t>Complete per raw material</t>
  </si>
  <si>
    <t>04</t>
  </si>
  <si>
    <t>Procurement / R&amp;I / Quality</t>
  </si>
  <si>
    <t>Links into safety and PIF</t>
  </si>
  <si>
    <t>Prohibited_Ingredients</t>
  </si>
  <si>
    <t>Absence/review evidence for prohibited watch-list</t>
  </si>
  <si>
    <t>Complete per formula</t>
  </si>
  <si>
    <t>07</t>
  </si>
  <si>
    <t>Regulatory</t>
  </si>
  <si>
    <t>Formula match formulas flag possible matches</t>
  </si>
  <si>
    <t>PB_Caution_Limits</t>
  </si>
  <si>
    <t>Pregnancy/breastfeeding caution-limit logic</t>
  </si>
  <si>
    <t>Safety / Regulatory</t>
  </si>
  <si>
    <t>Use for maternal positioning</t>
  </si>
  <si>
    <t xml:space="preserve"> </t>
  </si>
  <si>
    <t>Substitution decision and evidence when a material is changed</t>
  </si>
  <si>
    <t>Use when triggered</t>
  </si>
  <si>
    <t>04/07</t>
  </si>
  <si>
    <t>R&amp;I</t>
  </si>
  <si>
    <t>Avoids repeating change-control details</t>
  </si>
  <si>
    <t>3. Product safety</t>
  </si>
  <si>
    <t>Formulation_Safety</t>
  </si>
  <si>
    <t>Full formula-level safety matrix and final sign-off</t>
  </si>
  <si>
    <t>Complete per formula version</t>
  </si>
  <si>
    <t>07/10</t>
  </si>
  <si>
    <t>Primary safety evidence tab</t>
  </si>
  <si>
    <t>Fragrance_Safety</t>
  </si>
  <si>
    <t>IFRA, allergen, PBW caution and fragrance evidence</t>
  </si>
  <si>
    <t>Complete where fragranced</t>
  </si>
  <si>
    <t>R&amp;I / Regulatory</t>
  </si>
  <si>
    <t>Feeds artwork and PIF</t>
  </si>
  <si>
    <t>4. Packaging / artwork</t>
  </si>
  <si>
    <t>Packaging_Specs_Artwork</t>
  </si>
  <si>
    <t>Component specs, label checks and artwork approval evidence</t>
  </si>
  <si>
    <t>Complete per SKU/market</t>
  </si>
  <si>
    <t>06/10/11</t>
  </si>
  <si>
    <t>Packaging / Regulatory</t>
  </si>
  <si>
    <t>Development evidence, not change log</t>
  </si>
  <si>
    <t>5. Quality testing</t>
  </si>
  <si>
    <t>Micro_PET_Evidence</t>
  </si>
  <si>
    <t>Micro, PET/challenge and preservative rationale</t>
  </si>
  <si>
    <t>Complete where relevant</t>
  </si>
  <si>
    <t>08</t>
  </si>
  <si>
    <t>Quality</t>
  </si>
  <si>
    <t>Feeds PIF and release</t>
  </si>
  <si>
    <t>Stability_Release</t>
  </si>
  <si>
    <t>Stability, compatibility and release decision evidence</t>
  </si>
  <si>
    <t>Complete per formula/pack</t>
  </si>
  <si>
    <t>09/11</t>
  </si>
  <si>
    <t>Report links only</t>
  </si>
  <si>
    <t>Eye_Safety_Evidence</t>
  </si>
  <si>
    <t>Eye irritation/safe-zone evidence</t>
  </si>
  <si>
    <t>Complete where eye-contact risk or claim</t>
  </si>
  <si>
    <t>07/08</t>
  </si>
  <si>
    <t>Safety / Quality</t>
  </si>
  <si>
    <t>Separate from broader formulation safety</t>
  </si>
  <si>
    <t>6. Efficacy / claims</t>
  </si>
  <si>
    <t>Claim, mechanism, ingredient and evidence mapping</t>
  </si>
  <si>
    <t>Complete before claim approval</t>
  </si>
  <si>
    <t>03/10</t>
  </si>
  <si>
    <t>R&amp;I / Claims</t>
  </si>
  <si>
    <t>Source of approved claim logic</t>
  </si>
  <si>
    <t>Checks whether efficacy is controlled by formula/process/testing</t>
  </si>
  <si>
    <t>Complete where efficacy claim</t>
  </si>
  <si>
    <t>05/08</t>
  </si>
  <si>
    <t>R&amp;I / Quality</t>
  </si>
  <si>
    <t>Prevents unsupported claim drift</t>
  </si>
  <si>
    <t>Functional_Efficacy</t>
  </si>
  <si>
    <t>Functional assay evidence and claim result</t>
  </si>
  <si>
    <t>Complete where assay-based claim</t>
  </si>
  <si>
    <t>08/10</t>
  </si>
  <si>
    <t>Links reports in Test_Report_Index</t>
  </si>
  <si>
    <t>Clinical_Human_Evidence</t>
  </si>
  <si>
    <t>Human/consumer/clinical proof</t>
  </si>
  <si>
    <t>Complete where human support is needed</t>
  </si>
  <si>
    <t>Clinical / R&amp;I</t>
  </si>
  <si>
    <t>Study_Protocol holds participant details</t>
  </si>
  <si>
    <t>7. Regulatory / PIF</t>
  </si>
  <si>
    <t>ASEAN_PIF_Map</t>
  </si>
  <si>
    <t>High-level dossier map</t>
  </si>
  <si>
    <t>Complete per market</t>
  </si>
  <si>
    <t>10</t>
  </si>
  <si>
    <t>Overview only</t>
  </si>
  <si>
    <t>PIF_Checklist_ASEAN</t>
  </si>
  <si>
    <t>Detailed PIF checklist</t>
  </si>
  <si>
    <t>Full closure checklist</t>
  </si>
  <si>
    <t>PIF_Evidence_Export</t>
  </si>
  <si>
    <t>Evidence pack for PIF/Product Master File</t>
  </si>
  <si>
    <t>Use at PIF export</t>
  </si>
  <si>
    <t>10/11</t>
  </si>
  <si>
    <t>No duplicate reports; link source files</t>
  </si>
  <si>
    <t>8. Change / launch</t>
  </si>
  <si>
    <t>Change_Control_Comm</t>
  </si>
  <si>
    <t>Master change log, communication and closure</t>
  </si>
  <si>
    <t>Use when anything changes</t>
  </si>
  <si>
    <t>ALL</t>
  </si>
  <si>
    <t>Project owner / QA</t>
  </si>
  <si>
    <t>RACI/closure folded in here</t>
  </si>
  <si>
    <t>GMP_Links</t>
  </si>
  <si>
    <t>Controlled GMP file links</t>
  </si>
  <si>
    <t>Complete at launch/release</t>
  </si>
  <si>
    <t>11</t>
  </si>
  <si>
    <t>Quality / Manufacturing</t>
  </si>
  <si>
    <t>Links only, does not replace GMP system</t>
  </si>
  <si>
    <t>9. Post-market</t>
  </si>
  <si>
    <t>PostMarket_CAPA</t>
  </si>
  <si>
    <t>Complaints, adverse events, CAPA and trend evidence</t>
  </si>
  <si>
    <t>Use after launch</t>
  </si>
  <si>
    <t>12</t>
  </si>
  <si>
    <t>Quality / PV-PMS</t>
  </si>
  <si>
    <t>Feeds improvement cycle</t>
  </si>
  <si>
    <t>7. Change control</t>
  </si>
  <si>
    <t>Product_Family_Register</t>
  </si>
  <si>
    <t>Family name/code linking all versions of one consumer product</t>
  </si>
  <si>
    <t>Complete per product family</t>
  </si>
  <si>
    <t>05/06</t>
  </si>
  <si>
    <t>R&amp;I / NP / Marketing</t>
  </si>
  <si>
    <t>Anki/NP request - see all formula versions of a product together</t>
  </si>
  <si>
    <t>Formulation_Change_Register</t>
  </si>
  <si>
    <t>NP-controlled log of every formulation change, reasons, actions and closure</t>
  </si>
  <si>
    <t>Per formulation change</t>
  </si>
  <si>
    <t>05/07/10</t>
  </si>
  <si>
    <t>NPD / NP / Reg</t>
  </si>
  <si>
    <t>CEO-mandated. VN needs ~6 months re-registration for formula changes</t>
  </si>
  <si>
    <t>8. Marketing outputs</t>
  </si>
  <si>
    <t>Campaigns_Social_Media</t>
  </si>
  <si>
    <t>Social media &amp; marketing campaign declaration with links</t>
  </si>
  <si>
    <t>Per campaign/post</t>
  </si>
  <si>
    <t>03/11</t>
  </si>
  <si>
    <t>Marketing / Sales</t>
  </si>
  <si>
    <t>Links approved messaging to Change IDs</t>
  </si>
  <si>
    <t>9. Development records</t>
  </si>
  <si>
    <t>Product_Feedback_Form</t>
  </si>
  <si>
    <t>Staff/panel feedback on development samples (texture, fragrance, oiliness/slipperiness safety)</t>
  </si>
  <si>
    <t>Per sample evaluation round</t>
  </si>
  <si>
    <t>R&amp;I / NPD / Panel</t>
  </si>
  <si>
    <t>Feeds Product_Development_Report; slip-risk safety flag for marketing</t>
  </si>
  <si>
    <t>Product_Development_Report</t>
  </si>
  <si>
    <t>Iterative formula development record: each improved version, driving feedback and competitor benchmarking</t>
  </si>
  <si>
    <t>Per SKU under development</t>
  </si>
  <si>
    <t>04/05/08</t>
  </si>
  <si>
    <t>NPD (Tuan) / Project owner</t>
  </si>
  <si>
    <t>Answers "is development being recorded?"; links Change Register + Feedback Form</t>
  </si>
  <si>
    <t>REVIEW OWNER: Kaukab (Facility / PM Operations)  |  Co-sign: Chris (Project Manager)</t>
  </si>
  <si>
    <t>PHASE 1</t>
  </si>
  <si>
    <t>MBc360: GATES 1-3</t>
  </si>
  <si>
    <t>User &amp; Product Definition</t>
  </si>
  <si>
    <t>RESPONSIBLE DEPARTMENT:
MARKETING / SALES / PROJECT OWNER</t>
  </si>
  <si>
    <t>Success Criteria Package</t>
  </si>
  <si>
    <t>Competitor Analysis</t>
  </si>
  <si>
    <t>Marketing Campaign Brief</t>
  </si>
  <si>
    <t>Project Evidence Folder</t>
  </si>
  <si>
    <t>(provide link here)</t>
  </si>
  <si>
    <t>PROJECT IDENTIFICATION</t>
  </si>
  <si>
    <t>Parameter</t>
  </si>
  <si>
    <t>Identity / Value</t>
  </si>
  <si>
    <t>Date / Version</t>
  </si>
  <si>
    <t>Project ID</t>
  </si>
  <si>
    <t>Date opened</t>
  </si>
  <si>
    <t>Product Code</t>
  </si>
  <si>
    <t>Target launch date</t>
  </si>
  <si>
    <t>Project Lead</t>
  </si>
  <si>
    <t>Product / SKU</t>
  </si>
  <si>
    <t>Product Group</t>
  </si>
  <si>
    <t>Owner / Department</t>
  </si>
  <si>
    <t>Brand / Customer</t>
  </si>
  <si>
    <t>Countries / Markets</t>
  </si>
  <si>
    <t>PHASE GATE FLOW - COMPLETE IN ORDER UNLESS A BACKTRACK / HOLD IS RECORDED</t>
  </si>
  <si>
    <t>Plain-English stage</t>
  </si>
  <si>
    <t>Objective / minimum output</t>
  </si>
  <si>
    <t>Stage status</t>
  </si>
  <si>
    <t>Gate decision</t>
  </si>
  <si>
    <t>Due date</t>
  </si>
  <si>
    <t>Evidence / workbook link</t>
  </si>
  <si>
    <t>Notes / blockers</t>
  </si>
  <si>
    <t>01</t>
  </si>
  <si>
    <t>Request &amp; Opportunity</t>
  </si>
  <si>
    <t>Capture the request, opportunity, requester, commercial reason and first screening decision.</t>
  </si>
  <si>
    <t>Stage_Map</t>
  </si>
  <si>
    <t>02</t>
  </si>
  <si>
    <t>Target User &amp; Brief</t>
  </si>
  <si>
    <t>Define target user, life stage, markets, use context, success criteria and constraints.</t>
  </si>
  <si>
    <t>03</t>
  </si>
  <si>
    <t>Product Concept &amp; Claims</t>
  </si>
  <si>
    <t>Lock the product concept, claim direction, benchmark products and evidence needs.</t>
  </si>
  <si>
    <t>TARGET AREA OF BODY</t>
  </si>
  <si>
    <t>Select</t>
  </si>
  <si>
    <t>Owner / function</t>
  </si>
  <si>
    <t>Status / Y-N-NA</t>
  </si>
  <si>
    <t>Evidence / internal link</t>
  </si>
  <si>
    <t>Free-type notes / rationale</t>
  </si>
  <si>
    <t>Face</t>
  </si>
  <si>
    <t>Marketing / Project owner</t>
  </si>
  <si>
    <t>Hair</t>
  </si>
  <si>
    <t>Hands</t>
  </si>
  <si>
    <t>Muscle</t>
  </si>
  <si>
    <t>Skin (Whole Body)</t>
  </si>
  <si>
    <t>Feet</t>
  </si>
  <si>
    <t>Nails</t>
  </si>
  <si>
    <t>Internal</t>
  </si>
  <si>
    <t>Eyes</t>
  </si>
  <si>
    <t>Lips</t>
  </si>
  <si>
    <t>Intimate Zone</t>
  </si>
  <si>
    <t>Other - specify</t>
  </si>
  <si>
    <t>PRODUCT TYPE</t>
  </si>
  <si>
    <t>Type</t>
  </si>
  <si>
    <t>Cream</t>
  </si>
  <si>
    <t>Marketing / NPD</t>
  </si>
  <si>
    <t>Lotion</t>
  </si>
  <si>
    <t>Balm</t>
  </si>
  <si>
    <t>Serum</t>
  </si>
  <si>
    <t>Oil</t>
  </si>
  <si>
    <t>Body oil</t>
  </si>
  <si>
    <t>Hair oil</t>
  </si>
  <si>
    <t>Wash</t>
  </si>
  <si>
    <t>Body wash</t>
  </si>
  <si>
    <t>Shower gel</t>
  </si>
  <si>
    <t>Shampoo</t>
  </si>
  <si>
    <t>2-in-1 wash</t>
  </si>
  <si>
    <t>Spray</t>
  </si>
  <si>
    <t>Mist</t>
  </si>
  <si>
    <t>Feminine wash</t>
  </si>
  <si>
    <t>Perineal product</t>
  </si>
  <si>
    <t>Nipple product</t>
  </si>
  <si>
    <t>Toothpaste</t>
  </si>
  <si>
    <t>Gel</t>
  </si>
  <si>
    <t>Ointment</t>
  </si>
  <si>
    <t>Cleanser</t>
  </si>
  <si>
    <t>Moisturiser</t>
  </si>
  <si>
    <t>Barrier product</t>
  </si>
  <si>
    <t>Scar / blemish product</t>
  </si>
  <si>
    <t>Insect bite / itch product</t>
  </si>
  <si>
    <t>Raw material / extract</t>
  </si>
  <si>
    <t>TARGET USERS / LIFE STAGE</t>
  </si>
  <si>
    <t>Target</t>
  </si>
  <si>
    <t>General adult</t>
  </si>
  <si>
    <t>Marketing / Regulatory</t>
  </si>
  <si>
    <t>Pregnancy</t>
  </si>
  <si>
    <t>Breastfeeding</t>
  </si>
  <si>
    <t>Postpartum</t>
  </si>
  <si>
    <t>Infant 0+</t>
  </si>
  <si>
    <t>Child 2+</t>
  </si>
  <si>
    <t>Child 3+</t>
  </si>
  <si>
    <t>Sensitive skin</t>
  </si>
  <si>
    <t>Dry / eczema-prone skin</t>
  </si>
  <si>
    <t>Oily skin</t>
  </si>
  <si>
    <t>Intimate area</t>
  </si>
  <si>
    <t>Swimmers</t>
  </si>
  <si>
    <t>Cancer patient support</t>
  </si>
  <si>
    <t>Kidney disease support</t>
  </si>
  <si>
    <t>Family use</t>
  </si>
  <si>
    <t>Professional / HCP recommendation</t>
  </si>
  <si>
    <t>TARGET COUNTRIES / MARKETS</t>
  </si>
  <si>
    <t>Australia</t>
  </si>
  <si>
    <t>Malaysia</t>
  </si>
  <si>
    <t>Vietnam</t>
  </si>
  <si>
    <t>Singapore</t>
  </si>
  <si>
    <t>Thailand</t>
  </si>
  <si>
    <t>Indonesia</t>
  </si>
  <si>
    <t>Philippines</t>
  </si>
  <si>
    <t>China</t>
  </si>
  <si>
    <t>Hong Kong</t>
  </si>
  <si>
    <t>Taiwan</t>
  </si>
  <si>
    <t>Japan</t>
  </si>
  <si>
    <t>Korea</t>
  </si>
  <si>
    <t>EU</t>
  </si>
  <si>
    <t>UK</t>
  </si>
  <si>
    <t>USA</t>
  </si>
  <si>
    <t>Canada</t>
  </si>
  <si>
    <t>Middle East</t>
  </si>
  <si>
    <t>UAE</t>
  </si>
  <si>
    <t>Saudi Arabia</t>
  </si>
  <si>
    <t>New Zealand</t>
  </si>
  <si>
    <t>CLAIM / BENEFIT AREAS</t>
  </si>
  <si>
    <t>Claim/Benefit</t>
  </si>
  <si>
    <t>Moisturising</t>
  </si>
  <si>
    <t>Hydrating</t>
  </si>
  <si>
    <t>Nourishing</t>
  </si>
  <si>
    <t>Clarifying</t>
  </si>
  <si>
    <t>Brightening</t>
  </si>
  <si>
    <t>Radiance</t>
  </si>
  <si>
    <t>Soothing</t>
  </si>
  <si>
    <t>Calming</t>
  </si>
  <si>
    <t>Barrier support</t>
  </si>
  <si>
    <t>Protection</t>
  </si>
  <si>
    <t>Anti-redness appearance</t>
  </si>
  <si>
    <t>Comfort</t>
  </si>
  <si>
    <t>Itch relief support</t>
  </si>
  <si>
    <t>Stretch mark appearance</t>
  </si>
  <si>
    <t>Scar appearance</t>
  </si>
  <si>
    <t>Blemish appearance</t>
  </si>
  <si>
    <t>Nipple comfort</t>
  </si>
  <si>
    <t>Perineal comfort</t>
  </si>
  <si>
    <t>Swim protection</t>
  </si>
  <si>
    <t>Hair conditioning</t>
  </si>
  <si>
    <t>Detangling</t>
  </si>
  <si>
    <t>Antibacterial hygiene</t>
  </si>
  <si>
    <t>Antifungal hygiene</t>
  </si>
  <si>
    <t>Freshness</t>
  </si>
  <si>
    <t>Gentle / mild</t>
  </si>
  <si>
    <t>Tear-free</t>
  </si>
  <si>
    <t>Fragrance-free</t>
  </si>
  <si>
    <t>pH balanced</t>
  </si>
  <si>
    <t>Sensitive skin suitable</t>
  </si>
  <si>
    <t>Pregnancy suitable</t>
  </si>
  <si>
    <t>Breastfeeding suitable</t>
  </si>
  <si>
    <t>Other (Please Describe)</t>
  </si>
  <si>
    <t>INITIAL EVIDENCE / PROOF ROUTE</t>
  </si>
  <si>
    <t>Option / choice transferred from legacy sheet</t>
  </si>
  <si>
    <t>Clinical / human study</t>
  </si>
  <si>
    <t>Regulatory / Scientific Review</t>
  </si>
  <si>
    <t>Authority monograph</t>
  </si>
  <si>
    <t>TGA accepted reference</t>
  </si>
  <si>
    <t>FDA / EU / authority guidance</t>
  </si>
  <si>
    <t>Peer-reviewed article</t>
  </si>
  <si>
    <t>Supplier evidence</t>
  </si>
  <si>
    <t>In-vitro / ex-vivo test</t>
  </si>
  <si>
    <t>Internal test report</t>
  </si>
  <si>
    <t>Consumer / sensory trial</t>
  </si>
  <si>
    <t>Traditional / marketing rationale</t>
  </si>
  <si>
    <t>Competitor benchmark</t>
  </si>
  <si>
    <t>No evidence yet - action required</t>
  </si>
  <si>
    <t>KEY GATE CHECKS - GATES 1-3</t>
  </si>
  <si>
    <t>Key check</t>
  </si>
  <si>
    <t>Done</t>
  </si>
  <si>
    <t>Y/N/NA</t>
  </si>
  <si>
    <t>Date</t>
  </si>
  <si>
    <t>Evidence / reference</t>
  </si>
  <si>
    <t>Method reference</t>
  </si>
  <si>
    <t>Internal link</t>
  </si>
  <si>
    <t>Initials</t>
  </si>
  <si>
    <t>Notes / action</t>
  </si>
  <si>
    <t>Product request, opportunity and requester captured</t>
  </si>
  <si>
    <t>N/A</t>
  </si>
  <si>
    <t>Initial project record opened and owner assigned</t>
  </si>
  <si>
    <t>Initial constraints, known deadlines and risk flags recorded</t>
  </si>
  <si>
    <t>Target user / life stage / use context selected</t>
  </si>
  <si>
    <t>Target markets and success criteria linked</t>
  </si>
  <si>
    <t>Commercial planning inputs entered or marked N/A</t>
  </si>
  <si>
    <t>Concept direction and benchmark/competitor review recorded</t>
  </si>
  <si>
    <t>Claim/benefit areas selected and evidence route identified</t>
  </si>
  <si>
    <t>Gate 1-3 decision and open actions recorded</t>
  </si>
  <si>
    <t>8 ANGLES COVERAGE - APPLY TO THE PHASE BEFORE GATE CLOSURE</t>
  </si>
  <si>
    <t>Angle</t>
  </si>
  <si>
    <t>Covered</t>
  </si>
  <si>
    <t>Comments</t>
  </si>
  <si>
    <t>Consumer need</t>
  </si>
  <si>
    <t>Use context &amp; life stage</t>
  </si>
  <si>
    <t>Ingredient suitability</t>
  </si>
  <si>
    <t>Formula compatibility</t>
  </si>
  <si>
    <t>Safety</t>
  </si>
  <si>
    <t>Claims evidence</t>
  </si>
  <si>
    <t>Real-world performance</t>
  </si>
  <si>
    <t>EVIDENCE SUMMARY, DECISION AND SIGN-OFF</t>
  </si>
  <si>
    <t>Evidence summary / decision rationale</t>
  </si>
  <si>
    <t>Role</t>
  </si>
  <si>
    <t>Name</t>
  </si>
  <si>
    <t>Signature / initials</t>
  </si>
  <si>
    <t>Decision</t>
  </si>
  <si>
    <t>Comments / conditions</t>
  </si>
  <si>
    <t>Prepared by</t>
  </si>
  <si>
    <t>Reviewed by</t>
  </si>
  <si>
    <t>Approved by</t>
  </si>
  <si>
    <t>Next action</t>
  </si>
  <si>
    <t>Next due date</t>
  </si>
  <si>
    <t>PHASE 2</t>
  </si>
  <si>
    <t>MBc360: GATES 4-6</t>
  </si>
  <si>
    <t>Ingredient &amp; Formula Qualification</t>
  </si>
  <si>
    <t>RESPONSIBLE DEPARTMENT:
NPD / R&amp;I / PROCUREMENT / PACKAGING</t>
  </si>
  <si>
    <t>Ingredient Registry</t>
  </si>
  <si>
    <t>Formula BOM</t>
  </si>
  <si>
    <t>Packaging BOM</t>
  </si>
  <si>
    <t>Costing Calculator</t>
  </si>
  <si>
    <t>Clink for link</t>
  </si>
  <si>
    <t>Ingredient &amp; Supplier Screening</t>
  </si>
  <si>
    <t>Screen raw materials, suppliers, regulatory status, evidence pack, availability and risk flags.</t>
  </si>
  <si>
    <t>04_Ingredient_Screening</t>
  </si>
  <si>
    <t>Formula, Efficacy Route, BOM &amp; Costing</t>
  </si>
  <si>
    <t>Confirm formula route, process targets, BOM, costing, active levels and technical feasibility.</t>
  </si>
  <si>
    <t>05_Formula_BOM_Costing</t>
  </si>
  <si>
    <t>Packaging &amp; Artwork Requirements</t>
  </si>
  <si>
    <t>Confirm pack type, components, artwork needs, compatibility needs and supplier approvals.</t>
  </si>
  <si>
    <t>06_Packaging_Artwork</t>
  </si>
  <si>
    <t>Do not re-enter Phase 1 target user/product/market/claim selections here. Use those choices as inputs and record only ingredient, formula, costing, packaging and artwork decisions.</t>
  </si>
  <si>
    <t>RAW MATERIAL DOCUMENT PACK</t>
  </si>
  <si>
    <t>Documentation</t>
  </si>
  <si>
    <t>Specification</t>
  </si>
  <si>
    <t>R&amp;I / Procurement</t>
  </si>
  <si>
    <t>CoA</t>
  </si>
  <si>
    <t>SDS</t>
  </si>
  <si>
    <t>TDS</t>
  </si>
  <si>
    <t>Composition statement</t>
  </si>
  <si>
    <t>Allergen statement</t>
  </si>
  <si>
    <t>Impurity statement</t>
  </si>
  <si>
    <t>Heavy metal statement</t>
  </si>
  <si>
    <t>Residual solvent statement</t>
  </si>
  <si>
    <t>Micro statement</t>
  </si>
  <si>
    <t>Origin statement</t>
  </si>
  <si>
    <t>GMO statement</t>
  </si>
  <si>
    <t>Vegan statement</t>
  </si>
  <si>
    <t>Halal / Kosher</t>
  </si>
  <si>
    <t>Natural / organic certificate</t>
  </si>
  <si>
    <t>Supplier questionnaire</t>
  </si>
  <si>
    <t>Manufacturing process summary</t>
  </si>
  <si>
    <t>Stability / shelf-life data</t>
  </si>
  <si>
    <t>Regulatory status statement</t>
  </si>
  <si>
    <t>FORMULATION DESIGN REQUIREMENTS</t>
  </si>
  <si>
    <t>Requirement / field</t>
  </si>
  <si>
    <t>Minimum requirement</t>
  </si>
  <si>
    <t>Rationale / control reason</t>
  </si>
  <si>
    <t>Evidence link</t>
  </si>
  <si>
    <t>Target pH / pH range</t>
  </si>
  <si>
    <t>Target and accepted range entered</t>
  </si>
  <si>
    <t>Controls skin compatibility, stability and preservative performance</t>
  </si>
  <si>
    <t>Appearance / colour / odour</t>
  </si>
  <si>
    <t>Target sensory appearance defined</t>
  </si>
  <si>
    <t>Gives manufacturing and QC a visible acceptance point</t>
  </si>
  <si>
    <t>R&amp;I / Marketing</t>
  </si>
  <si>
    <t>Texture / viscosity / sensory requirement</t>
  </si>
  <si>
    <t>Target texture and viscosity defined</t>
  </si>
  <si>
    <t>Aligns consumer promise with formula and pack feasibility</t>
  </si>
  <si>
    <t>Fragrance requirement</t>
  </si>
  <si>
    <t>Fragrance-free/fragranced/natural scent requirement recorded</t>
  </si>
  <si>
    <t>Controls allergen, claim and sensory implications</t>
  </si>
  <si>
    <t>Key actives and target levels</t>
  </si>
  <si>
    <t>Active levels, grade/marker and purpose recorded</t>
  </si>
  <si>
    <t>Prevents ingredient-presence-only efficacy claims</t>
  </si>
  <si>
    <t>R&amp;I / Scientific Review</t>
  </si>
  <si>
    <t>Compatibility / use-with constraints</t>
  </si>
  <si>
    <t>Use-with, pack and ingredient interactions recorded</t>
  </si>
  <si>
    <t>Controls formula compatibility and real-world use risks</t>
  </si>
  <si>
    <t>Formula constraints / exclusions</t>
  </si>
  <si>
    <t>Restricted, prohibited or customer-excluded ingredients recorded</t>
  </si>
  <si>
    <t>Prevents rework and regulatory gaps</t>
  </si>
  <si>
    <t>Scale-up or manufacturing notes</t>
  </si>
  <si>
    <t>Critical process parameters and scale-up notes recorded</t>
  </si>
  <si>
    <t>Maintains formula performance during manufacturing</t>
  </si>
  <si>
    <t>Manufacturing / Quality</t>
  </si>
  <si>
    <t>EFFICACY AND PROCESS PROTECTION CHECKS</t>
  </si>
  <si>
    <t>Mechanism-to-formula route</t>
  </si>
  <si>
    <t>Claim mechanism linked to formula ingredients and levels</t>
  </si>
  <si>
    <t>Prevents unsupported efficacy claims</t>
  </si>
  <si>
    <t>Heat/light/pH sensitivity</t>
  </si>
  <si>
    <t>Max temperature, hold time, pH range and handling defined for sensitive actives</t>
  </si>
  <si>
    <t>Protects efficacy during manufacturing</t>
  </si>
  <si>
    <t>R&amp;I / Manufacturing</t>
  </si>
  <si>
    <t>Pre-processing method</t>
  </si>
  <si>
    <t>Dispersion, hydration or activation method documented where relevant</t>
  </si>
  <si>
    <t>Ensures consistent performance</t>
  </si>
  <si>
    <t>Scale-up equivalence</t>
  </si>
  <si>
    <t>Critical process parameters and in-process QC defined for pilot/production</t>
  </si>
  <si>
    <t>Ensures the product delivers intended benefit</t>
  </si>
  <si>
    <t>Finished product efficacy markers</t>
  </si>
  <si>
    <t>pH/viscosity/appearance/active marker checked as needed</t>
  </si>
  <si>
    <t>Supports release and stability conclusion</t>
  </si>
  <si>
    <t>SENSORY / APPEARANCE CHOICES</t>
  </si>
  <si>
    <t>Sensory/Appearance</t>
  </si>
  <si>
    <t>Lightweight</t>
  </si>
  <si>
    <t>Rich</t>
  </si>
  <si>
    <t>Non-greasy</t>
  </si>
  <si>
    <t>Fast absorbing</t>
  </si>
  <si>
    <t>Silky</t>
  </si>
  <si>
    <t>Creamy</t>
  </si>
  <si>
    <t>Foaming</t>
  </si>
  <si>
    <t>Low foam</t>
  </si>
  <si>
    <t>Clear</t>
  </si>
  <si>
    <t>Pearlescent</t>
  </si>
  <si>
    <t>White</t>
  </si>
  <si>
    <t>Tinted</t>
  </si>
  <si>
    <t>Fragranced</t>
  </si>
  <si>
    <t>Natural scent</t>
  </si>
  <si>
    <t>Cooling</t>
  </si>
  <si>
    <t>Warming</t>
  </si>
  <si>
    <t>Sprayable</t>
  </si>
  <si>
    <t>Pumpable</t>
  </si>
  <si>
    <t>Tube-friendly</t>
  </si>
  <si>
    <t>Jar-friendly</t>
  </si>
  <si>
    <t>Pipette-friendly</t>
  </si>
  <si>
    <t>PACKAGING OPTIONS</t>
  </si>
  <si>
    <t>Packaging</t>
  </si>
  <si>
    <t>Tube</t>
  </si>
  <si>
    <t>Packaging / NPD</t>
  </si>
  <si>
    <t>Bottle</t>
  </si>
  <si>
    <t>Pump bottle</t>
  </si>
  <si>
    <t>Airless pump</t>
  </si>
  <si>
    <t>Jar</t>
  </si>
  <si>
    <t>Sachet</t>
  </si>
  <si>
    <t>Spray bottle</t>
  </si>
  <si>
    <t>Mist pump</t>
  </si>
  <si>
    <t>Dropper / pipette</t>
  </si>
  <si>
    <t>Roll-on</t>
  </si>
  <si>
    <t>Foamer</t>
  </si>
  <si>
    <t>Cap / flip top</t>
  </si>
  <si>
    <t>Carton</t>
  </si>
  <si>
    <t>Label only</t>
  </si>
  <si>
    <t>Shrink wrap</t>
  </si>
  <si>
    <t>Tamper seal</t>
  </si>
  <si>
    <t>Travel size</t>
  </si>
  <si>
    <t>Sample size</t>
  </si>
  <si>
    <t>Bulk / salon pack</t>
  </si>
  <si>
    <t>ARTWORK / REGULATORY READINESS TRIGGERS</t>
  </si>
  <si>
    <t>Artwork/label route required</t>
  </si>
  <si>
    <t>Product classification checked</t>
  </si>
  <si>
    <t>Claims wording review required</t>
  </si>
  <si>
    <t>Disease / therapeutic risk screen</t>
  </si>
  <si>
    <t>Label compliance check</t>
  </si>
  <si>
    <t>Ingredient restrictions reviewed</t>
  </si>
  <si>
    <t>Allergen declaration needed</t>
  </si>
  <si>
    <t>PIF / evidence file link needed</t>
  </si>
  <si>
    <t>Authority submission needed</t>
  </si>
  <si>
    <t>Registration needed</t>
  </si>
  <si>
    <t>Distributor evidence pack</t>
  </si>
  <si>
    <t>Sales FAQ / approved wording</t>
  </si>
  <si>
    <t>Disclosure / limitation wording</t>
  </si>
  <si>
    <t>KEY GATE CHECKS - GATES 4-6</t>
  </si>
  <si>
    <t>Ingredient functions identified and RM document pack requested</t>
  </si>
  <si>
    <t>Restrictions, exclusions and supplier risks screened</t>
  </si>
  <si>
    <t>Ingredient evidence / registry links added or gap actions opened</t>
  </si>
  <si>
    <t>Formula route, BOM and costing started</t>
  </si>
  <si>
    <t>Sensory target, pH/process limits and compatibility risks logged</t>
  </si>
  <si>
    <t>Development decision recorded with evidence or conditions</t>
  </si>
  <si>
    <t>Packaging format and component requirements selected</t>
  </si>
  <si>
    <t>Artwork/label needs and pack compatibility triggers identified</t>
  </si>
  <si>
    <t>Packaging cost, lead time and supplier approval requirements entered</t>
  </si>
  <si>
    <t>PHASE 3</t>
  </si>
  <si>
    <t>MBc360: GATES 7-9</t>
  </si>
  <si>
    <t>Validation &amp; Quality Control</t>
  </si>
  <si>
    <t>RESPONSIBLE DEPARTMENT:
QUALITY / SAFETY / R&amp;I / MANUFACTURING</t>
  </si>
  <si>
    <t>Study Protocol</t>
  </si>
  <si>
    <t>Evidence Register</t>
  </si>
  <si>
    <t>Test Report Index</t>
  </si>
  <si>
    <t>GMP Links</t>
  </si>
  <si>
    <t>Maternal &amp; Baby-Contact Safety</t>
  </si>
  <si>
    <t>Complete maternal use, pregnancy/breastfeeding, infant-contact exposure and sensitive-user screening.</t>
  </si>
  <si>
    <t>07_Maternal_Baby_Safety</t>
  </si>
  <si>
    <t>Efficacy Testing, Methods &amp; Validation</t>
  </si>
  <si>
    <t>Define testing, participant study requirements, method validation, QC and evidence generation plan.</t>
  </si>
  <si>
    <t>08_Testing_Validation</t>
  </si>
  <si>
    <t>09</t>
  </si>
  <si>
    <t>Stability, Compatibility &amp; Release Readiness</t>
  </si>
  <si>
    <t>Confirm stability, preservation, pack compatibility, pilot/scale-up and release readiness.</t>
  </si>
  <si>
    <t>09_Stability_Release</t>
  </si>
  <si>
    <t>Phase 3 proves whether the Phase 1-2 choices are safe, valid, stable and releasable. It does not repeat product positioning choices unless a backtrack is required.</t>
  </si>
  <si>
    <t>SKINCARE FOR TWO MANDATORY SAFETY CHECKS</t>
  </si>
  <si>
    <t>Pregnancy &amp; breastfeeding review</t>
  </si>
  <si>
    <t>Mandatory for maternal products</t>
  </si>
  <si>
    <t>Maternal use is a defined vulnerable-use context</t>
  </si>
  <si>
    <t>Infant/baby contact exposure</t>
  </si>
  <si>
    <t>Assess skin-to-skin, residue transfer, nipple/breast contact and indirect exposure</t>
  </si>
  <si>
    <t>Baby contact is considered from the start</t>
  </si>
  <si>
    <t>Dermal exposure / MOS logic</t>
  </si>
  <si>
    <t>Route, concentration, frequency, body area and limit/MOS conclusion recorded</t>
  </si>
  <si>
    <t>Needed for HCP/distributor confidence</t>
  </si>
  <si>
    <t>Prohibited ingredient check</t>
  </si>
  <si>
    <t>Complete Prohibited_Ingredients and attach evidence</t>
  </si>
  <si>
    <t>Proves absence of banned/high-risk substances</t>
  </si>
  <si>
    <t>Caution-limit check</t>
  </si>
  <si>
    <t>Complete PB_Caution_Limits and document formula status</t>
  </si>
  <si>
    <t>Concentration-based validation</t>
  </si>
  <si>
    <t>Medical summary input</t>
  </si>
  <si>
    <t>Complete summary fields required for HCP/distributor pack</t>
  </si>
  <si>
    <t>Creates ready-to-answer output</t>
  </si>
  <si>
    <t>Project owner</t>
  </si>
  <si>
    <t>TESTING FAMILIES / RELEASE TEST ROUTES (Note: Only To Be Ticked When All RM Are Approved)</t>
  </si>
  <si>
    <t>Test</t>
  </si>
  <si>
    <t>Link To RM Review Sheet</t>
  </si>
  <si>
    <t>08-09</t>
  </si>
  <si>
    <t>Stability - accelerated</t>
  </si>
  <si>
    <t>Quality / R&amp;I</t>
  </si>
  <si>
    <t>Stability - real time</t>
  </si>
  <si>
    <t>Microbiological quality</t>
  </si>
  <si>
    <t>PET / preservative efficacy</t>
  </si>
  <si>
    <t>Pack compatibility</t>
  </si>
  <si>
    <t>pH / viscosity / appearance</t>
  </si>
  <si>
    <t>Heavy metals</t>
  </si>
  <si>
    <t>Residual solvents</t>
  </si>
  <si>
    <t>1,4-dioxane</t>
  </si>
  <si>
    <t>Nitrosamines / NDELA</t>
  </si>
  <si>
    <t>PAH</t>
  </si>
  <si>
    <t>Pesticides / herbicides</t>
  </si>
  <si>
    <t>Safety / irritation / tolerance</t>
  </si>
  <si>
    <t>Maternal / vulnerable-user review</t>
  </si>
  <si>
    <t>Efficacy / potency retention</t>
  </si>
  <si>
    <t>Sensory / user trial</t>
  </si>
  <si>
    <t>Transport / leakage</t>
  </si>
  <si>
    <t>Pilot batch / scale-up</t>
  </si>
  <si>
    <t>Validated internal method required</t>
  </si>
  <si>
    <t>HUMAN / CONSUMER STUDY AND METHOD VALIDATION CHECKS</t>
  </si>
  <si>
    <t>Study protocol required?</t>
  </si>
  <si>
    <t>Required if human, clinical, consumer, tolerance or efficacy evidence supports claims</t>
  </si>
  <si>
    <t>Prevents unsupported or informal claims</t>
  </si>
  <si>
    <t>Study owner</t>
  </si>
  <si>
    <t>Participant number justified</t>
  </si>
  <si>
    <t>Target participant number and sample-size rationale recorded</t>
  </si>
  <si>
    <t>Supports stronger product claims</t>
  </si>
  <si>
    <t>Approval trail</t>
  </si>
  <si>
    <t>Proposal, Head/HOD sign-off and independent reviewer sign-off saved</t>
  </si>
  <si>
    <t>Independent paper trail</t>
  </si>
  <si>
    <t>Consent and recruitment log</t>
  </si>
  <si>
    <t>Participant information, consent and coded registry saved</t>
  </si>
  <si>
    <t>Paper trail and participant protection</t>
  </si>
  <si>
    <t>AE / stop rules</t>
  </si>
  <si>
    <t>Adverse event pathway, stop rules and escalation contact defined</t>
  </si>
  <si>
    <t>Safety control</t>
  </si>
  <si>
    <t>Quality / Safety</t>
  </si>
  <si>
    <t>Final report</t>
  </si>
  <si>
    <t>Participant count, deviations, data location and claim conclusion recorded</t>
  </si>
  <si>
    <t>Evidence usable by HCP/distributor</t>
  </si>
  <si>
    <t>STABILITY / COMPATIBILITY / RELEASE READINESS CHECKS</t>
  </si>
  <si>
    <t>Stability program selected</t>
  </si>
  <si>
    <t>Accelerated and/or real-time plan selected with acceptance criteria</t>
  </si>
  <si>
    <t>Supports shelf-life and PIF readiness</t>
  </si>
  <si>
    <t>Preservation / microbiology checks selected</t>
  </si>
  <si>
    <t>Micro/PET pathway selected or justified as N/A</t>
  </si>
  <si>
    <t>Controls microbiological risk</t>
  </si>
  <si>
    <t>Pack compatibility assessed</t>
  </si>
  <si>
    <t>Pack compatibility, leakage, transport or interaction testing selected</t>
  </si>
  <si>
    <t>Confirms package protects product</t>
  </si>
  <si>
    <t>Packaging / Quality</t>
  </si>
  <si>
    <t>Release readiness risks closed</t>
  </si>
  <si>
    <t>Open stability, micro, pack and pilot-batch blockers closed or conditionally accepted</t>
  </si>
  <si>
    <t>Prevents uncontrolled launch</t>
  </si>
  <si>
    <t>Retest or CAPA pathway defined</t>
  </si>
  <si>
    <t>Retest, deviation or CAPA actions assigned where required</t>
  </si>
  <si>
    <t>Makes failures visible and traceable</t>
  </si>
  <si>
    <t>KEY GATE CHECKS - GATES 7-9</t>
  </si>
  <si>
    <t>Safety/tolerance questions defined and vulnerable-user risks reviewed</t>
  </si>
  <si>
    <t>Pregnancy/breastfeeding and baby-contact screen completed where triggered</t>
  </si>
  <si>
    <t>Restrictions, conditions and safety evidence linked</t>
  </si>
  <si>
    <t>Testing families selected and methods/protocols referenced</t>
  </si>
  <si>
    <t>Validation report linked or placeholder/action used</t>
  </si>
  <si>
    <t>Acceptance criteria, results and CAPA pathway defined</t>
  </si>
  <si>
    <t>Stability, preservation/micro and pack compatibility program selected</t>
  </si>
  <si>
    <t>Pilot/scale-up and release criteria assessed</t>
  </si>
  <si>
    <t>Release readiness risks closed or conditionally accepted</t>
  </si>
  <si>
    <t>EXTENDED USER-SAFETY COMPARTMENTS - PREGNANCY / BREASTFEEDING / INFANT / SWIMMER</t>
  </si>
  <si>
    <t>Each compartment is add-only. Complete per formula/SKU where the use context applies. Y/N/NA + Status controlled. Links to PB_Caution_Limits, Eye_Safety_Evid, Formulation_Safety and Stability_Release where relevant.</t>
  </si>
  <si>
    <t>COMPARTMENT 1 - PREGNANCY SAFETY &amp; CHARACTERISTICS</t>
  </si>
  <si>
    <t>Ref</t>
  </si>
  <si>
    <t>Requirement / characteristic</t>
  </si>
  <si>
    <t>Minimum requirement / what to capture</t>
  </si>
  <si>
    <t>Evidence link / notes</t>
  </si>
  <si>
    <t>PRG-01</t>
  </si>
  <si>
    <t>Pregnancy suitability decision</t>
  </si>
  <si>
    <t>State whether product is suitable / cautioned / not recommended during pregnancy</t>
  </si>
  <si>
    <t>Defined vulnerable-use context; must not be assumed safe</t>
  </si>
  <si>
    <t>See PB_Caution_Limits</t>
  </si>
  <si>
    <t>PRG-02</t>
  </si>
  <si>
    <t>Ingredient caution-limit check (pregnancy)</t>
  </si>
  <si>
    <t>Each active/retinoid/salicylate/essential-oil checked vs pregnancy caution limits</t>
  </si>
  <si>
    <t>Concentration-based validation for maternal use</t>
  </si>
  <si>
    <t>ChiChu-PB_Caution_Limits</t>
  </si>
  <si>
    <t>PRG-03</t>
  </si>
  <si>
    <t>Prohibited / restricted actives</t>
  </si>
  <si>
    <t>Confirm absence of pregnancy-contraindicated actives (e.g. retinoids, high-dose salicylic)</t>
  </si>
  <si>
    <t>Proves absence of high-risk substances</t>
  </si>
  <si>
    <t>PRG-04</t>
  </si>
  <si>
    <t>Dermal exposure / MOS (pregnancy)</t>
  </si>
  <si>
    <t>Route, body area, frequency, concentration and MOS conclusion recorded</t>
  </si>
  <si>
    <t>HCP/distributor confidence for maternal claim</t>
  </si>
  <si>
    <t>PRG-05</t>
  </si>
  <si>
    <t>Fragrance / allergen review</t>
  </si>
  <si>
    <t>IFRA + allergen review appropriate for pregnancy sensitivity</t>
  </si>
  <si>
    <t>Heightened sensory sensitivity in pregnancy</t>
  </si>
  <si>
    <t>ChiChu-Fragrance_Safety</t>
  </si>
  <si>
    <t>PRG-06</t>
  </si>
  <si>
    <t>Claim wording control (pregnancy)</t>
  </si>
  <si>
    <t>Approved maternal wording; no implied medical/therapeutic claim</t>
  </si>
  <si>
    <t>Prevents unsupported maternal claims</t>
  </si>
  <si>
    <t>Claims / Regulatory</t>
  </si>
  <si>
    <t>George-Mechanism_Claims</t>
  </si>
  <si>
    <t>PRG-07</t>
  </si>
  <si>
    <t>Label / PIF statement</t>
  </si>
  <si>
    <t>Pregnancy usage statement matches released label and PIF</t>
  </si>
  <si>
    <t>Consistency between label, PIF and evidence</t>
  </si>
  <si>
    <t>Lily-Released_Label_Ctrl</t>
  </si>
  <si>
    <t>PRG-08</t>
  </si>
  <si>
    <t>Sign-off (pregnancy compartment)</t>
  </si>
  <si>
    <t>Prepared / reviewed / independent sign-off recorded</t>
  </si>
  <si>
    <t>Controlled approval trail</t>
  </si>
  <si>
    <t>Safety / HOD</t>
  </si>
  <si>
    <t>COMPARTMENT 2 - BREASTFEEDING SAFETY &amp; CHARACTERISTICS</t>
  </si>
  <si>
    <t>BF-01</t>
  </si>
  <si>
    <t>Breastfeeding suitability decision</t>
  </si>
  <si>
    <t>State suitable / cautioned / not recommended while breastfeeding</t>
  </si>
  <si>
    <t>Maternal use with infant proximity</t>
  </si>
  <si>
    <t>BF-02</t>
  </si>
  <si>
    <t>Nipple / breast-contact exposure</t>
  </si>
  <si>
    <t>Assess residue transfer and indirect infant ingestion risk if applied near breast</t>
  </si>
  <si>
    <t>Infant indirect exposure control</t>
  </si>
  <si>
    <t>BF-03</t>
  </si>
  <si>
    <t>Ingredient caution-limit check (lactation)</t>
  </si>
  <si>
    <t>Actives checked vs breastfeeding caution limits</t>
  </si>
  <si>
    <t>BF-04</t>
  </si>
  <si>
    <t>Skin-to-skin / residue transfer</t>
  </si>
  <si>
    <t>Residue transfer to infant skin during feeding/holding assessed</t>
  </si>
  <si>
    <t>Baby contact considered from the start</t>
  </si>
  <si>
    <t>BF-05</t>
  </si>
  <si>
    <t>Fragrance / essential-oil review</t>
  </si>
  <si>
    <t>Confirm no essential oils/fragrance contraindicated near infant</t>
  </si>
  <si>
    <t>Infant respiratory/skin sensitivity</t>
  </si>
  <si>
    <t>BF-06</t>
  </si>
  <si>
    <t>Claim wording control (breastfeeding)</t>
  </si>
  <si>
    <t>Approved wording; no medical lactation claim</t>
  </si>
  <si>
    <t>Prevents unsupported claims</t>
  </si>
  <si>
    <t>BF-07</t>
  </si>
  <si>
    <t>Label / PIF statement (breastfeeding)</t>
  </si>
  <si>
    <t>Breastfeeding usage statement matches label and PIF</t>
  </si>
  <si>
    <t>Consistency control</t>
  </si>
  <si>
    <t>COMPARTMENT 3 - INFANT / BABY-CONTACT SAFETY &amp; CHARACTERISTICS</t>
  </si>
  <si>
    <t>INF-01</t>
  </si>
  <si>
    <t>Infant-contact use context</t>
  </si>
  <si>
    <t>State whether infant skin contact is intended, incidental or to be avoided</t>
  </si>
  <si>
    <t>Skincare-for-Two mandatory baby-contact consideration</t>
  </si>
  <si>
    <t>INF-02</t>
  </si>
  <si>
    <t>Infant dermal exposure / MOS</t>
  </si>
  <si>
    <t>Body area, frequency, occlusion and infant-adjusted MOS recorded</t>
  </si>
  <si>
    <t>Infant skin more permeable; needs own margin</t>
  </si>
  <si>
    <t>INF-03</t>
  </si>
  <si>
    <t>Ingestion / hand-to-mouth risk</t>
  </si>
  <si>
    <t>Assess incidental ingestion if product on hands/skin infant may mouth</t>
  </si>
  <si>
    <t>Realistic infant behaviour control</t>
  </si>
  <si>
    <t>INF-04</t>
  </si>
  <si>
    <t>Sensitiser / allergen screen (infant)</t>
  </si>
  <si>
    <t>Confirm actives/fragrance appropriate for infant-adjacent contact</t>
  </si>
  <si>
    <t>Infant sensitisation prevention</t>
  </si>
  <si>
    <t>Safety / R&amp;I</t>
  </si>
  <si>
    <t>INF-05</t>
  </si>
  <si>
    <t>pH / barrier compatibility</t>
  </si>
  <si>
    <t>Product pH and barrier impact suitable for infant skin contact</t>
  </si>
  <si>
    <t>Infant barrier protection</t>
  </si>
  <si>
    <t>INF-06</t>
  </si>
  <si>
    <t>Eye / mucous-membrane safety (infant)</t>
  </si>
  <si>
    <t>Eye-safe zone confirmed for infant-contact scenario</t>
  </si>
  <si>
    <t>Infant eye protection</t>
  </si>
  <si>
    <t>Sankar-Eye_Safety_Evid</t>
  </si>
  <si>
    <t>INF-07</t>
  </si>
  <si>
    <t>Claim wording control (infant)</t>
  </si>
  <si>
    <t>Approved wording; no infant medical claim</t>
  </si>
  <si>
    <t>Prevents unsupported infant claims</t>
  </si>
  <si>
    <t>INF-08</t>
  </si>
  <si>
    <t>Label / PIF statement (infant)</t>
  </si>
  <si>
    <t>Infant-contact statement matches label and PIF</t>
  </si>
  <si>
    <t>COMPARTMENT 4 - SWIMMER SAFETY &amp; CHARACTERISTICS (ALL)</t>
  </si>
  <si>
    <t>SWM-01</t>
  </si>
  <si>
    <t>Water resistance</t>
  </si>
  <si>
    <t>Water-resistance duration tested and stated (e.g. 40/80 min per method)</t>
  </si>
  <si>
    <t>Substantiates water-resistant performance claim</t>
  </si>
  <si>
    <t>Sekar-Stability_Release</t>
  </si>
  <si>
    <t>SWM-02</t>
  </si>
  <si>
    <t>Sweat resistance</t>
  </si>
  <si>
    <t>Sweat/perspiration resistance assessed under exertion conditions</t>
  </si>
  <si>
    <t>Real swimmer/athlete use context</t>
  </si>
  <si>
    <t>SWM-03</t>
  </si>
  <si>
    <t>Chlorine (pool) exposure</t>
  </si>
  <si>
    <t>Formula stability and skin safety after chlorinated-water exposure</t>
  </si>
  <si>
    <t>Pool-water interaction control</t>
  </si>
  <si>
    <t>SWM-04</t>
  </si>
  <si>
    <t>Salt-water (ocean) exposure</t>
  </si>
  <si>
    <t>Formula stability and skin safety after salt-water exposure</t>
  </si>
  <si>
    <t>Ocean use context control</t>
  </si>
  <si>
    <t>SWM-05</t>
  </si>
  <si>
    <t>UV / SPF interaction</t>
  </si>
  <si>
    <t>SPF value, broad-spectrum and photostability tested per method</t>
  </si>
  <si>
    <t>Sun-exposure performance and safety</t>
  </si>
  <si>
    <t>Quality / Regulatory</t>
  </si>
  <si>
    <t>SWM-06</t>
  </si>
  <si>
    <t>Photostability</t>
  </si>
  <si>
    <t>Actives remain stable and safe under UV after water exposure</t>
  </si>
  <si>
    <t>Prevents degradation to unsafe/inactive state</t>
  </si>
  <si>
    <t>SWM-07</t>
  </si>
  <si>
    <t>Eye-sting / eye-safe zone (swimmer)</t>
  </si>
  <si>
    <t>Confirm no eye-sting and eye-safe zone under wet/run-off conditions</t>
  </si>
  <si>
    <t>Swimmer eye exposure from run-off</t>
  </si>
  <si>
    <t>SWM-08</t>
  </si>
  <si>
    <t>Wash-off / re-apply guidance</t>
  </si>
  <si>
    <t>Re-application interval after towelling/water defined on label</t>
  </si>
  <si>
    <t>Correct swimmer usage control</t>
  </si>
  <si>
    <t>Regulatory / Claims</t>
  </si>
  <si>
    <t>SWM-09</t>
  </si>
  <si>
    <t>Reef-safe / environmental claim</t>
  </si>
  <si>
    <t>Substantiate any reef-safe / oxybenzone-free / environmental claim</t>
  </si>
  <si>
    <t>No greenwashing; substantiated eco claim</t>
  </si>
  <si>
    <t>SWM-10</t>
  </si>
  <si>
    <t>Marine / aquatic tolerance</t>
  </si>
  <si>
    <t>Skin tolerance confirmed after combined water+UV+abrasion exposure</t>
  </si>
  <si>
    <t>Combined real-world swimmer stress</t>
  </si>
  <si>
    <t>SWM-11</t>
  </si>
  <si>
    <t>Pack / dispenser water ingress</t>
  </si>
  <si>
    <t>Pack integrity and dispensing after wet/sandy handling</t>
  </si>
  <si>
    <t>Swimmer pack performance</t>
  </si>
  <si>
    <t>SWM-12</t>
  </si>
  <si>
    <t>Claim wording control (swimmer)</t>
  </si>
  <si>
    <t>All swimmer performance claims mapped to evidence and approved wording</t>
  </si>
  <si>
    <t>Prevents unsupported performance claims</t>
  </si>
  <si>
    <t>SWM-13</t>
  </si>
  <si>
    <t>Label / PIF statement (swimmer)</t>
  </si>
  <si>
    <t>Swimmer usage + water-resistance statement matches label and PIF</t>
  </si>
  <si>
    <t>SWM-14</t>
  </si>
  <si>
    <t>Sign-off (swimmer compartment)</t>
  </si>
  <si>
    <t>PHASE 4</t>
  </si>
  <si>
    <t>MBc360: GATES 10-12</t>
  </si>
  <si>
    <t>Evidence, Release &amp; Improvement</t>
  </si>
  <si>
    <t>RESPONSIBLE DEPARTMENT:
REGULATORY / QUALITY / MANAGEMENT / SALES</t>
  </si>
  <si>
    <t>PIF Checklist</t>
  </si>
  <si>
    <t>Published Info Approval</t>
  </si>
  <si>
    <t>Change Control</t>
  </si>
  <si>
    <t>Post-Market Log</t>
  </si>
  <si>
    <t>Regulatory Dossier, Claims &amp; Efficacy Evidence</t>
  </si>
  <si>
    <t>Complete claims evidence, country matching, PIF/CPSR mapping and distributor/HCP evidence pack needs.</t>
  </si>
  <si>
    <t>10_Dossier_Claims</t>
  </si>
  <si>
    <t>Production, Launch &amp; Sales Support Sign-Off</t>
  </si>
  <si>
    <t>Confirm production readiness, Cosmetri/system records, launch sign-off and approved sales support.</t>
  </si>
  <si>
    <t>11_Launch_SignOff</t>
  </si>
  <si>
    <t>Post-Market Monitoring &amp; Improvement</t>
  </si>
  <si>
    <t>Capture market feedback, complaints, PV/PMS, CAPA, real-world performance and improvement actions.</t>
  </si>
  <si>
    <t>12_PostMarket_Improve</t>
  </si>
  <si>
    <t>Phase 4 converts the approved development record into dossier evidence, launch approval and a monitored post-market improvement loop. Claim/market/product choices are referenced from Phase 1, not re-entered.</t>
  </si>
  <si>
    <t>DOSSIER / HCP EVIDENCE CHECKS</t>
  </si>
  <si>
    <t>ASEAN PIF mapped</t>
  </si>
  <si>
    <t>Complete ASEAN_PIF_Map and PIF_Checklist_ASEAN</t>
  </si>
  <si>
    <t>Regulatory dossier completeness</t>
  </si>
  <si>
    <t>Product Safety Summary</t>
  </si>
  <si>
    <t>Complete Medical_Summary safety sections</t>
  </si>
  <si>
    <t>Ready-to-answer output</t>
  </si>
  <si>
    <t>Ingredient Risk Table</t>
  </si>
  <si>
    <t>Prohibited + caution ingredient conclusions complete</t>
  </si>
  <si>
    <t>Answers distributor/HCP risk questions</t>
  </si>
  <si>
    <t>Substitution Table</t>
  </si>
  <si>
    <t>Ingredient_Substitution complete where relevant</t>
  </si>
  <si>
    <t>Answers ingredient substitution questions</t>
  </si>
  <si>
    <t>R&amp;I / Safety</t>
  </si>
  <si>
    <t>Efficacy evidence summary</t>
  </si>
  <si>
    <t>Human, in-vitro/ex-vivo, clinical/literature and internal evidence summarised</t>
  </si>
  <si>
    <t>Answers efficacy proof questions</t>
  </si>
  <si>
    <t>R&amp;I / Study owner</t>
  </si>
  <si>
    <t>Approved HCP wording</t>
  </si>
  <si>
    <t>Explain evidence without unsupported pregnancy-safe or therapeutic label claims</t>
  </si>
  <si>
    <t>Controls external wording</t>
  </si>
  <si>
    <t>Regulatory / Marketing</t>
  </si>
  <si>
    <t>PIF/CPSR export-ready</t>
  </si>
  <si>
    <t>Dossier package reviewed and approved</t>
  </si>
  <si>
    <t>Market/distributor readiness</t>
  </si>
  <si>
    <t>Country-specific restrictions</t>
  </si>
  <si>
    <t>Vietnam/ASEAN/EU/Australia/US wording checked as applicable</t>
  </si>
  <si>
    <t>Claim and advertising control</t>
  </si>
  <si>
    <t>REGULATORY / CLAIMS CLOSURE CHECKS</t>
  </si>
  <si>
    <t>Check</t>
  </si>
  <si>
    <t>PRODUCTION / LAUNCH RECORDS</t>
  </si>
  <si>
    <t>Record</t>
  </si>
  <si>
    <t>Product record</t>
  </si>
  <si>
    <t>Formula version</t>
  </si>
  <si>
    <t>Raw material records</t>
  </si>
  <si>
    <t>Packaging item records</t>
  </si>
  <si>
    <t>Packaging set</t>
  </si>
  <si>
    <t>LOI / INCI export</t>
  </si>
  <si>
    <t>GMP batch record + in-process QC</t>
  </si>
  <si>
    <t>PIF / dossier export</t>
  </si>
  <si>
    <t>Formula version + process controls</t>
  </si>
  <si>
    <t>MRP / shortages</t>
  </si>
  <si>
    <t>QA test group</t>
  </si>
  <si>
    <t>Batch ticket</t>
  </si>
  <si>
    <t>Pack-out / release</t>
  </si>
  <si>
    <t>GMP deviation / CAPA trigger</t>
  </si>
  <si>
    <t>POST-MARKET / PV-PMS FEEDBACK SOURCES</t>
  </si>
  <si>
    <t>Post-Market Option</t>
  </si>
  <si>
    <t>Consumer feedback</t>
  </si>
  <si>
    <t>HCP feedback</t>
  </si>
  <si>
    <t>Distributor feedback</t>
  </si>
  <si>
    <t>Retailer feedback</t>
  </si>
  <si>
    <t>Sales feedback</t>
  </si>
  <si>
    <t>Social media feedback</t>
  </si>
  <si>
    <t>Complaint</t>
  </si>
  <si>
    <t>Adverse event / PV signal</t>
  </si>
  <si>
    <t>PMS trend</t>
  </si>
  <si>
    <t>Claim question</t>
  </si>
  <si>
    <t>Packaging issue</t>
  </si>
  <si>
    <t>Formula issue</t>
  </si>
  <si>
    <t>Quality issue</t>
  </si>
  <si>
    <t>FAQ update</t>
  </si>
  <si>
    <t>CAPA</t>
  </si>
  <si>
    <t>Product optimisation</t>
  </si>
  <si>
    <t>CHANGE CONTROL / COMMUNICATION CLOSURE CHECKS</t>
  </si>
  <si>
    <t>Change trigger opened</t>
  </si>
  <si>
    <t>Change_Control_Comm row opened for artwork, formula, label, claim, supplier, process, packaging or market change</t>
  </si>
  <si>
    <t>Prevents silent corrections</t>
  </si>
  <si>
    <t>Old-vs-new impact assessed</t>
  </si>
  <si>
    <t>Affected SKU, market, claim, PIF, safety, efficacy, cost, stock and launch timing reviewed</t>
  </si>
  <si>
    <t>Makes impact visible</t>
  </si>
  <si>
    <t>Relevant function owner</t>
  </si>
  <si>
    <t>Approval and communication completed</t>
  </si>
  <si>
    <t>Required functions approved and Sales/Marketing notified where customer-facing</t>
  </si>
  <si>
    <t>Controls external messages</t>
  </si>
  <si>
    <t>Obsolete versions controlled</t>
  </si>
  <si>
    <t>Old artwork/formula/claim/deck versions withdrawn or superseded</t>
  </si>
  <si>
    <t>Prevents wrong-file use</t>
  </si>
  <si>
    <t>QA / Document owner</t>
  </si>
  <si>
    <t>Published information approved</t>
  </si>
  <si>
    <t>Public, pharmacy, HCP or distributor wording approved before use</t>
  </si>
  <si>
    <t>Avoids unsupported claims</t>
  </si>
  <si>
    <t>Closure evidence saved</t>
  </si>
  <si>
    <t>Final file links, approvals, communication evidence and closure notes saved</t>
  </si>
  <si>
    <t>Completes audit trail</t>
  </si>
  <si>
    <t>KEY GATE CHECKS - GATES 10-12</t>
  </si>
  <si>
    <t>Evidence hierarchy applied and claims wording checked</t>
  </si>
  <si>
    <t>Countries/regulatory pathway matched and PIF/evidence file mapped</t>
  </si>
  <si>
    <t>Approved wording / limitations recorded</t>
  </si>
  <si>
    <t>Final formula/version, packaging and artwork approved</t>
  </si>
  <si>
    <t>Cosmetri/production records ready and GMP links added</t>
  </si>
  <si>
    <t>Launch sign-off completed and blockers recorded</t>
  </si>
  <si>
    <t>Feedback sources monitored and PV/PMS signals classified</t>
  </si>
  <si>
    <t>Complaints/issues triaged and CAPA/improvement actions assigned</t>
  </si>
  <si>
    <t>Loopback to NPD or change control recorded where needed</t>
  </si>
  <si>
    <t>PHASE MAP</t>
  </si>
  <si>
    <t>MBc360: GATES 1-12</t>
  </si>
  <si>
    <t>Stage Map and Workbook Navigation</t>
  </si>
  <si>
    <t>RESPONSIBLE DEPARTMENT:
ALL FUNCTIONS</t>
  </si>
  <si>
    <t>Primary workbook tabs</t>
  </si>
  <si>
    <t>Legacy detail</t>
  </si>
  <si>
    <t>Rule</t>
  </si>
  <si>
    <t>4 phase-gate tabs</t>
  </si>
  <si>
    <t>support/reference</t>
  </si>
  <si>
    <t>no duplicate entry</t>
  </si>
  <si>
    <t>supporting sheets</t>
  </si>
  <si>
    <t>CONSOLIDATED GATE MAP</t>
  </si>
  <si>
    <t>Primary working tab</t>
  </si>
  <si>
    <t>Phase</t>
  </si>
  <si>
    <t>Primary owner</t>
  </si>
  <si>
    <t>Key outputs</t>
  </si>
  <si>
    <t>Legacy/detail sheet</t>
  </si>
  <si>
    <t>SG01</t>
  </si>
  <si>
    <t>Gate 01 - Request &amp; Opportunity</t>
  </si>
  <si>
    <t>PHASE 1; GATE 1-3 (MARKETING)</t>
  </si>
  <si>
    <t>Phase 1 - User &amp; Product Definition</t>
  </si>
  <si>
    <t>Capture request, opportunity, requester, business reason and first screening decision.</t>
  </si>
  <si>
    <t>Project owner / Sales / NPD</t>
  </si>
  <si>
    <t>Request triage, project record, first decision</t>
  </si>
  <si>
    <t>SG02</t>
  </si>
  <si>
    <t>Gate 02 - Target User &amp; Product Brief</t>
  </si>
  <si>
    <t>Define target user, life stage, market, brief, use context and success criteria.</t>
  </si>
  <si>
    <t>Project owner / Marketing / Regulatory</t>
  </si>
  <si>
    <t>Brief, target users, markets, success criteria</t>
  </si>
  <si>
    <t>SG03</t>
  </si>
  <si>
    <t>Gate 03 - Product Concept &amp; Claims</t>
  </si>
  <si>
    <t>Lock concept, claim direction, benchmark products and evidence needs.</t>
  </si>
  <si>
    <t>Marketing / Regulatory / R&amp;I</t>
  </si>
  <si>
    <t>Claims brief, competitor review, evidence needs</t>
  </si>
  <si>
    <t>Evidence_Register</t>
  </si>
  <si>
    <t>SG04</t>
  </si>
  <si>
    <t>Gate 04 - Ingredient &amp; Supplier Screening</t>
  </si>
  <si>
    <t>PHASE 2; GATE 4-6 (NPD)</t>
  </si>
  <si>
    <t>Phase 2 - Ingredient &amp; Formula Qualification</t>
  </si>
  <si>
    <t>Screen ingredients, raw materials, suppliers, regulatory status, availability and risk flags.</t>
  </si>
  <si>
    <t>R&amp;I / Regulatory / Procurement</t>
  </si>
  <si>
    <t>RM evidence, supplier docs, risk flags</t>
  </si>
  <si>
    <t>SG05</t>
  </si>
  <si>
    <t>Gate 05 - Formula, BOM &amp; Costing</t>
  </si>
  <si>
    <t>Confirm formula route, BOM, pH/process targets, costing and technical feasibility.</t>
  </si>
  <si>
    <t>R&amp;I / Manufacturing / Finance</t>
  </si>
  <si>
    <t>Formula/BOM/costing, pH/process targets</t>
  </si>
  <si>
    <t>SG06</t>
  </si>
  <si>
    <t>Gate 06 - Packaging &amp; Artwork Requirements</t>
  </si>
  <si>
    <t>Packaging / Artwork / Regulatory</t>
  </si>
  <si>
    <t>Pack components, artwork and compatibility plan</t>
  </si>
  <si>
    <t>SG07</t>
  </si>
  <si>
    <t>Gate 07 - Maternal &amp; Baby-Contact Safety</t>
  </si>
  <si>
    <t>PHASE 3; GATE 7-9 (QUALITY)</t>
  </si>
  <si>
    <t>Phase 3 - Validation &amp; Quality Control</t>
  </si>
  <si>
    <t>Complete maternal use, pregnancy/breastfeeding, infant-contact exposure and sensitive-user safety screening.</t>
  </si>
  <si>
    <t>Safety / Scientific Review / Quality</t>
  </si>
  <si>
    <t>Maternal + baby-contact risk assessment</t>
  </si>
  <si>
    <t>SG08</t>
  </si>
  <si>
    <t>Gate 08 - Testing, Methods &amp; Validation</t>
  </si>
  <si>
    <t>Quality / R&amp;I / Study owner</t>
  </si>
  <si>
    <t>Testing plan, participant protocol and methods</t>
  </si>
  <si>
    <t>SG09</t>
  </si>
  <si>
    <t>Gate 09 - Stability, Compatibility &amp; Release Readiness</t>
  </si>
  <si>
    <t>Quality / R&amp;I / Manufacturing</t>
  </si>
  <si>
    <t>Stability, PET/micro, compatibility and release criteria</t>
  </si>
  <si>
    <t>SG10</t>
  </si>
  <si>
    <t>Gate 10 - Regulatory Dossier &amp; Claims Evidence</t>
  </si>
  <si>
    <t>PHASE 4; GATE 10-12 (REG + MGT)</t>
  </si>
  <si>
    <t>Phase 4 - Evidence, Release &amp; Improvement</t>
  </si>
  <si>
    <t>Regulatory / Claims / Safety</t>
  </si>
  <si>
    <t>PIF/CPSR map, claims evidence, HCP summary inputs</t>
  </si>
  <si>
    <t>SG11</t>
  </si>
  <si>
    <t>Gate 11 - Production, Launch &amp; Sales Support Sign-Off</t>
  </si>
  <si>
    <t>Manufacturing / Quality / Sales</t>
  </si>
  <si>
    <t>Production readiness, launch approvals, sales support</t>
  </si>
  <si>
    <t>SG12</t>
  </si>
  <si>
    <t>Gate 12 - Post-Market Monitoring &amp; Improvement</t>
  </si>
  <si>
    <t>Quality / PV/PMS / Project owner</t>
  </si>
  <si>
    <t>Feedback, complaints, PV/PMS, CAPA, improvement actions</t>
  </si>
  <si>
    <t>Change Control &amp; Communication</t>
  </si>
  <si>
    <t>Applies across all phases</t>
  </si>
  <si>
    <t>Controls artwork, formula, label, claim, supplier, process and market changes so changes are not made silently.</t>
  </si>
  <si>
    <t>Project owner / QA / relevant function</t>
  </si>
  <si>
    <t>Change ID, approvals, communication record, closure evidence</t>
  </si>
  <si>
    <t>STEP 1 — NEEDS DEFINITION  |  [Product / SKU]  |  [Product type / category]</t>
  </si>
  <si>
    <t>Prepared for review by: [Project Manager]  and  [Head of Department]  |  Status: DRAFT for review — hold all formula work until sign-off</t>
  </si>
  <si>
    <t>Scope: What this product must do, based on the physiology and emotional needs of the intended user(s) (and, for maternal/infant products, BOTH infant and parent). Dot points only. Every need must be referenced (see Endnotes; provide full https links).</t>
  </si>
  <si>
    <t>A. USER / INFANT — PHYSICAL / PHYSIOLOGICAL NEEDS</t>
  </si>
  <si>
    <t>[Enter each physical/physiological need as a dot point — e.g. protect the skin barrier, reduce dryness/TEWL, be gentle/low-irritant, safe for hand-to-mouth exposure. Add a reference tag [n] to each need.]</t>
  </si>
  <si>
    <t>[Add a need that designs OUT a known formulation risk for this user group — e.g. an ingredient/lipid profile to avoid. Reference it. [n]]</t>
  </si>
  <si>
    <t>[Add further physical needs as required — one need per row.]</t>
  </si>
  <si>
    <t>B. USER / INFANT — EMOTIONAL / DEVELOPMENTAL NEEDS</t>
  </si>
  <si>
    <t>[Enter emotional/developmental needs — e.g. calming/self-regulation, sleep support, bonding/attachment, comforting sensory cues. Reference each. [n]]</t>
  </si>
  <si>
    <t>[Add further emotional/developmental needs as required — one per row.]</t>
  </si>
  <si>
    <t>C. PARENT / CAREGIVER / SECONDARY USER — EMOTIONAL NEEDS</t>
  </si>
  <si>
    <t>[Enter the emotional needs of the parent/caregiver or secondary user — e.g. confidence it is safe, a calming ritual, bonding &amp; competence, trust in claims, ease of use. Reference each. [n]]</t>
  </si>
  <si>
    <t>[Add further caregiver emotional needs as required — one per row.]</t>
  </si>
  <si>
    <t>D. PARENT / CAREGIVER / SECONDARY USER — PRACTICAL / FUNCTIONAL NEEDS</t>
  </si>
  <si>
    <t>[Enter practical/functional needs — e.g. predictable sensory experience, stability &amp; shelf life, clear/honest labelling, allergen transparency. Reference each. [n]]</t>
  </si>
  <si>
    <t>[Add further practical/functional needs as required — one per row.]</t>
  </si>
  <si>
    <t>E. NEEDS -&gt; DESIGN IMPLICATIONS (carries into Step 3: Backbone Technology)</t>
  </si>
  <si>
    <t>[Translate the needs above into design implications — e.g. carrier/backbone direction, active system, stability system, fragrance/allergen approach. Reference each. [n]]</t>
  </si>
  <si>
    <t>[Add further design implications as required — one per row.]</t>
  </si>
  <si>
    <t>OPEN QUESTION(S) for review: [record any unresolved formulation/safety question that must be confirmed before formula work proceeds — e.g. a carrier/ingredient to confirm or replace. Cross-reference the Carrier / Emollient Review sheet where relevant. [n]]</t>
  </si>
  <si>
    <t>ENDNOTES (provide full https links for quick verification)</t>
  </si>
  <si>
    <t>[1] [Reference title / source] — https://...</t>
  </si>
  <si>
    <t>[2] [Reference title / source] — https://...</t>
  </si>
  <si>
    <t>[3] [Reference title / source] — https://...</t>
  </si>
  <si>
    <t>[4] [Reference title / source] — https://...</t>
  </si>
  <si>
    <t>[5] [Add / remove reference rows to match the [n] tags used above] — https://...</t>
  </si>
  <si>
    <t>NOTE ON REFERENCES: Gather links via live research. R&amp;I to confirm each source meets the MBc360 'more than one reference' rule before any need is used to support a market claim. Where a lay/secondary source is cited, replace with the primary journal article at claims stage.</t>
  </si>
  <si>
    <t>MBc360 — CARRIER / EMOLLIENT SYSTEM REVIEW  |  [Product / SKU]</t>
  </si>
  <si>
    <t>Question answered: Are the carriers correct, could they be improved, and are they research-backed? (Actives are reviewed separately.)</t>
  </si>
  <si>
    <t>Carrier / emollient</t>
  </si>
  <si>
    <t>% in current draft</t>
  </si>
  <si>
    <t>Assessment for [target user] skin</t>
  </si>
  <si>
    <t>Research-backed?</t>
  </si>
  <si>
    <t>Recommendation</t>
  </si>
  <si>
    <t>Reference</t>
  </si>
  <si>
    <t>Ingredient name</t>
  </si>
  <si>
    <t>[Role in the formula — e.g. primary carrier, light emollient, antioxidant]</t>
  </si>
  <si>
    <t>[Assessment for the target user’s skin — is it appropriate/gentle/suitable?]</t>
  </si>
  <si>
    <t>[Yes/No — is it research-backed? Summarise the evidence]</t>
  </si>
  <si>
    <t>[Recommendation — KEEP / IMPROVE / REVIEW-REDUCE / REPLACE, with reason]</t>
  </si>
  <si>
    <t>https://... [reference link]</t>
  </si>
  <si>
    <t>SUMMARY — is the carrier system correct?</t>
  </si>
  <si>
    <t>[Overall verdict on the carrier/emollient system — e.g. sound / needs fixes. Summarise the backbone logic.]</t>
  </si>
  <si>
    <t>#1 PRIORITY FIX: [record the single most important carrier change for this user group, with the reason and evidence.]</t>
  </si>
  <si>
    <t>#2 CONSIDER: [second improvement — e.g. reduce/replace an ingredient, with rationale.]</t>
  </si>
  <si>
    <t>#3 KEEP &amp; POSSIBLY LIFT: [note any ingredient(s) to retain or increase, with rationale.]</t>
  </si>
  <si>
    <t>ACTIVES (separate from carriers): [note which actives are retained/excluded and why. Cross-reference the Needs sheet endnotes for evidence.]</t>
  </si>
  <si>
    <t>NEXT: these carrier changes feed Step 3 (Backbone Technology) and then the final formula + testing plan. No changes are written into the formula file until the Needs sheet is reviewed and signed off.</t>
  </si>
  <si>
    <t>MBc360 Development &amp; Quality System — NPD FRONT-END ROADMAP &amp; GAP CLOSURE</t>
  </si>
  <si>
    <t>Purpose: close the front-end scientific gaps identified in the 24-Jul-2026 NPD review. Every NEW product MUST complete the mandatory 4-part structure below, in order, before formula lock. Reference: 'Review Mbc360 against Standard NPD'.</t>
  </si>
  <si>
    <t>A. IF YOU WERE TO PRACTISE MBc360 — WHAT TO DO FIRST (mandatory order, hold formula work until Steps 1–3 are signed off)</t>
  </si>
  <si>
    <t>#</t>
  </si>
  <si>
    <t>Do this first</t>
  </si>
  <si>
    <t>What it must produce (minimum output)</t>
  </si>
  <si>
    <t>Controlled sheet to use</t>
  </si>
  <si>
    <t>Sign-off gate</t>
  </si>
  <si>
    <t>Define the NEEDS (physical + emotional) and the scientific basis</t>
  </si>
  <si>
    <t>Physical/physiological, emotional/developmental, caregiver &amp; practical needs; needs→design implications; research questions; references; open questions. Formula work HELD until reviewed.</t>
  </si>
  <si>
    <t>Chris Needs Document (brief) → 1. Needs &amp; Scientific Basis</t>
  </si>
  <si>
    <t>Project Manager / R&amp;I</t>
  </si>
  <si>
    <t>Map COMPETITORS &amp; current existing solutions</t>
  </si>
  <si>
    <t>Selected competitors with purchase evidence (country/retailer/date/lot), full INCI, claims, patents, disclosed testing, price/use, sensory + analytical comparison, and the Max Biocare design decision from each comparison. Also 'standard of care' / what users do now.</t>
  </si>
  <si>
    <t>2. Competitor &amp; Current-Solution Landscape</t>
  </si>
  <si>
    <t>Marketing / R&amp;I</t>
  </si>
  <si>
    <t>Define the TARGET PRODUCT PROFILE + propose the BACKBONE TECHNOLOGY</t>
  </si>
  <si>
    <t>One agreed definition of success (min/target/ideal/unacceptable per attribute + measurement method). Technology platform: precise problem, routes considered, why selected, mechanism, critical attributes, evidence maturity, patent landscape, and HOW it is superior to existing products.</t>
  </si>
  <si>
    <t>3. Target Product Profile &amp; Tech Platform</t>
  </si>
  <si>
    <t>R&amp;I / Project Manager</t>
  </si>
  <si>
    <t>SG03→SG05</t>
  </si>
  <si>
    <t>Plan EVIDENCE / TESTING before formula lock, then FINAL FORMULA + testing to support the claim</t>
  </si>
  <si>
    <t>Prospective evidence plan (endpoint, comparator, method, minimum acceptable result, failure definition) BEFORE formula lock; detailed protocol AFTER prototype; then final formula + tests that substantiate each claim.</t>
  </si>
  <si>
    <t>4. Evidence Plan &amp; Claim Support (→ George- Efficacy/Study sheets, Tuan- Formula_BOM)</t>
  </si>
  <si>
    <t>SG05 / SG08</t>
  </si>
  <si>
    <t>B. MANDATORY 4-PART STRUCTURE FOR EVERY NEW PRODUCT (same structure for all products, all team members)</t>
  </si>
  <si>
    <t>Part</t>
  </si>
  <si>
    <t>Mandatory element</t>
  </si>
  <si>
    <t>Question it answers</t>
  </si>
  <si>
    <t>New controlled sheet</t>
  </si>
  <si>
    <t>NEEDS — physical &amp; emotional</t>
  </si>
  <si>
    <t>What needs are we trying to address (body + mind, user + caregiver)?</t>
  </si>
  <si>
    <t>1. Needs &amp; Scientific Basis</t>
  </si>
  <si>
    <t>New</t>
  </si>
  <si>
    <t>Executive summary stays in 'Chris Needs Document'; full science here.</t>
  </si>
  <si>
    <t>COMPETITORS / existing solutions</t>
  </si>
  <si>
    <t>What already exists, how well does it work, where is the real unmet gap?</t>
  </si>
  <si>
    <t>Includes purchased-sample &amp; comparative-testing protocol.</t>
  </si>
  <si>
    <t>BACKBONE technology / structure (must be superior)</t>
  </si>
  <si>
    <t>What platform will address the needs, and how is it better than the market?</t>
  </si>
  <si>
    <t>Combines Target Product Profile + Technology Platform.</t>
  </si>
  <si>
    <t>FINAL formula + testing to support the claim</t>
  </si>
  <si>
    <t>Does the finished product deliver, and is every claim substantiated?</t>
  </si>
  <si>
    <t>4. Evidence Plan &amp; Claim Support</t>
  </si>
  <si>
    <t>Feeds Tuan- Formula_BOM and George- Efficacy/Study sheets.</t>
  </si>
  <si>
    <t>C. GAP REGISTER — MISSING FRONT-END / SCIENTIFIC COMPONENTS (from the 24-Jul-2026 review). Retain existing operational controls unchanged.</t>
  </si>
  <si>
    <t>Priority</t>
  </si>
  <si>
    <t>Missing component</t>
  </si>
  <si>
    <t>Current coverage</t>
  </si>
  <si>
    <t>Action</t>
  </si>
  <si>
    <t>Sheet / owner</t>
  </si>
  <si>
    <t>Highest</t>
  </si>
  <si>
    <t>Human Needs &amp; Scientific Basis Dossier</t>
  </si>
  <si>
    <t>Partly — Chris Needs Document is a good brief</t>
  </si>
  <si>
    <t>Add full scientific needs standard (research questions, search method, evidence quality, traceability)</t>
  </si>
  <si>
    <t>Template created</t>
  </si>
  <si>
    <t>Market, Competitor &amp; Current-Solution Landscape</t>
  </si>
  <si>
    <t>Weak — link + Gate 3 note only</t>
  </si>
  <si>
    <t>Add controlled competitor methodology + purchased-sample &amp; comparative-testing protocol + standard-of-care analysis</t>
  </si>
  <si>
    <t>Target Product Profile + Evidence Development Plan</t>
  </si>
  <si>
    <t>Distributed across phases, not one document</t>
  </si>
  <si>
    <t>Consolidate one agreed success definition; split prospective plan vs post-prototype protocol</t>
  </si>
  <si>
    <t>3. Target Product Profile &amp; Tech Platform / 4. Evidence Plan</t>
  </si>
  <si>
    <t>Technology Platform &amp; Evidence Dossier</t>
  </si>
  <si>
    <t>Largely missing ('Backbone Technology' mentioned)</t>
  </si>
  <si>
    <t>Add reusable technology-platform structure (routes, mechanism, critical attributes, patent landscape, SKU transfer)</t>
  </si>
  <si>
    <t>Ingredient &amp; Raw-Material Evidence Monograph</t>
  </si>
  <si>
    <t>Strong supplier control; weak science/story</t>
  </si>
  <si>
    <t>Add exact-material identity, provenance, patents, trial history, transferability, approved story</t>
  </si>
  <si>
    <t>5. Ingredient Evidence Monograph</t>
  </si>
  <si>
    <t>Evidence hierarchy, transferability &amp; inference rules</t>
  </si>
  <si>
    <t>Evidence level' field exists but undefined</t>
  </si>
  <si>
    <t>Add corporate evidence-grading + transferability + inference-boundary instruction</t>
  </si>
  <si>
    <t>6. Evidence Hierarchy &amp; Search Rules</t>
  </si>
  <si>
    <t>Corporate literature-search &amp; referencing standard</t>
  </si>
  <si>
    <t>Largely missing</t>
  </si>
  <si>
    <t>Add databases, search strings/dates, inclusion/exclusion, DOI/PMID, patent &amp; trial citation rules</t>
  </si>
  <si>
    <t>Also req.</t>
  </si>
  <si>
    <t>Portfolio, Range &amp; Routine Architecture</t>
  </si>
  <si>
    <t>Missing (SKU-level only)</t>
  </si>
  <si>
    <t>Add portfolio/routine/technology-relationship structure</t>
  </si>
  <si>
    <t>Roadmap note — build when range work begins</t>
  </si>
  <si>
    <t>Logged</t>
  </si>
  <si>
    <t>Product Technical &amp; Evidence Dossier structure</t>
  </si>
  <si>
    <t>Evidence indexed, narrative missing</t>
  </si>
  <si>
    <t>Define complete written product dossier structure</t>
  </si>
  <si>
    <t>4. Evidence Plan &amp; Claim Support (narrative section)</t>
  </si>
  <si>
    <t>Patent / clinical-trial / provenance registers</t>
  </si>
  <si>
    <t>Missing</t>
  </si>
  <si>
    <t>Included as sections in Ingredient Monograph + Tech Platform</t>
  </si>
  <si>
    <t>Scientific storytelling &amp; training standard</t>
  </si>
  <si>
    <t>Partly (approval only)</t>
  </si>
  <si>
    <t>Add Need→solution→insight→technology→formula→evidence→claim story architecture</t>
  </si>
  <si>
    <t>Roadmap note — build with Marketing</t>
  </si>
  <si>
    <t>MBc360 — HUMAN NEEDS &amp; SCIENTIFIC BASIS DOSSIER  |  [Product / SKU]  |  [Product type / category]</t>
  </si>
  <si>
    <t>Companion to 'Chris Needs Document' (executive summary). This dossier holds the FULL scientific needs analysis. Formula work is HELD until Steps 1-3 of the NPD Front-End Roadmap are signed off. Provide full https references.</t>
  </si>
  <si>
    <t>1. FRAMED SCIENTIFIC RESEARCH QUESTIONS (what must be answered before design)</t>
  </si>
  <si>
    <t>Need domain</t>
  </si>
  <si>
    <t>Need (dot point)</t>
  </si>
  <si>
    <t>Framed research question (PICO/PECO where relevant)</t>
  </si>
  <si>
    <t>Population / life stage</t>
  </si>
  <si>
    <t>Measurement endpoint</t>
  </si>
  <si>
    <t>Evidence found (summary)</t>
  </si>
  <si>
    <t>Reference [n]</t>
  </si>
  <si>
    <t>Physical / physiological</t>
  </si>
  <si>
    <t>[need]</t>
  </si>
  <si>
    <t>[In &lt;population&gt;, does &lt;exposure/ingredient&gt; vs &lt;comparator&gt; change &lt;endpoint&gt;?]</t>
  </si>
  <si>
    <t>[population]</t>
  </si>
  <si>
    <t>[endpoint &amp; instrument]</t>
  </si>
  <si>
    <t>[summary + evidence quality]</t>
  </si>
  <si>
    <t>https://... [1]</t>
  </si>
  <si>
    <t>https://... [2]</t>
  </si>
  <si>
    <t>Emotional / developmental</t>
  </si>
  <si>
    <t>https://... [3]</t>
  </si>
  <si>
    <t>Caregiver emotional</t>
  </si>
  <si>
    <t>https://... [4]</t>
  </si>
  <si>
    <t>Practical / functional</t>
  </si>
  <si>
    <t>https://... [5]</t>
  </si>
  <si>
    <t>Disease vs cosmetic boundary</t>
  </si>
  <si>
    <t>https://... [6]</t>
  </si>
  <si>
    <t>Exposure / hand-to-mouth</t>
  </si>
  <si>
    <t>https://... [7]</t>
  </si>
  <si>
    <t>2. LITERATURE-SEARCH METHOD (record so the search is reproducible)</t>
  </si>
  <si>
    <t>Database</t>
  </si>
  <si>
    <t>Search string</t>
  </si>
  <si>
    <t>Search date</t>
  </si>
  <si>
    <t>Inclusion criteria</t>
  </si>
  <si>
    <t>Exclusion criteria</t>
  </si>
  <si>
    <t>Records screened / included</t>
  </si>
  <si>
    <t>PubMed</t>
  </si>
  <si>
    <t>[string]</t>
  </si>
  <si>
    <t>[YYYY-MM-DD]</t>
  </si>
  <si>
    <t>[inclusion]</t>
  </si>
  <si>
    <t>[exclusion]</t>
  </si>
  <si>
    <t>[n screened / n incl]</t>
  </si>
  <si>
    <t>[notes]</t>
  </si>
  <si>
    <t>Cochrane</t>
  </si>
  <si>
    <t>ClinicalTrials.gov</t>
  </si>
  <si>
    <t>Patent (Espacenet/Google Patents)</t>
  </si>
  <si>
    <t>Supplier / grey literature</t>
  </si>
  <si>
    <t>3. ANATOMY, PHYSIOLOGY, EXPOSURE SCIENCE &amp; CONTRADICTORY / NULL EVIDENCE</t>
  </si>
  <si>
    <t>Relevant anatomy / physiology:</t>
  </si>
  <si>
    <t>[e.g. skin barrier / TEWL / infant skin thinness / scalp exposure]</t>
  </si>
  <si>
    <t>Exposure science:</t>
  </si>
  <si>
    <t>[dose, frequency, surface area, hand-to-mouth, occlusion]</t>
  </si>
  <si>
    <t>Population-specific analysis:</t>
  </si>
  <si>
    <t>[infant vs adult vs pregnant/BF differences]</t>
  </si>
  <si>
    <t>Contradictory or null evidence found:</t>
  </si>
  <si>
    <t>[record honestly - what did NOT show benefit]</t>
  </si>
  <si>
    <t>Disease vs cosmetic boundary:</t>
  </si>
  <si>
    <t>[where does a cosmetic claim stop and a therapeutic claim begin?]</t>
  </si>
  <si>
    <t>Evidence gaps &amp; research priorities:</t>
  </si>
  <si>
    <t>[what is still unknown; what to test first]</t>
  </si>
  <si>
    <t>4. NEEDS -&gt; TECHNOLOGY TRACEABILITY MATRIX (carries into Sheet 3: Tech Platform)</t>
  </si>
  <si>
    <t>Need ID</t>
  </si>
  <si>
    <t>Need</t>
  </si>
  <si>
    <t>Design implication</t>
  </si>
  <si>
    <t>Backbone/technology direction</t>
  </si>
  <si>
    <t>Critical attribute</t>
  </si>
  <si>
    <t>Evidence status</t>
  </si>
  <si>
    <t>N1</t>
  </si>
  <si>
    <t>[implication]</t>
  </si>
  <si>
    <t>[technology direction]</t>
  </si>
  <si>
    <t>[critical attribute + target]</t>
  </si>
  <si>
    <t>[demonstrated / ingredient-only / gap]</t>
  </si>
  <si>
    <t>N2</t>
  </si>
  <si>
    <t>N3</t>
  </si>
  <si>
    <t>N4</t>
  </si>
  <si>
    <t>N5</t>
  </si>
  <si>
    <t>5. GATE SIGN-OFF (formula work may NOT proceed until complete)</t>
  </si>
  <si>
    <t>Prepared by:</t>
  </si>
  <si>
    <t>[name]</t>
  </si>
  <si>
    <t>Reviewed by (Head of Dept):</t>
  </si>
  <si>
    <t>Independent reviewer:</t>
  </si>
  <si>
    <t>Date: [YYYY-MM-DD]</t>
  </si>
  <si>
    <t>MBc360 — MARKET, COMPETITOR &amp; CURRENT-SOLUTION LANDSCAPE DOSSIER  |  [Product / SKU]</t>
  </si>
  <si>
    <t>Controlled record of PURCHASED competitor samples + desktop research + standard-of-care analysis. One row per competitor product. Every important competitor must be purchased and physically evaluated, not just researched online.</t>
  </si>
  <si>
    <t>1. COMPETITOR PRODUCT REGISTER — PURCHASE &amp; IDENTITY (buy a real sample for every important competitor)</t>
  </si>
  <si>
    <t>Why selected / market role</t>
  </si>
  <si>
    <t>Brand &amp; exact product</t>
  </si>
  <si>
    <t>Country / retailer</t>
  </si>
  <si>
    <t>Purchase date</t>
  </si>
  <si>
    <t>Batch / lot / expiry</t>
  </si>
  <si>
    <t>Price &amp; cost per use</t>
  </si>
  <si>
    <t>Full label archived? (link)</t>
  </si>
  <si>
    <t>Dose / frequency</t>
  </si>
  <si>
    <t>[reason + category role]</t>
  </si>
  <si>
    <t>[brand — exact SKU]</t>
  </si>
  <si>
    <t>[country / retailer]</t>
  </si>
  <si>
    <t>[batch / lot / expiry]</t>
  </si>
  <si>
    <t>[price / cost-per-use]</t>
  </si>
  <si>
    <t>[Y/N — link]</t>
  </si>
  <si>
    <t>[dose &amp; frequency]</t>
  </si>
  <si>
    <t>2. CLAIMS, INCI, IP &amp; DISCLOSED TESTING (per competitor above — keep the same row order)</t>
  </si>
  <si>
    <t>Exact claims &amp; qualifications</t>
  </si>
  <si>
    <t>Full INCI</t>
  </si>
  <si>
    <t>Highlighted actives &amp; % (if disclosed)</t>
  </si>
  <si>
    <t>Patents / registered tech</t>
  </si>
  <si>
    <t>Publications / clinical trials</t>
  </si>
  <si>
    <t>Disclosed testing</t>
  </si>
  <si>
    <t>Packaging &amp; dosing performance</t>
  </si>
  <si>
    <t>Strengths / weaknesses / uncertainties</t>
  </si>
  <si>
    <t>[claims]</t>
  </si>
  <si>
    <t>[INCI]</t>
  </si>
  <si>
    <t>[actives + %]</t>
  </si>
  <si>
    <t>[patent numbers]</t>
  </si>
  <si>
    <t>[refs / NCT]</t>
  </si>
  <si>
    <t>[what testing]</t>
  </si>
  <si>
    <t>[pack performance]</t>
  </si>
  <si>
    <t>[S/W/uncertainty]</t>
  </si>
  <si>
    <t>3. COMPARATIVE TESTING PROTOCOL (blinded where possible — sensory, human-factors, analytical)</t>
  </si>
  <si>
    <t>Attribute tested</t>
  </si>
  <si>
    <t>Method / instrument</t>
  </si>
  <si>
    <t>Our product result</t>
  </si>
  <si>
    <t>Best competitor result</t>
  </si>
  <si>
    <t>Comparator winner</t>
  </si>
  <si>
    <t>Acceptance target</t>
  </si>
  <si>
    <t>Blinded? (Y/N)</t>
  </si>
  <si>
    <t>Sensory (skin feel/absorption)</t>
  </si>
  <si>
    <t>[method]</t>
  </si>
  <si>
    <t>[result]</t>
  </si>
  <si>
    <t>[us / competitor]</t>
  </si>
  <si>
    <t>[target]</t>
  </si>
  <si>
    <t>[Y/N]</t>
  </si>
  <si>
    <t>Fragrance liking</t>
  </si>
  <si>
    <t>Spreadability / rub-in</t>
  </si>
  <si>
    <t>Analytical (pH / viscosity)</t>
  </si>
  <si>
    <t>Performance endpoint</t>
  </si>
  <si>
    <t>Packaging dose accuracy</t>
  </si>
  <si>
    <t>4. CURRENT SOLUTIONS &amp; STANDARD OF CARE (what users do now WITHOUT a specialised product)</t>
  </si>
  <si>
    <t>Current behaviour / solution</t>
  </si>
  <si>
    <t>Why users do it</t>
  </si>
  <si>
    <t>What works adequately</t>
  </si>
  <si>
    <t>What fails</t>
  </si>
  <si>
    <t>Medical / professional recommendation</t>
  </si>
  <si>
    <t>Gap that justifies a new product</t>
  </si>
  <si>
    <t>Design decision</t>
  </si>
  <si>
    <t>Water-only / basic wash</t>
  </si>
  <si>
    <t>[why]</t>
  </si>
  <si>
    <t>[works]</t>
  </si>
  <si>
    <t>[fails]</t>
  </si>
  <si>
    <t>[recommendation]</t>
  </si>
  <si>
    <t>[the real unmet gap]</t>
  </si>
  <si>
    <t>https://...</t>
  </si>
  <si>
    <t>[Max Biocare decision]</t>
  </si>
  <si>
    <t>OTC lotion / cream / oil</t>
  </si>
  <si>
    <t>Home remedy</t>
  </si>
  <si>
    <t>Chelating / specialist product</t>
  </si>
  <si>
    <t>Professional / clinic advice</t>
  </si>
  <si>
    <t>Do nothing</t>
  </si>
  <si>
    <t>5. LANDSCAPE DECISION SUMMARY</t>
  </si>
  <si>
    <t>Our position vs best competitor:</t>
  </si>
  <si>
    <t>[where we win / lose / match]</t>
  </si>
  <si>
    <t>Demonstrated unmet need (not just an internal idea):</t>
  </si>
  <si>
    <t>[state the evidence-based gap]</t>
  </si>
  <si>
    <t>Superiority target the backbone technology must beat:</t>
  </si>
  <si>
    <t>[the specific bar to clear — carries to Sheet 3]</t>
  </si>
  <si>
    <t>MBc360 — TARGET PRODUCT PROFILE (TPP) &amp; TECHNOLOGY PLATFORM DOSSIER  |  [Product / SKU]</t>
  </si>
  <si>
    <t>ONE agreed definition of what success means, plus the backbone technology that will deliver it. The technology MUST be demonstrably superior in some way to the current market (Sheet 2). Complete before formula lock (Gate 5).</t>
  </si>
  <si>
    <t>SECTION 1 — TARGET PRODUCT PROFILE (agree BEFORE development; every row measurable)</t>
  </si>
  <si>
    <t>Attribute / parameter</t>
  </si>
  <si>
    <t>Minimum (must-have to launch)</t>
  </si>
  <si>
    <t>Target (the aim)</t>
  </si>
  <si>
    <t>Ideal (stretch)</t>
  </si>
  <si>
    <t>Unacceptable (auto-fail)</t>
  </si>
  <si>
    <t>Measurement method / evidence</t>
  </si>
  <si>
    <t>Core efficacy endpoint</t>
  </si>
  <si>
    <t>[e.g. measurable improvement in target parameter]</t>
  </si>
  <si>
    <t>[target value &amp; timepoint]</t>
  </si>
  <si>
    <t>[stretch value]</t>
  </si>
  <si>
    <t>[below this = fail]</t>
  </si>
  <si>
    <t>[instrument / clinical / in-vitro method + ref]</t>
  </si>
  <si>
    <t>Onset / time to benefit</t>
  </si>
  <si>
    <t>[e.g. within X days]</t>
  </si>
  <si>
    <t>[X days]</t>
  </si>
  <si>
    <t>[faster]</t>
  </si>
  <si>
    <t>[no benefit by X]</t>
  </si>
  <si>
    <t>[study design + endpoint]</t>
  </si>
  <si>
    <t>Safety / tolerability (incl. infant contact)</t>
  </si>
  <si>
    <t>[zero unacceptable AEs; maternal + baby-contact safe]</t>
  </si>
  <si>
    <t>[target tolerability]</t>
  </si>
  <si>
    <t>[best-in-class]</t>
  </si>
  <si>
    <t>[any serious AE / prohibited ingredient]</t>
  </si>
  <si>
    <t>[HRIPT / patch / PB caution check]</t>
  </si>
  <si>
    <t>Sensory / usability</t>
  </si>
  <si>
    <t>[minimum acceptable sensory]</t>
  </si>
  <si>
    <t>[target sensory profile]</t>
  </si>
  <si>
    <t>[delightful]</t>
  </si>
  <si>
    <t>[sensory that breaks ritual]</t>
  </si>
  <si>
    <t>[consumer panel method]</t>
  </si>
  <si>
    <t>Stability / shelf life</t>
  </si>
  <si>
    <t>[min months at target conditions]</t>
  </si>
  <si>
    <t>[target months]</t>
  </si>
  <si>
    <t>[stretch]</t>
  </si>
  <si>
    <t>[fails stability spec]</t>
  </si>
  <si>
    <t>[ICH stability protocol]</t>
  </si>
  <si>
    <t>Cost / margin</t>
  </si>
  <si>
    <t>[max COGS to hit margin]</t>
  </si>
  <si>
    <t>[target COGS]</t>
  </si>
  <si>
    <t>[lower]</t>
  </si>
  <si>
    <t>[above margin ceiling]</t>
  </si>
  <si>
    <t>[Costing_Calc link]</t>
  </si>
  <si>
    <t>Claim(s) to be supported</t>
  </si>
  <si>
    <t>[minimum defensible claim]</t>
  </si>
  <si>
    <t>[target claim set]</t>
  </si>
  <si>
    <t>[ideal claim]</t>
  </si>
  <si>
    <t>[claim without evidence]</t>
  </si>
  <si>
    <t>[Sheet 4 evidence plan link]</t>
  </si>
  <si>
    <t>SECTION 2 — BACKBONE / PLATFORM TECHNOLOGY (the proposed superior solution)</t>
  </si>
  <si>
    <t>Question / field</t>
  </si>
  <si>
    <t>Answer (dot points)</t>
  </si>
  <si>
    <t>Reference [n] / evidence link</t>
  </si>
  <si>
    <t>Precise problem being solved</t>
  </si>
  <si>
    <t>[state the exact physiological/functional problem — from Sheet 1 needs]</t>
  </si>
  <si>
    <t>[n]</t>
  </si>
  <si>
    <t>Routes / platforms considered</t>
  </si>
  <si>
    <t>[list the candidate technologies/carriers/actives evaluated]</t>
  </si>
  <si>
    <t>Selected platform &amp; why</t>
  </si>
  <si>
    <t>[the chosen backbone and the reasoning it won]</t>
  </si>
  <si>
    <t>Mechanism of action</t>
  </si>
  <si>
    <t>[how it works at skin/biological level]</t>
  </si>
  <si>
    <t>Why SUPERIOR to current market</t>
  </si>
  <si>
    <t>[the specific, demonstrable advantage vs competitors in Sheet 2 — faster/gentler/higher potency/novel delivery]</t>
  </si>
  <si>
    <t>Critical-to-quality attributes</t>
  </si>
  <si>
    <t>[the parameters that MUST be controlled for it to work — feeds Potency_Process_Control]</t>
  </si>
  <si>
    <t>Evidence maturity</t>
  </si>
  <si>
    <t>[proven / emerging / theoretical — grade using Sheet 6 hierarchy]</t>
  </si>
  <si>
    <t>Patent / IP landscape</t>
  </si>
  <si>
    <t>[own IP, freedom to operate, competitor patents to design around]</t>
  </si>
  <si>
    <t>SKU / portfolio transfer</t>
  </si>
  <si>
    <t>[which other products this platform can carry into — feeds portfolio architecture]</t>
  </si>
  <si>
    <t>SECTION 3 — SIGN-OFF (TPP + platform agreed before formula work begins)</t>
  </si>
  <si>
    <t>Project Manager: [Chris] ____   Head of Department: [George] ____   R&amp;I: ____   Date: ____   Status: DRAFT — hold formula work until this profile is signed off.</t>
  </si>
  <si>
    <t>MBc360 — EVIDENCE PLAN &amp; CLAIM SUPPORT MATRIX  |  [Product / SKU]</t>
  </si>
  <si>
    <t>Plan the proof BEFORE the formula is locked, then trace every claim to it. Section 1 = prospective plan (define endpoint, comparator, method &amp; pass/fail BEFORE seeing results). Section 3 = permanent claim IDs feeding Tuan-Formula_BOM and George- efficacy sheets.</t>
  </si>
  <si>
    <t>SECTION 1 — PROSPECTIVE EVIDENCE PLAN (agree BEFORE formula lock — Gate 3/5)</t>
  </si>
  <si>
    <t>Claim / benefit to prove</t>
  </si>
  <si>
    <t>Endpoint / what is measured</t>
  </si>
  <si>
    <t>Comparator (vs what)</t>
  </si>
  <si>
    <t>Method / study type</t>
  </si>
  <si>
    <t>Minimum acceptable result (pass)</t>
  </si>
  <si>
    <t>Failure definition</t>
  </si>
  <si>
    <t>[intended claim]</t>
  </si>
  <si>
    <t>[objective endpoint]</t>
  </si>
  <si>
    <t>[placebo / competitor / baseline]</t>
  </si>
  <si>
    <t>[in-vitro / clinical / consumer]</t>
  </si>
  <si>
    <t>[pass threshold + timepoint]</t>
  </si>
  <si>
    <t>[what counts as fail]</t>
  </si>
  <si>
    <t>[comparator]</t>
  </si>
  <si>
    <t>[pass threshold]</t>
  </si>
  <si>
    <t>[fail definition]</t>
  </si>
  <si>
    <t>[add rows as needed]</t>
  </si>
  <si>
    <t>SECTION 2 — DETAILED TEST PROTOCOL (complete once prototype exists — Gate 8)</t>
  </si>
  <si>
    <t>Test / method</t>
  </si>
  <si>
    <t>Sample size &amp; rationale</t>
  </si>
  <si>
    <t>Conditions / timepoints</t>
  </si>
  <si>
    <t>Acceptance limit</t>
  </si>
  <si>
    <t>Report / evidence link</t>
  </si>
  <si>
    <t>[method ref]</t>
  </si>
  <si>
    <t>[n + justification]</t>
  </si>
  <si>
    <t>[conditions]</t>
  </si>
  <si>
    <t>[limit]</t>
  </si>
  <si>
    <t>[George-Test_Report_Index link]</t>
  </si>
  <si>
    <t>[owner]</t>
  </si>
  <si>
    <t>[link]</t>
  </si>
  <si>
    <t>SECTION 3 — CLAIM → EVIDENCE TRACEABILITY (permanent claim IDs)</t>
  </si>
  <si>
    <t>Claim ID</t>
  </si>
  <si>
    <t>Approved claim wording</t>
  </si>
  <si>
    <t>Mechanism (Sheet 3)</t>
  </si>
  <si>
    <t>Evidence grade (Sheet 6)</t>
  </si>
  <si>
    <t>Supporting evidence / report</t>
  </si>
  <si>
    <t>Status (supported / pending)</t>
  </si>
  <si>
    <t>Approved by / date</t>
  </si>
  <si>
    <t>CLM-001</t>
  </si>
  <si>
    <t>[exact approved wording]</t>
  </si>
  <si>
    <t>[platform mechanism]</t>
  </si>
  <si>
    <t>[grade A/B/C]</t>
  </si>
  <si>
    <t>[report link / DOI/PMID]</t>
  </si>
  <si>
    <t>[status]</t>
  </si>
  <si>
    <t>[approver / date]</t>
  </si>
  <si>
    <t>CLM-002</t>
  </si>
  <si>
    <t>[wording]</t>
  </si>
  <si>
    <t>[mechanism]</t>
  </si>
  <si>
    <t>[grade]</t>
  </si>
  <si>
    <t>[evidence]</t>
  </si>
  <si>
    <t>CLM-003</t>
  </si>
  <si>
    <t>SECTION 4 — CONTROL RULE</t>
  </si>
  <si>
    <t>No claim may appear on artwork, HCP material or sales material unless it has a Claim ID here with status 'supported'. Defining pass/fail BEFORE results prevents outcome-shopping. Cross-check George-Mechanism_Claims and ChiChu-SKU_Claims_PIF.</t>
  </si>
  <si>
    <t>MBc360 — INGREDIENT / ACTIVE EVIDENCE MONOGRAPH  |  [Material / INCI]</t>
  </si>
  <si>
    <t>One monograph per key active/functional ingredient. Fixes the exact material used, its provenance/story, patents, external trial history and how far that evidence transfers to OUR product. Complete at Gate 4/5; feeds Sheet 3 (mechanism), Sheet 4 (claims) and Chidkamon-Supplier_RM.</t>
  </si>
  <si>
    <t>SECTION 1 — EXACT MATERIAL IDENTITY (no ambiguity)</t>
  </si>
  <si>
    <t>Field</t>
  </si>
  <si>
    <t>Detail (dot points)</t>
  </si>
  <si>
    <t>Reference [n] / link</t>
  </si>
  <si>
    <t>INCI / chemical name</t>
  </si>
  <si>
    <t>[exact INCI]</t>
  </si>
  <si>
    <t>Trade name &amp; supplier</t>
  </si>
  <si>
    <t>[branded material + manufacturer]</t>
  </si>
  <si>
    <t>Grade / spec / concentration used</t>
  </si>
  <si>
    <t>[grade, actives %, purity, CAS]</t>
  </si>
  <si>
    <t>Form / extraction / process</t>
  </si>
  <si>
    <t>[how it is made — matters for evidence transfer]</t>
  </si>
  <si>
    <t>SECTION 2 — PROVENANCE &amp; STORY</t>
  </si>
  <si>
    <t>Origin / source story</t>
  </si>
  <si>
    <t>[where it comes from, sustainability, narrative]</t>
  </si>
  <si>
    <t>Why chosen for this product</t>
  </si>
  <si>
    <t>[link to Sheet 1 need + Sheet 3 platform]</t>
  </si>
  <si>
    <t>SECTION 3 — IP &amp; EXTERNAL EVIDENCE</t>
  </si>
  <si>
    <t>Patent / IP status</t>
  </si>
  <si>
    <t>[own IP, licensed, off-patent, FTO notes]</t>
  </si>
  <si>
    <t>External clinical / trial history</t>
  </si>
  <si>
    <t>[published human/in-vitro studies on THIS material]</t>
  </si>
  <si>
    <t>Study conditions (dose, vehicle, population)</t>
  </si>
  <si>
    <t>[the exact conditions of that evidence]</t>
  </si>
  <si>
    <t>SECTION 4 — TRANSFERABILITY TO OUR PRODUCT (critical)</t>
  </si>
  <si>
    <t>Does evidence transfer?</t>
  </si>
  <si>
    <t>[same dose/vehicle/population? Y/N + why]</t>
  </si>
  <si>
    <t>Inference vs proof</t>
  </si>
  <si>
    <t>[what is proven here vs only inferred — grade via Sheet 6]</t>
  </si>
  <si>
    <t>Gap / test needed in OUR formula</t>
  </si>
  <si>
    <t>[what must still be tested — feeds Sheet 4]</t>
  </si>
  <si>
    <t>SECTION 5 — APPROVED WORDING</t>
  </si>
  <si>
    <t>Professional / HCP explanation</t>
  </si>
  <si>
    <t>[approved technical wording]</t>
  </si>
  <si>
    <t>Consumer explanation</t>
  </si>
  <si>
    <t>[approved lay wording]</t>
  </si>
  <si>
    <t>Wording to AVOID</t>
  </si>
  <si>
    <t>[claims not supported / regulatory no-go]</t>
  </si>
  <si>
    <t>MBc360 — EVIDENCE HIERARCHY &amp; LITERATURE-SEARCH STANDARD</t>
  </si>
  <si>
    <t>The corporate rulebook that keeps every claim honest: how evidence is graded, when it transfers vs is only inferred, and how literature is searched and cited. Applies to Sheets 1-5 and all efficacy sheets.</t>
  </si>
  <si>
    <t>SECTION 1 — EVIDENCE HIERARCHY (how strong is the proof?)</t>
  </si>
  <si>
    <t>Grade</t>
  </si>
  <si>
    <t>Evidence type</t>
  </si>
  <si>
    <t>When it may support a claim</t>
  </si>
  <si>
    <t>Limitations / conditions</t>
  </si>
  <si>
    <t>A</t>
  </si>
  <si>
    <t>Systematic review / meta-analysis, or ≥2 well-controlled human RCTs on the FINISHED product or identical formula</t>
  </si>
  <si>
    <t>Directly supports a strong efficacy/benefit claim for this product</t>
  </si>
  <si>
    <t>Must be on the finished formula or a matrix-equivalent formula; register + protocol on file</t>
  </si>
  <si>
    <t>B</t>
  </si>
  <si>
    <t>Single well-controlled human study on the product, OR robust human data on the SAME active at the SAME use level/vehicle</t>
  </si>
  <si>
    <t>Supports a qualified claim (e.g. "shown to…" with method footnote)</t>
  </si>
  <si>
    <t>Confirm dose, vehicle and exposure match; note sample size and duration</t>
  </si>
  <si>
    <t>C</t>
  </si>
  <si>
    <t>Ex-vivo / in-vitro / mechanistic data, or human data on the active in a DIFFERENT vehicle or dose</t>
  </si>
  <si>
    <t>Supports a mechanism or "designed to" statement only — NOT a finished-product efficacy claim</t>
  </si>
  <si>
    <t>Flag as inference; cannot stand alone for a consumer efficacy claim</t>
  </si>
  <si>
    <t>D</t>
  </si>
  <si>
    <t>Ingredient-supplier data, monographs, reviews, or secondary/lay sources</t>
  </si>
  <si>
    <t>Background &amp; hypothesis generation only</t>
  </si>
  <si>
    <t>Replace with primary source before claims stage; never sole support</t>
  </si>
  <si>
    <t>E</t>
  </si>
  <si>
    <t>Traditional use / anecdote / marketing collateral</t>
  </si>
  <si>
    <t>Not usable to support a regulated claim</t>
  </si>
  <si>
    <t>Record for context only</t>
  </si>
  <si>
    <t>—</t>
  </si>
  <si>
    <t>Safety evidence (tox, CPSR, patch/HRIPT)</t>
  </si>
  <si>
    <t>Required for safety substantiation regardless of efficacy grade</t>
  </si>
  <si>
    <t>Governed by the Safety / PIF sheets, not this efficacy scale</t>
  </si>
  <si>
    <t>SECTION 2 — TRANSFERABILITY &amp; INFERENCE RULES (does the evidence actually apply to THIS product?)</t>
  </si>
  <si>
    <t>Question to answer</t>
  </si>
  <si>
    <t>PASS = transfers directly</t>
  </si>
  <si>
    <t>FAIL = inference only (downgrade grade)</t>
  </si>
  <si>
    <t>Same active</t>
  </si>
  <si>
    <t>Is it the same molecule/extract (INCI, chemotype, extraction)?</t>
  </si>
  <si>
    <t>Identical active</t>
  </si>
  <si>
    <t>Different salt, extract or grade</t>
  </si>
  <si>
    <t>Same dose</t>
  </si>
  <si>
    <t>Is the use level &gt;= the level shown effective in the source?</t>
  </si>
  <si>
    <t>At or above effective level</t>
  </si>
  <si>
    <t>Below effective level or unknown</t>
  </si>
  <si>
    <t>Same vehicle</t>
  </si>
  <si>
    <t>Is the carrier/matrix comparable (leave-on vs rinse-off, emulsion type)?</t>
  </si>
  <si>
    <t>Comparable vehicle</t>
  </si>
  <si>
    <t>Different vehicle -&gt; bioavailability differs</t>
  </si>
  <si>
    <t>Same exposure</t>
  </si>
  <si>
    <t>Same site, frequency, duration and user group (incl. infant/maternal)?</t>
  </si>
  <si>
    <t>Matches intended use</t>
  </si>
  <si>
    <t>Different population or regimen</t>
  </si>
  <si>
    <t>Same endpoint</t>
  </si>
  <si>
    <t>Does the source measure the SAME outcome being claimed?</t>
  </si>
  <si>
    <t>Same measured endpoint</t>
  </si>
  <si>
    <t>Surrogate or different endpoint</t>
  </si>
  <si>
    <t>Combination effect</t>
  </si>
  <si>
    <t>Could other ingredients enhance/inhibit the effect?</t>
  </si>
  <si>
    <t>No material interaction expected</t>
  </si>
  <si>
    <t>Interaction plausible -&gt; test on finished formula</t>
  </si>
  <si>
    <t>RULE: If ANY test fails, the claim is an inference (max Grade C) and must be labelled as mechanism / "designed to" language until confirmed on the finished formula. Per the MBc360 'more than one reference' rule, no single source — and no lay source — may be the sole support for a market claim.</t>
  </si>
  <si>
    <t>SECTION 3 — LITERATURE-SEARCH &amp; REFERENCING STANDARD (how we find and record the evidence)</t>
  </si>
  <si>
    <t>Element</t>
  </si>
  <si>
    <t>Standard / requirement</t>
  </si>
  <si>
    <t>What to record on the sheet</t>
  </si>
  <si>
    <t>Databases</t>
  </si>
  <si>
    <t>Search recognised sources: PubMed / MEDLINE, Embase, Cochrane, Google Scholar, plus patent (Espacenet, Google Patents) and trial registries (ClinicalTrials.gov, ANZCTR)</t>
  </si>
  <si>
    <t>List every database searched</t>
  </si>
  <si>
    <t>Search strings</t>
  </si>
  <si>
    <t>Record the exact Boolean strings (active AND endpoint AND population) used per question</t>
  </si>
  <si>
    <t>Paste full search string(s)</t>
  </si>
  <si>
    <t>Search dates</t>
  </si>
  <si>
    <t>Record the date each search was run and the date range covered</t>
  </si>
  <si>
    <t>dd-mmm-yyyy run date</t>
  </si>
  <si>
    <t>Inclusion / exclusion</t>
  </si>
  <si>
    <t>Define criteria up front: species, human vs in-vitro, language, study design, dose/vehicle relevance</t>
  </si>
  <si>
    <t>State criteria + count included/excluded</t>
  </si>
  <si>
    <t>Study identifiers</t>
  </si>
  <si>
    <t>Capture DOI and/or PMID for every journal source; register ID for trials</t>
  </si>
  <si>
    <t>DOI: 10.xxxx / PMID: xxxxxxx</t>
  </si>
  <si>
    <t>Patent citation</t>
  </si>
  <si>
    <t>Cite as: Applicant, Title, Patent no. (e.g. US1234567B2), grant/priority date</t>
  </si>
  <si>
    <t>Full patent number + status</t>
  </si>
  <si>
    <t>R&amp;I / Legal</t>
  </si>
  <si>
    <t>Full https links</t>
  </si>
  <si>
    <t>Every reference must carry a full working https link for one-click verification</t>
  </si>
  <si>
    <t>Paste live URL</t>
  </si>
  <si>
    <t>Two-reference rule</t>
  </si>
  <si>
    <t>Confirm each need/claim meets the MBc360 'more than one reference' rule; replace any lay/secondary source with the primary article at claims stage</t>
  </si>
  <si>
    <t>Tick when &gt;=2 primary sources on file</t>
  </si>
  <si>
    <t>R&amp;I -&gt; Regulatory</t>
  </si>
  <si>
    <t>SECTION 4 — CONTROL &amp; SIGN-OFF</t>
  </si>
  <si>
    <t>This standard is mandatory for Sheets 1-5 and every efficacy/claim sheet. No need or claim may progress to formula or label without: (a) an assigned evidence Grade (Sec 1), (b) a passed transferability check or an explicit inference flag (Sec 2), and (c) a complete, dated, linked search record (Sec 3).</t>
  </si>
  <si>
    <t>Prepared by (R&amp;I): __________________   Date: __________</t>
  </si>
  <si>
    <t>Approved by (Head of Dept / Regulatory): __________________   Date: __________</t>
  </si>
  <si>
    <t>REVIEW OWNER: Tuan (Formulation)  |  Co-review: Sankar (Quality – Formula BOM &amp; sensory testing)  |  Co-sign: Chris (Project Manager)</t>
  </si>
  <si>
    <t>Formula BOM / Direct Formula Costing</t>
  </si>
  <si>
    <t>Enter each raw material once. Cost and batch quantity fields are formula-driven from Costing_Calc; attach evidence links for each raw material.</t>
  </si>
  <si>
    <t>FORMULA BOM</t>
  </si>
  <si>
    <t>Line</t>
  </si>
  <si>
    <t>RM Code</t>
  </si>
  <si>
    <t>Ingredient / INCI</t>
  </si>
  <si>
    <t>Function</t>
  </si>
  <si>
    <t>Supplier</t>
  </si>
  <si>
    <t>% w/w</t>
  </si>
  <si>
    <t>Batch kg</t>
  </si>
  <si>
    <t>kg needed</t>
  </si>
  <si>
    <t>Cost / kg</t>
  </si>
  <si>
    <t>Cost / batch</t>
  </si>
  <si>
    <t>Cost / unit</t>
  </si>
  <si>
    <t>Method ref</t>
  </si>
  <si>
    <t>Total formula cost / unit</t>
  </si>
  <si>
    <t>REVIEW OWNER: Tuan (Formulation)  |  Co-sign: Chris (Project Manager)</t>
  </si>
  <si>
    <t>Batch Formula Trace</t>
  </si>
  <si>
    <t>Link production batch records, formula version and release evidence. Keep GMP records in the controlled GMP system.</t>
  </si>
  <si>
    <t>BATCH TRACEABILITY</t>
  </si>
  <si>
    <t>Product/SKU</t>
  </si>
  <si>
    <t>Batch / lot</t>
  </si>
  <si>
    <t>Manufacturing date</t>
  </si>
  <si>
    <t>Master Formula_BOM version</t>
  </si>
  <si>
    <t>Actual batch record link</t>
  </si>
  <si>
    <t>Deviation / CAPA link</t>
  </si>
  <si>
    <t>CoA / release link</t>
  </si>
  <si>
    <t>Stability sample link</t>
  </si>
  <si>
    <t>PIF / PMF link</t>
  </si>
  <si>
    <t>CONTROL POINTER - see Released Label Control</t>
  </si>
  <si>
    <t>Hannah / Lily / Anki</t>
  </si>
  <si>
    <t>Every shipment out must also be logged in Lily-Released_Label_Ctrl (Block C) with exact batch details + exact released label artwork version before release.</t>
  </si>
  <si>
    <t>Formulation Change Register (NP Controlled)</t>
  </si>
  <si>
    <t>Every formulation change (preservative system, active up/down, any ingredient change) must be recorded here BEFORE implementation. Manufacturing treating a change as a new code does NOT remove the need to control and communicate it. Note: formula changes require ~6 months re-registration for Vietnam (VN) - NP must be involved for commercial implications.</t>
  </si>
  <si>
    <t>FORMULATION CHANGE LOG</t>
  </si>
  <si>
    <t>Change ID</t>
  </si>
  <si>
    <t>Product Family / SKU</t>
  </si>
  <si>
    <t>Change requested by NPD team</t>
  </si>
  <si>
    <t>Date change requested by NPD</t>
  </si>
  <si>
    <t>Approved by NP? (commercial)</t>
  </si>
  <si>
    <t>NP approval date</t>
  </si>
  <si>
    <t>Change title</t>
  </si>
  <si>
    <t>Explanation - exactly what changed</t>
  </si>
  <si>
    <t>Reasons</t>
  </si>
  <si>
    <t>Changed by</t>
  </si>
  <si>
    <t>Action: NPD (Tuan/George/Chris)</t>
  </si>
  <si>
    <t>Action: Reg - new registration/label? (Chi)</t>
  </si>
  <si>
    <t>Action: Manufacturing (inform only)</t>
  </si>
  <si>
    <t>Action: Marketing &amp; Sales (NP decides)</t>
  </si>
  <si>
    <t>New VN registration required? (~6 months)</t>
  </si>
  <si>
    <t>Market communication required?</t>
  </si>
  <si>
    <t>Communicated to market? (Y/N)</t>
  </si>
  <si>
    <t>Closed? (Y/N)</t>
  </si>
  <si>
    <t>Overall status</t>
  </si>
  <si>
    <t>NP sign-off (name)</t>
  </si>
  <si>
    <t>Communication acknowledged by (name / date)</t>
  </si>
  <si>
    <t>CLOSURE CONTROL SUMMARY (live)</t>
  </si>
  <si>
    <t>Total changes logged</t>
  </si>
  <si>
    <t>Awaiting NP decision</t>
  </si>
  <si>
    <t>Approved but still open</t>
  </si>
  <si>
    <t>Market comms pending</t>
  </si>
  <si>
    <t>VN re-registration pending</t>
  </si>
  <si>
    <t>Closed</t>
  </si>
  <si>
    <t>Rejected</t>
  </si>
  <si>
    <t>Awaiting NP sign-off</t>
  </si>
  <si>
    <t>Formula Change Control</t>
  </si>
  <si>
    <t>Use for any formula, ingredient, supplier, pH, process, potency, preservative, fragrance, active-level or manufacturing instruction change.</t>
  </si>
  <si>
    <t>FORMULA CHANGE TRIGGERS</t>
  </si>
  <si>
    <t>Formula change trigger</t>
  </si>
  <si>
    <t>Examples</t>
  </si>
  <si>
    <t>Potential impact areas</t>
  </si>
  <si>
    <t>Mandatory actions</t>
  </si>
  <si>
    <t>Person in charge</t>
  </si>
  <si>
    <t>Technical sign-off</t>
  </si>
  <si>
    <t>Reg/QA sign-off</t>
  </si>
  <si>
    <t>Sales/Marketing output required</t>
  </si>
  <si>
    <t>Template/form</t>
  </si>
  <si>
    <t>Evidence required</t>
  </si>
  <si>
    <t>Closure criteria</t>
  </si>
  <si>
    <t>Change_Control_Comm ID</t>
  </si>
  <si>
    <t>Old version</t>
  </si>
  <si>
    <t>New version</t>
  </si>
  <si>
    <t>Ingredient added or removed</t>
  </si>
  <si>
    <t>New active, preservative, fragrance or problematic ingredient removed</t>
  </si>
  <si>
    <t>Safety, efficacy, claims, label INCI, PIF, stability, cost</t>
  </si>
  <si>
    <t>Update Formula_BOM; screen safety lists; assess claim and label impact</t>
  </si>
  <si>
    <t>R&amp;I / Formulation</t>
  </si>
  <si>
    <t>Regulatory + Quality</t>
  </si>
  <si>
    <t>Yes</t>
  </si>
  <si>
    <t>Formula Change Comparison</t>
  </si>
  <si>
    <t>Old/new formula, rationale, safety evidence</t>
  </si>
  <si>
    <t>Updated version controlled</t>
  </si>
  <si>
    <t>Ingredient percentage or active level changed</t>
  </si>
  <si>
    <t>Active increase/decrease, preservative or humectant balance</t>
  </si>
  <si>
    <t>Efficacy, irritation, preservation, stability, cost</t>
  </si>
  <si>
    <t>Re-check claim map, potency controls and evidence need</t>
  </si>
  <si>
    <t>Quality + Regulatory where impacted</t>
  </si>
  <si>
    <t>Yes if claim/label/customer-facing</t>
  </si>
  <si>
    <t>Batch trial, pH, stability/micro plan</t>
  </si>
  <si>
    <t>Evidence updated before release</t>
  </si>
  <si>
    <t>pH range or process changed</t>
  </si>
  <si>
    <t>Heat/cool order, addition temperature, homogenisation, hold time</t>
  </si>
  <si>
    <t>Potency, microbiology, stability, repeatability</t>
  </si>
  <si>
    <t>Update process instructions and critical control points</t>
  </si>
  <si>
    <t>R&amp;I + Manufacturing</t>
  </si>
  <si>
    <t>If customer-facing</t>
  </si>
  <si>
    <t>Process Change Control</t>
  </si>
  <si>
    <t>Process redline, batch record, trial result</t>
  </si>
  <si>
    <t>Manufacturing instructions updated</t>
  </si>
  <si>
    <t>Supplier/raw material/manufacturer change</t>
  </si>
  <si>
    <t>New supplier, grade, site or manufacturer</t>
  </si>
  <si>
    <t>Contaminants, allergens, potency, claims, cost, availability</t>
  </si>
  <si>
    <t>Re-qualify material and compare specs</t>
  </si>
  <si>
    <t>Procurement + R&amp;I</t>
  </si>
  <si>
    <t>Quality + Regulatory</t>
  </si>
  <si>
    <t>If story/claim/cost/supply impacted</t>
  </si>
  <si>
    <t>Supplier/RM Change Form</t>
  </si>
  <si>
    <t>SDS, CoA, TDS, allergen, spec comparison</t>
  </si>
  <si>
    <t>Supplier approved and evidence filed</t>
  </si>
  <si>
    <t>Fragrance/allergen/sensory change</t>
  </si>
  <si>
    <t>Perfume changed/removed, essential oil level, odour/colour/texture</t>
  </si>
  <si>
    <t>Allergen declaration, PBW caution, consumer perception, complaints</t>
  </si>
  <si>
    <t>Update allergen and caution checks; update artwork if needed</t>
  </si>
  <si>
    <t>R&amp;I + Regulatory</t>
  </si>
  <si>
    <t>Sensory/Fragrance Change Form</t>
  </si>
  <si>
    <t>IFRA/allergen data, label impact</t>
  </si>
  <si>
    <t>Sales/Marketing notified</t>
  </si>
  <si>
    <t>REVIEW OWNER: Tuan (Formulation – Product Development Reporting)  |  Co-sign: Chris (Project Manager)</t>
  </si>
  <si>
    <t>Product Development Report</t>
  </si>
  <si>
    <t>Records the iterative development of new SKUs: each formula improvement by NPD (Tuan), the team feedback that drove it, competitor benchmarking and the decision trail - the way Supplement/Pharma capture it. Links to Formulation_Change_Register, Product_Feedback_Form and Product_Family_Register.</t>
  </si>
  <si>
    <t>PRODUCT / PROJECT IDENTIFICATION</t>
  </si>
  <si>
    <t>Product Family</t>
  </si>
  <si>
    <t>Formula version (current)</t>
  </si>
  <si>
    <t>NPD lead (formulator)</t>
  </si>
  <si>
    <t>Target markets</t>
  </si>
  <si>
    <t>Report date</t>
  </si>
  <si>
    <t>Competitor benchmarks</t>
  </si>
  <si>
    <t>e.g. Massata, Kangaroo Mommy</t>
  </si>
  <si>
    <t>DEVELOPMENT ITERATION LOG (each improved formula version and what drove it)</t>
  </si>
  <si>
    <t>Iteration #</t>
  </si>
  <si>
    <t>What changed (formula / process)</t>
  </si>
  <si>
    <t>Reason / trigger (feedback source)</t>
  </si>
  <si>
    <t>Feedback ref (Feedback Form / tester)</t>
  </si>
  <si>
    <t>Result / observation</t>
  </si>
  <si>
    <t>Linked Change ID</t>
  </si>
  <si>
    <t>TEAM FEEDBACK &amp; COMPETITOR BENCHMARK NOTES</t>
  </si>
  <si>
    <t>Source (name / dept / market)</t>
  </si>
  <si>
    <t>Feedback / benchmark note</t>
  </si>
  <si>
    <t>Competitor (if any)</t>
  </si>
  <si>
    <t>Our position vs competitor</t>
  </si>
  <si>
    <t>Action taken / planned</t>
  </si>
  <si>
    <t>REVIEW OWNER: Sekar (Quality &amp; GMP)  |  Co-sign: Chris (Project Manager)</t>
  </si>
  <si>
    <t>GMP Manufacturing Links</t>
  </si>
  <si>
    <t>Controlled GMP records remain in the GMP manufacturing system. MBc360 records links, status and traceability only.</t>
  </si>
  <si>
    <t>GMP FILE LINKS</t>
  </si>
  <si>
    <t>Market</t>
  </si>
  <si>
    <t>Manufacturing site</t>
  </si>
  <si>
    <t>GMP system reference</t>
  </si>
  <si>
    <t>GMP file type</t>
  </si>
  <si>
    <t>GMP file / document name</t>
  </si>
  <si>
    <t>GMP owner / system</t>
  </si>
  <si>
    <t>Link / location</t>
  </si>
  <si>
    <t>Version / batch / date</t>
  </si>
  <si>
    <t>Linked MBc360 gate / sheet</t>
  </si>
  <si>
    <t>[SKU]</t>
  </si>
  <si>
    <t>[market]</t>
  </si>
  <si>
    <t>[site]</t>
  </si>
  <si>
    <t>[GMP system ID]</t>
  </si>
  <si>
    <t>GMP certificate / site approval</t>
  </si>
  <si>
    <t>[document name]</t>
  </si>
  <si>
    <t>GMP manufacturing system</t>
  </si>
  <si>
    <t>[version/date]</t>
  </si>
  <si>
    <t>10/11/PIF</t>
  </si>
  <si>
    <t>Link only; do not recreate in MBc360</t>
  </si>
  <si>
    <t>Manufacturing BOM</t>
  </si>
  <si>
    <t>Formula_BOM / 11</t>
  </si>
  <si>
    <t>GMP team maintains master file</t>
  </si>
  <si>
    <t>Production schedule</t>
  </si>
  <si>
    <t>Link current approved schedule or batch plan</t>
  </si>
  <si>
    <t>Batch manufacturing record</t>
  </si>
  <si>
    <t>[batch/date]</t>
  </si>
  <si>
    <t>Batch_Formula_Trace</t>
  </si>
  <si>
    <t>Required for production/release traceability</t>
  </si>
  <si>
    <t>In-process QC record</t>
  </si>
  <si>
    <t>Micro_PET_Evidence / Stability_Release</t>
  </si>
  <si>
    <t>pH, temperature, hold time, mixing/fill records</t>
  </si>
  <si>
    <t>Finished product CoA / release</t>
  </si>
  <si>
    <t>Stability_Release / PIF_Evidence_Export</t>
  </si>
  <si>
    <t>Attach/link controlled report for PIF</t>
  </si>
  <si>
    <t>Deviation / CAPA</t>
  </si>
  <si>
    <t>GMP/QMS system</t>
  </si>
  <si>
    <t>[ID/date]</t>
  </si>
  <si>
    <t>PostMarket_CAPA / Change_Control_Comm</t>
  </si>
  <si>
    <t>Closure remains in GMP/QMS</t>
  </si>
  <si>
    <t>REVIEW OWNER: Sekar (Quality &amp; GMP)  |  Co-sign: Tuan (Formulation – PET), Chris (Project Manager)</t>
  </si>
  <si>
    <t>Microbiology &amp; PET Evidence</t>
  </si>
  <si>
    <t>Capture micro limits, PET/challenge testing and preservation rationale once. Link reports to Test_Report_Index and PIF export.</t>
  </si>
  <si>
    <t>MICRO / PRESERVATION EVIDENCE</t>
  </si>
  <si>
    <t>Batch / sample</t>
  </si>
  <si>
    <t>Test type</t>
  </si>
  <si>
    <t>Method / lab</t>
  </si>
  <si>
    <t>Acceptance criteria</t>
  </si>
  <si>
    <t>Result / score</t>
  </si>
  <si>
    <t>Conclusion</t>
  </si>
  <si>
    <t>Report link</t>
  </si>
  <si>
    <t>Raw data link</t>
  </si>
  <si>
    <t>REVIEW OWNER: Sekar (Quality &amp; GMP)  |  Co-sign: Tuan (Formulation – Stability), Chris (Project Manager)</t>
  </si>
  <si>
    <t>Stability, Compatibility &amp; Release Evidence</t>
  </si>
  <si>
    <t>Use for accelerated/real-time stability, package compatibility and final release evidence. Do not duplicate raw reports; link them.</t>
  </si>
  <si>
    <t>STABILITY / RELEASE LOG</t>
  </si>
  <si>
    <t>Pack / component</t>
  </si>
  <si>
    <t>Batch</t>
  </si>
  <si>
    <t>Condition</t>
  </si>
  <si>
    <t>Timepoint</t>
  </si>
  <si>
    <t>Result</t>
  </si>
  <si>
    <t>Release decision</t>
  </si>
  <si>
    <t>REVIEW OWNER: Sankar (Quality)  |  Co-sign: Lani (HR/Quality), Chris (Project Manager)</t>
  </si>
  <si>
    <t>Record method, score, acceptance limit, conclusion and final report link once. All other tabs should link back to this index.</t>
  </si>
  <si>
    <t>CONTROLLED REPORT INDEX</t>
  </si>
  <si>
    <t>Report ID</t>
  </si>
  <si>
    <t>Test / study name</t>
  </si>
  <si>
    <t>Method / protocol</t>
  </si>
  <si>
    <t>Endpoint</t>
  </si>
  <si>
    <t>Linked gate</t>
  </si>
  <si>
    <t>PIF attached?</t>
  </si>
  <si>
    <t>TR-001</t>
  </si>
  <si>
    <t>TR-002</t>
  </si>
  <si>
    <t>TR-003</t>
  </si>
  <si>
    <t>TR-004</t>
  </si>
  <si>
    <t>TR-005</t>
  </si>
  <si>
    <t>TR-006</t>
  </si>
  <si>
    <t>TR-007</t>
  </si>
  <si>
    <t>TR-008</t>
  </si>
  <si>
    <t>TR-009</t>
  </si>
  <si>
    <t>TR-010</t>
  </si>
  <si>
    <t>TR-011</t>
  </si>
  <si>
    <t>TR-012</t>
  </si>
  <si>
    <t>TR-013</t>
  </si>
  <si>
    <t>TR-014</t>
  </si>
  <si>
    <t>TR-015</t>
  </si>
  <si>
    <t>TR-016</t>
  </si>
  <si>
    <t>TR-017</t>
  </si>
  <si>
    <t>TR-018</t>
  </si>
  <si>
    <t>TR-019</t>
  </si>
  <si>
    <t>TR-020</t>
  </si>
  <si>
    <t>Eye Safety Evidence</t>
  </si>
  <si>
    <t>Use where eye-area use, baby-contact use, low-irritation or eye-safe language is relevant.</t>
  </si>
  <si>
    <t>EYE SAFETY / IRRITATION EVIDENCE</t>
  </si>
  <si>
    <t>Use scenario</t>
  </si>
  <si>
    <t>Method / model</t>
  </si>
  <si>
    <t>Endpoint / score</t>
  </si>
  <si>
    <t>Safe-zone limit</t>
  </si>
  <si>
    <t>Product Evidence Summary</t>
  </si>
  <si>
    <t>One row per evidence workstream. Link out to the controlled evidence source instead of copying reports into multiple tabs.</t>
  </si>
  <si>
    <t>EVIDENCE STATUS SUMMARY</t>
  </si>
  <si>
    <t>Evidence area</t>
  </si>
  <si>
    <t>Required?</t>
  </si>
  <si>
    <t>Trigger</t>
  </si>
  <si>
    <t>Primary template</t>
  </si>
  <si>
    <t>Secondary inputs</t>
  </si>
  <si>
    <t>Evidence link / folder</t>
  </si>
  <si>
    <t>PIF / PMF section</t>
  </si>
  <si>
    <t>Project / SKU identity</t>
  </si>
  <si>
    <t>Y</t>
  </si>
  <si>
    <t>Project opened or SKU added</t>
  </si>
  <si>
    <t>Stage_Map / project folder</t>
  </si>
  <si>
    <t>01-03</t>
  </si>
  <si>
    <t>Product summary</t>
  </si>
  <si>
    <t>Formula BOM / costing</t>
  </si>
  <si>
    <t>Formula route or cost decision</t>
  </si>
  <si>
    <t>Formula_BOM; Costing_Calc</t>
  </si>
  <si>
    <t>Formula / composition</t>
  </si>
  <si>
    <t>Raw material supplier evidence</t>
  </si>
  <si>
    <t>Any raw material used</t>
  </si>
  <si>
    <t>Procurement / Quality</t>
  </si>
  <si>
    <t>04/05</t>
  </si>
  <si>
    <t>Raw material docs</t>
  </si>
  <si>
    <t>Full formulation safety</t>
  </si>
  <si>
    <t>Formula version locked</t>
  </si>
  <si>
    <t>Prohibited_Ingredients; PB_Caution_Limits; Fragrance_Safety</t>
  </si>
  <si>
    <t>Safety assessment</t>
  </si>
  <si>
    <t>Fragrance / allergen safety</t>
  </si>
  <si>
    <t>Conditional</t>
  </si>
  <si>
    <t>Fragrance, essential oil or allergen present</t>
  </si>
  <si>
    <t>Label / IFRA</t>
  </si>
  <si>
    <t>Packaging specs and artwork</t>
  </si>
  <si>
    <t>Pack selected or market artwork needed</t>
  </si>
  <si>
    <t>Packaging_BOM; Artwork_Change_Control</t>
  </si>
  <si>
    <t>Artwork / specs</t>
  </si>
  <si>
    <t>Micro / PET</t>
  </si>
  <si>
    <t>Aqueous/preserved product or micro spec required</t>
  </si>
  <si>
    <t>Test_Report_Index</t>
  </si>
  <si>
    <t>Stability / release</t>
  </si>
  <si>
    <t>Formula/pack ready for testing or launch</t>
  </si>
  <si>
    <t>Test_Report_Index; GMP_Links</t>
  </si>
  <si>
    <t>Eye safety</t>
  </si>
  <si>
    <t>Eye-area, baby-contact or irritation-safe claim</t>
  </si>
  <si>
    <t>Safety / report</t>
  </si>
  <si>
    <t>Functional efficacy</t>
  </si>
  <si>
    <t>Functional or performance claim</t>
  </si>
  <si>
    <t>Mechanism_Claims_Map; Efficacy_Assurance</t>
  </si>
  <si>
    <t>Claim support</t>
  </si>
  <si>
    <t>Clinical / human evidence</t>
  </si>
  <si>
    <t>Human claim or HCP-facing proof required</t>
  </si>
  <si>
    <t>Study_Protocol; Efficacy_Study_Plan</t>
  </si>
  <si>
    <t>Human evidence</t>
  </si>
  <si>
    <t>PIF / dossier</t>
  </si>
  <si>
    <t>Market launch or external product file</t>
  </si>
  <si>
    <t>ASEAN_PIF_Map; PIF_Evidence_Export</t>
  </si>
  <si>
    <t>PIF</t>
  </si>
  <si>
    <t>Public information approval</t>
  </si>
  <si>
    <t>Any public/HCP/distributor material</t>
  </si>
  <si>
    <t>Published_Info_Approval</t>
  </si>
  <si>
    <t>SKU_Claims_PIF_Register; Medical_Summary</t>
  </si>
  <si>
    <t>Content owner / Regulatory</t>
  </si>
  <si>
    <t>Approved wording</t>
  </si>
  <si>
    <t>GMP / batch trace</t>
  </si>
  <si>
    <t>Manufacture, validation or launch release</t>
  </si>
  <si>
    <t>GMP_Links; Batch_Formula_Trace</t>
  </si>
  <si>
    <t>Batch / GMP</t>
  </si>
  <si>
    <t>Change control</t>
  </si>
  <si>
    <t>Formula, artwork, claim, supplier, market or process changes</t>
  </si>
  <si>
    <t>Artwork_Change_Control; Formula_Change_Control</t>
  </si>
  <si>
    <t>Change file</t>
  </si>
  <si>
    <t>Post-market / CAPA</t>
  </si>
  <si>
    <t>After launch or complaint/adverse event</t>
  </si>
  <si>
    <t>GMP_Links; PIF_Evidence_Closure</t>
  </si>
  <si>
    <t>Post-market</t>
  </si>
  <si>
    <t>Full Formulation Safety Evidence</t>
  </si>
  <si>
    <t>This is the product-level safety control sheet. It pulls ingredient identity from Formula_BOM and records links to every safety proof needed for review, PIF and external answers.</t>
  </si>
  <si>
    <t>PRODUCT SAFETY PROFILE</t>
  </si>
  <si>
    <t>Must match Formula_BOM.</t>
  </si>
  <si>
    <t>Target user / restriction</t>
  </si>
  <si>
    <t>Pregnancy / breastfeeding / baby-contact as applicable</t>
  </si>
  <si>
    <t>Marketing + Safety</t>
  </si>
  <si>
    <t>Use area and leave-on/rinse-off</t>
  </si>
  <si>
    <t>INGREDIENT-LEVEL SAFETY MATRIX</t>
  </si>
  <si>
    <t>Prohibited match</t>
  </si>
  <si>
    <t>PB caution match</t>
  </si>
  <si>
    <t>Exposure / MoS rationale</t>
  </si>
  <si>
    <t>Irritation / sensitisation</t>
  </si>
  <si>
    <t>Allergen / IFRA</t>
  </si>
  <si>
    <t>Impurity / heavy metal proof</t>
  </si>
  <si>
    <t>Safety decision</t>
  </si>
  <si>
    <t>FINAL SAFETY SIGN-OFF</t>
  </si>
  <si>
    <t>Safety question / gate</t>
  </si>
  <si>
    <t>Acceptance requirement</t>
  </si>
  <si>
    <t>Required evidence</t>
  </si>
  <si>
    <t>Decision date</t>
  </si>
  <si>
    <t>Formula identity locked</t>
  </si>
  <si>
    <t>Current formula version and Formula_BOM match</t>
  </si>
  <si>
    <t>Formula_BOM / batch formula / version record</t>
  </si>
  <si>
    <t>Toxicology / safety assessment</t>
  </si>
  <si>
    <t>Safety assessment or CPSR-style rationale covers all ingredients and finished use</t>
  </si>
  <si>
    <t>Safety assessment link</t>
  </si>
  <si>
    <t>Pregnancy / breastfeeding assessment</t>
  </si>
  <si>
    <t>PB caution table reviewed and risks addressed</t>
  </si>
  <si>
    <t>PB_Caution_Limits + rationale link</t>
  </si>
  <si>
    <t>Baby-contact / nipple-use assessment</t>
  </si>
  <si>
    <t>Use area, transfer risk and warnings assessed where applicable</t>
  </si>
  <si>
    <t>Use scenario / safety rationale</t>
  </si>
  <si>
    <t>Preservation / microbiology</t>
  </si>
  <si>
    <t>Micro/PET evidence supports formula and pack</t>
  </si>
  <si>
    <t>Micro_PET_Evidence / report link</t>
  </si>
  <si>
    <t>Impurities / heavy metals</t>
  </si>
  <si>
    <t>Supplier CoA or finished test confirms limits</t>
  </si>
  <si>
    <t>Supplier_RM_Evidence / report link</t>
  </si>
  <si>
    <t>Fragrance / allergen</t>
  </si>
  <si>
    <t>IFRA, allergen and PB caution review complete</t>
  </si>
  <si>
    <t>Fragrance_Safety link</t>
  </si>
  <si>
    <t>Regulatory / R&amp;I</t>
  </si>
  <si>
    <t>Stability / compatibility</t>
  </si>
  <si>
    <t>Formula remains safe and in specification across shelf life</t>
  </si>
  <si>
    <t>Stability_Release link</t>
  </si>
  <si>
    <t>Label warnings / directions</t>
  </si>
  <si>
    <t>Safety restrictions transferred to artwork/public wording</t>
  </si>
  <si>
    <t>Packaging_Specs_Artwork / Published_Info_Approval</t>
  </si>
  <si>
    <t>Final safety release</t>
  </si>
  <si>
    <t>All safety gaps closed or formally risk-accepted</t>
  </si>
  <si>
    <t>Final sign-off link</t>
  </si>
  <si>
    <t>Accountable approver</t>
  </si>
  <si>
    <t>REVIEW OWNER: George (R&amp;I)  |  Co-sign: Chris (Project Manager)</t>
  </si>
  <si>
    <t>Mechanism &amp; Claims Evidence Map</t>
  </si>
  <si>
    <t>Map each claim to the underlying problem, mechanism, ingredients, evidence level and approved wording before external use.</t>
  </si>
  <si>
    <t>CLAIM MECHANISM MAP</t>
  </si>
  <si>
    <t>Claim / benefit</t>
  </si>
  <si>
    <t>User problem</t>
  </si>
  <si>
    <t>Key ingredient / technology</t>
  </si>
  <si>
    <t>Formula/process control</t>
  </si>
  <si>
    <t>Evidence level</t>
  </si>
  <si>
    <t>Approved wording / limitation</t>
  </si>
  <si>
    <t>Twinkle 5 Claims Map</t>
  </si>
  <si>
    <t>Connect skin-quality principles to evidence and claim controls. Use only where Twinkle 5 language is relevant.</t>
  </si>
  <si>
    <t>TWINKLE 5 EVIDENCE MAP</t>
  </si>
  <si>
    <t>Principle</t>
  </si>
  <si>
    <t>Plain-English benefit</t>
  </si>
  <si>
    <t>Allowed wording</t>
  </si>
  <si>
    <t>Limitations / do-not-say</t>
  </si>
  <si>
    <t>Barrier</t>
  </si>
  <si>
    <t>Skin barrier support / comfort</t>
  </si>
  <si>
    <t>Hydration</t>
  </si>
  <si>
    <t>Water retention / moisturisation</t>
  </si>
  <si>
    <t>Texture</t>
  </si>
  <si>
    <t>Smoothness / softness / sensory</t>
  </si>
  <si>
    <t>Tone / appearance</t>
  </si>
  <si>
    <t>Even-looking skin / glow</t>
  </si>
  <si>
    <t>Support against environmental stressors</t>
  </si>
  <si>
    <t>Efficacy Assurance Control</t>
  </si>
  <si>
    <t>Use this first to check that efficacy is controlled as clearly as safety. Do not duplicate reports; link to the source sheet.</t>
  </si>
  <si>
    <t>EFFICACY CONTROL CHECKPOINTS</t>
  </si>
  <si>
    <t>Control route</t>
  </si>
  <si>
    <t>Primary evidence source</t>
  </si>
  <si>
    <t>Formula efficacy route</t>
  </si>
  <si>
    <t>Formula contains mechanism-relevant ingredients at justified levels</t>
  </si>
  <si>
    <t>Formula_BOM; Mechanism_Claims_Map</t>
  </si>
  <si>
    <t>Ingredient evidence route</t>
  </si>
  <si>
    <t>Ingredient evidence is relevant to dose, format and use area</t>
  </si>
  <si>
    <t>Supplier_RM_Evidence; literature/evidence link</t>
  </si>
  <si>
    <t>Process/potency route</t>
  </si>
  <si>
    <t>Active markers and process conditions protect efficacy</t>
  </si>
  <si>
    <t>Functional testing route</t>
  </si>
  <si>
    <t>In-vitro/in-use assay proves the functional outcome</t>
  </si>
  <si>
    <t>Functional_Efficacy; Test_Report_Index</t>
  </si>
  <si>
    <t>Human evidence route</t>
  </si>
  <si>
    <t>Human or consumer evidence supports user-facing claim</t>
  </si>
  <si>
    <t>Clinical_Human_Evidence; Study_Protocol</t>
  </si>
  <si>
    <t>Approved wording route</t>
  </si>
  <si>
    <t>Claim wording matches evidence strength and limitations</t>
  </si>
  <si>
    <t>Published_Info_Approval; SKU_Claims_PIF_Register</t>
  </si>
  <si>
    <t>Functional Efficacy Evidence</t>
  </si>
  <si>
    <t>Record controlled functional assay evidence such as chlorine reduction, copper/mineral residue, moisturisation, barrier or other product-specific endpoints.</t>
  </si>
  <si>
    <t>FUNCTIONAL EFFICACY TESTS</t>
  </si>
  <si>
    <t>Claim / endpoint</t>
  </si>
  <si>
    <t>Method</t>
  </si>
  <si>
    <t>Comparator / control</t>
  </si>
  <si>
    <t>Clinical / Human Evidence</t>
  </si>
  <si>
    <t>Use for human, consumer, HCP or in-use evidence. Participant details live in Study_Protocol.</t>
  </si>
  <si>
    <t>HUMAN EVIDENCE LOG</t>
  </si>
  <si>
    <t>Evidence ID</t>
  </si>
  <si>
    <t>Study / protocol</t>
  </si>
  <si>
    <t>Claim supported</t>
  </si>
  <si>
    <t>Design</t>
  </si>
  <si>
    <t>Population</t>
  </si>
  <si>
    <t>Acceptance / benchmark</t>
  </si>
  <si>
    <t>Safety findings</t>
  </si>
  <si>
    <t>Study Protocol &amp; Participant Rationale</t>
  </si>
  <si>
    <t>Study participants are folded into this sheet to avoid a separate overlapping participant tab.</t>
  </si>
  <si>
    <t>PROTOCOL SETUP</t>
  </si>
  <si>
    <t>Protocol item</t>
  </si>
  <si>
    <t>Planned value / requirement</t>
  </si>
  <si>
    <t>Study objective</t>
  </si>
  <si>
    <t>R&amp;I / Clinical</t>
  </si>
  <si>
    <t>Claim / question</t>
  </si>
  <si>
    <t>Claims owner</t>
  </si>
  <si>
    <t>Study design</t>
  </si>
  <si>
    <t>Protocol link</t>
  </si>
  <si>
    <t>Sample size rationale</t>
  </si>
  <si>
    <t>Rationale link</t>
  </si>
  <si>
    <t>Clinical</t>
  </si>
  <si>
    <t>Criteria link</t>
  </si>
  <si>
    <t>Endpoint / measurement</t>
  </si>
  <si>
    <t>Method link</t>
  </si>
  <si>
    <t>Safety / AE monitoring</t>
  </si>
  <si>
    <t>AE plan link</t>
  </si>
  <si>
    <t>Clinical / Quality</t>
  </si>
  <si>
    <t>Data handling / report</t>
  </si>
  <si>
    <t>PARTICIPANT / SAMPLE LOG</t>
  </si>
  <si>
    <t>Participant / sample ID</t>
  </si>
  <si>
    <t>Demographic group</t>
  </si>
  <si>
    <t>Consent / ethics link</t>
  </si>
  <si>
    <t>Inclusion status</t>
  </si>
  <si>
    <t>Baseline details</t>
  </si>
  <si>
    <t>Visit / timepoint</t>
  </si>
  <si>
    <t>AE / issue</t>
  </si>
  <si>
    <t>P-001</t>
  </si>
  <si>
    <t>P-002</t>
  </si>
  <si>
    <t>P-003</t>
  </si>
  <si>
    <t>P-004</t>
  </si>
  <si>
    <t>P-005</t>
  </si>
  <si>
    <t>P-006</t>
  </si>
  <si>
    <t>P-007</t>
  </si>
  <si>
    <t>P-008</t>
  </si>
  <si>
    <t>P-009</t>
  </si>
  <si>
    <t>P-010</t>
  </si>
  <si>
    <t>P-011</t>
  </si>
  <si>
    <t>P-012</t>
  </si>
  <si>
    <t>P-013</t>
  </si>
  <si>
    <t>P-014</t>
  </si>
  <si>
    <t>P-015</t>
  </si>
  <si>
    <t>P-016</t>
  </si>
  <si>
    <t>P-017</t>
  </si>
  <si>
    <t>P-018</t>
  </si>
  <si>
    <t>P-019</t>
  </si>
  <si>
    <t>P-020</t>
  </si>
  <si>
    <t>Efficacy Study Plan</t>
  </si>
  <si>
    <t>Use when claims need proof beyond ingredient rationale. Link final protocols and reports rather than duplicating them.</t>
  </si>
  <si>
    <t>EFFICACY STUDY PLANNING</t>
  </si>
  <si>
    <t>Study type</t>
  </si>
  <si>
    <t>Sample / participant plan</t>
  </si>
  <si>
    <t>Timeline</t>
  </si>
  <si>
    <t>Potency &amp; Process Control Evidence</t>
  </si>
  <si>
    <t>POTENCY / PROCESS CONTROLS</t>
  </si>
  <si>
    <t>Ingredient / active</t>
  </si>
  <si>
    <t>Marker or critical attribute</t>
  </si>
  <si>
    <t>Risk factor</t>
  </si>
  <si>
    <t>Target / spec</t>
  </si>
  <si>
    <t>Process control</t>
  </si>
  <si>
    <t>Supplier/GMP evidence</t>
  </si>
  <si>
    <t>Batch evidence link</t>
  </si>
  <si>
    <t>Impact on claim</t>
  </si>
  <si>
    <t>Medical / Safety Summary</t>
  </si>
  <si>
    <t>Ready-to-answer HCP/distributor evidence pack. Use approved wording and links, not draft data.</t>
  </si>
  <si>
    <t>SAFETY / MEDICAL SUMMARY</t>
  </si>
  <si>
    <t>Summary item</t>
  </si>
  <si>
    <t>Approved summary</t>
  </si>
  <si>
    <t>Evidence source</t>
  </si>
  <si>
    <t>Product identity and use</t>
  </si>
  <si>
    <t>Stage_Map / Formula_BOM</t>
  </si>
  <si>
    <t>Formulation safety conclusion</t>
  </si>
  <si>
    <t>Pregnancy / breastfeeding position</t>
  </si>
  <si>
    <t>Fragrance/allergen position</t>
  </si>
  <si>
    <t>Micro/stability/release position</t>
  </si>
  <si>
    <t>Micro_PET_Evidence; Stability_Release</t>
  </si>
  <si>
    <t>Adverse event / post-market pathway</t>
  </si>
  <si>
    <t>READY-TO-ANSWER PACK</t>
  </si>
  <si>
    <t>Audience question</t>
  </si>
  <si>
    <t>Approved answer</t>
  </si>
  <si>
    <t>Source evidence</t>
  </si>
  <si>
    <t>Approved wording link</t>
  </si>
  <si>
    <t>REVIEW OWNER: Chi Chu (Regulatory)  |  Co-sign: George (R&amp;I), Chris (Project Manager)</t>
  </si>
  <si>
    <t>Prohibited Ingredient Watch-list</t>
  </si>
  <si>
    <t>Product-specific absence proof. Regulatory must confirm current market status before external use.</t>
  </si>
  <si>
    <t>MASTER WATCH-LIST</t>
  </si>
  <si>
    <t>Ingredient / group</t>
  </si>
  <si>
    <t>Status / level</t>
  </si>
  <si>
    <t>Why it matters for maternal skincare</t>
  </si>
  <si>
    <t>Applicable products</t>
  </si>
  <si>
    <t>Reference / source</t>
  </si>
  <si>
    <t>Formula match count</t>
  </si>
  <si>
    <t>Product status</t>
  </si>
  <si>
    <t>Parabens</t>
  </si>
  <si>
    <t>Preservatives</t>
  </si>
  <si>
    <t>Restricted; example levels include 0.4% individually / 0.14% combined</t>
  </si>
  <si>
    <t>Endocrine and reproductive-health concerns for longer-chain parabens</t>
  </si>
  <si>
    <t>All cosmetics</t>
  </si>
  <si>
    <t>Safety validation table / current market reference</t>
  </si>
  <si>
    <t>Confirm current market limits before release.</t>
  </si>
  <si>
    <t>Phthalates</t>
  </si>
  <si>
    <t>Plasticizers / solvents / fragrance stabilizers</t>
  </si>
  <si>
    <t>Restricted/prohibited for DEHP, DBP, DIBP, BBP under REACH classifications</t>
  </si>
  <si>
    <t>Endocrine disruption and reproductive toxicity concerns</t>
  </si>
  <si>
    <t>Fragrances, nail polish, sprays, washes, lotions</t>
  </si>
  <si>
    <t>Check fragrance and packaging-contact documents.</t>
  </si>
  <si>
    <t>Cyclomethicone D4/D5/D6</t>
  </si>
  <si>
    <t>Emollients / solvents</t>
  </si>
  <si>
    <t>D4 banned; D5/D6 restricted in some contexts</t>
  </si>
  <si>
    <t>Bioaccumulation, reproductive and PBT/vPvB concerns</t>
  </si>
  <si>
    <t>Wash-off and leave-on cosmetics</t>
  </si>
  <si>
    <t>Check exact substance and product type.</t>
  </si>
  <si>
    <t>Triclosan</t>
  </si>
  <si>
    <t>Preservative / antimicrobial</t>
  </si>
  <si>
    <t>Restricted in specific product types</t>
  </si>
  <si>
    <t>Endocrine/thyroid and fetal neurodevelopment concerns</t>
  </si>
  <si>
    <t>Toothpaste, soaps, deodorants, nail products</t>
  </si>
  <si>
    <t>Confirm product-specific permissibility.</t>
  </si>
  <si>
    <t>Benzophenone</t>
  </si>
  <si>
    <t>UV filter / light stabilizer / fragrance ingredient</t>
  </si>
  <si>
    <t>Prohibited/restricted in some markets</t>
  </si>
  <si>
    <t>Carcinogenicity, endocrine activity and transplacental-exposure concern</t>
  </si>
  <si>
    <t>Sunscreens, anti-ageing creams, fragrances</t>
  </si>
  <si>
    <t>Also review oxybenzone/BP-3 caution rows.</t>
  </si>
  <si>
    <t>Methanol</t>
  </si>
  <si>
    <t>Denaturant</t>
  </si>
  <si>
    <t>Restricted level in denatured alcohol systems</t>
  </si>
  <si>
    <t>Neurotoxicity and placental-transfer concern at high exposure</t>
  </si>
  <si>
    <t>Products containing denatured alcohol</t>
  </si>
  <si>
    <t>Check CoA/specification.</t>
  </si>
  <si>
    <t>Heavy metals Pb Hg Cd As</t>
  </si>
  <si>
    <t>Contaminants / impurities</t>
  </si>
  <si>
    <t>Prohibited; trace limits vary by market</t>
  </si>
  <si>
    <t>Neurotoxicity, nephrotoxicity, carcinogenicity and fetal-development concern</t>
  </si>
  <si>
    <t>CoA/heavy metal test / market reference</t>
  </si>
  <si>
    <t>Attach CoA or finished-product heavy metal report.</t>
  </si>
  <si>
    <t>Lilial BMHCA</t>
  </si>
  <si>
    <t>Fragrance ingredient</t>
  </si>
  <si>
    <t>Prohibited in EU and high concern for maternal products</t>
  </si>
  <si>
    <t>Reproductive toxicity classification and breast milk detection concern</t>
  </si>
  <si>
    <t>Fragranced cosmetics</t>
  </si>
  <si>
    <t>IFRA / allergen / market reference</t>
  </si>
  <si>
    <t>Attach fragrance declaration.</t>
  </si>
  <si>
    <t>Retinol Retinyl Palmitate Tretinoin</t>
  </si>
  <si>
    <t>Anti-ageing active</t>
  </si>
  <si>
    <t>Restricted; pregnancy caution / contraindication logic</t>
  </si>
  <si>
    <t>Teratogenicity and cumulative exposure concerns</t>
  </si>
  <si>
    <t>Body lotions, face creams, serums</t>
  </si>
  <si>
    <t>Regulatory / Safety</t>
  </si>
  <si>
    <t>Assess with PB_Caution_Limits and label warnings.</t>
  </si>
  <si>
    <t>4-Methylbenzylidene Camphor 4-MBC</t>
  </si>
  <si>
    <t>UV filter</t>
  </si>
  <si>
    <t>Endocrine disruption and breast milk detection concern</t>
  </si>
  <si>
    <t>Sunscreens, SPF day creams</t>
  </si>
  <si>
    <t>Confirm exact market status.</t>
  </si>
  <si>
    <t>Formaldehyde releasers</t>
  </si>
  <si>
    <t>Preservative / hardening agent</t>
  </si>
  <si>
    <t>Prohibited/restricted as preservative depending on market/product</t>
  </si>
  <si>
    <t>Carcinogenicity, sensitisation and reproductive concern</t>
  </si>
  <si>
    <t>Hair straightening, eyelash glues, preserved products</t>
  </si>
  <si>
    <t>Check preservative system and supplier declaration.</t>
  </si>
  <si>
    <t>Bisphenol S</t>
  </si>
  <si>
    <t>Plasticizer / stabilizer</t>
  </si>
  <si>
    <t>Prohibited/restricted in some contexts</t>
  </si>
  <si>
    <t>Endocrine/reproductive toxicity concern</t>
  </si>
  <si>
    <t>Packaging-contact risk, nail products, coatings</t>
  </si>
  <si>
    <t>Packaging/contact-material reference</t>
  </si>
  <si>
    <t>Review packaging-contact evidence.</t>
  </si>
  <si>
    <t>REVIEW OWNER: Chi Chu (Regulatory)  |  Co-sign: Chris (Project Manager)</t>
  </si>
  <si>
    <t>Pregnancy / Breastfeeding Caution Limits</t>
  </si>
  <si>
    <t>Product-specific concentration and exposure check for maternal products. Use alongside Formula_BOM and Formulation_Safety.</t>
  </si>
  <si>
    <t>CAUTION LIMIT ASSESSMENT</t>
  </si>
  <si>
    <t>Status / default limit guidance</t>
  </si>
  <si>
    <t>Why caution is required</t>
  </si>
  <si>
    <t>Formula % / exposure</t>
  </si>
  <si>
    <t>Oxybenzone (Benzophenone-3)</t>
  </si>
  <si>
    <t>Chemical UV filter</t>
  </si>
  <si>
    <t>Caution; mineral alternatives often preferred for pregnancy positioning</t>
  </si>
  <si>
    <t>Systemic absorption, breast milk detection and endocrine activity concerns</t>
  </si>
  <si>
    <t>Sunscreens, SPF moisturizers</t>
  </si>
  <si>
    <t>Caution table / current market reference</t>
  </si>
  <si>
    <t>Not assessed</t>
  </si>
  <si>
    <t>Record exact % and market limits.</t>
  </si>
  <si>
    <t>Homosalate</t>
  </si>
  <si>
    <t>Restricted/caution in some markets</t>
  </si>
  <si>
    <t>Endocrine and systemic absorption concerns</t>
  </si>
  <si>
    <t>SPF face products</t>
  </si>
  <si>
    <t>Check current SCCS/market status.</t>
  </si>
  <si>
    <t>Hydroquinone</t>
  </si>
  <si>
    <t>Skin-lightening active</t>
  </si>
  <si>
    <t>Caution/avoid pregnancy; high absorption concern</t>
  </si>
  <si>
    <t>High dermal absorption and insufficient pregnancy data</t>
  </si>
  <si>
    <t>Melasma/brightening products</t>
  </si>
  <si>
    <t>Use substitution sheet if excluded.</t>
  </si>
  <si>
    <t>Essential oils</t>
  </si>
  <si>
    <t>Fragrance / therapeutic / antimicrobial</t>
  </si>
  <si>
    <t>Caution; specify exact oil and level</t>
  </si>
  <si>
    <t>Placental transfer potential and specific oil/lactation concerns</t>
  </si>
  <si>
    <t>Fragranced skincare, body oils</t>
  </si>
  <si>
    <t>Caution table / IFRA / supplier declaration</t>
  </si>
  <si>
    <t>Attach IFRA/allergen details.</t>
  </si>
  <si>
    <t>Caffeine topical</t>
  </si>
  <si>
    <t>Antioxidant / vasoconstrictor</t>
  </si>
  <si>
    <t>Caution; consider total caffeine exposure</t>
  </si>
  <si>
    <t>Cumulative exposure with dietary caffeine</t>
  </si>
  <si>
    <t>Eye/body/scalp products</t>
  </si>
  <si>
    <t>Caution table / tox rationale</t>
  </si>
  <si>
    <t>Record MoS/exposure rationale.</t>
  </si>
  <si>
    <t>Arnica montana</t>
  </si>
  <si>
    <t>Anti-inflammatory / anti-bruising botanical</t>
  </si>
  <si>
    <t>Caution; topical only; avoid near nipples</t>
  </si>
  <si>
    <t>Neonatal/breastfeeding transfer and sensitisation concerns</t>
  </si>
  <si>
    <t>Anti-bruising creams, massage balms</t>
  </si>
  <si>
    <t>Caution table / botanical safety</t>
  </si>
  <si>
    <t>Define use-area restrictions.</t>
  </si>
  <si>
    <t>BHT</t>
  </si>
  <si>
    <t>Antioxidant / stabiliser</t>
  </si>
  <si>
    <t>Caution; check current max and endocrine review</t>
  </si>
  <si>
    <t>Systemic organ effects at high doses and weak endocrine signals</t>
  </si>
  <si>
    <t>Moisturisers, SPF, lip products</t>
  </si>
  <si>
    <t>Caution table / market reference</t>
  </si>
  <si>
    <t>Attach concentration justification.</t>
  </si>
  <si>
    <t>BHA</t>
  </si>
  <si>
    <t>Antioxidant / preservative</t>
  </si>
  <si>
    <t>Caution; low permitted level contexts</t>
  </si>
  <si>
    <t>Carcinogenicity/endocrine/reproductive concern in animal data</t>
  </si>
  <si>
    <t>Leave-on skincare, lip balms</t>
  </si>
  <si>
    <t>Kojic acid</t>
  </si>
  <si>
    <t>Brightening active</t>
  </si>
  <si>
    <t>Caution; check current limit</t>
  </si>
  <si>
    <t>Limited pregnancy data and endocrine thyroid flags</t>
  </si>
  <si>
    <t>Brightening/melasma products</t>
  </si>
  <si>
    <t>Assess if safer substitute exists.</t>
  </si>
  <si>
    <t>Licorice root extract</t>
  </si>
  <si>
    <t>Brightening / soothing botanical</t>
  </si>
  <si>
    <t>Caution; check glycyrrhizin content</t>
  </si>
  <si>
    <t>Placental cortisol-barrier mechanism and oral exposure concerns</t>
  </si>
  <si>
    <t>Brightening/soothing products</t>
  </si>
  <si>
    <t>Caution table / supplier spec</t>
  </si>
  <si>
    <t>Attach botanical spec and active content.</t>
  </si>
  <si>
    <t>Salicylic acid / salicylates</t>
  </si>
  <si>
    <t>BHA exfoliant / anti-acne</t>
  </si>
  <si>
    <t>Caution; topical limits and product type matter</t>
  </si>
  <si>
    <t>Dermal absorption, breast milk transfer and high-dose salicylate concern</t>
  </si>
  <si>
    <t>Acne, toners, cleansers</t>
  </si>
  <si>
    <t>Caution/substitution table</t>
  </si>
  <si>
    <t>Assess total salicylate exposure.</t>
  </si>
  <si>
    <t>Glycerin for vulvovaginal use</t>
  </si>
  <si>
    <t>Humectant / solvent</t>
  </si>
  <si>
    <t>Caution for intimate products</t>
  </si>
  <si>
    <t>Vaginal epithelial permeability/osmotic concerns</t>
  </si>
  <si>
    <t>Feminine washes/intimate products</t>
  </si>
  <si>
    <t>Only relevant to intimate-use products.</t>
  </si>
  <si>
    <t>Fragrance Safety &amp; Allergen Evidence</t>
  </si>
  <si>
    <t>Six-step fragrance workflow from supplier selection through post-market surveillance.</t>
  </si>
  <si>
    <t>FRAGRANCE WORKFLOW</t>
  </si>
  <si>
    <t>Step</t>
  </si>
  <si>
    <t>Control point</t>
  </si>
  <si>
    <t>1</t>
  </si>
  <si>
    <t>Supplier qualification</t>
  </si>
  <si>
    <t>Supplier approved; IFRA/allergen/quality docs available</t>
  </si>
  <si>
    <t>2</t>
  </si>
  <si>
    <t>Fragrance composition screen</t>
  </si>
  <si>
    <t>Prohibited and PB caution ingredients checked</t>
  </si>
  <si>
    <t>3</t>
  </si>
  <si>
    <t>IFRA category review</t>
  </si>
  <si>
    <t>Applicable category and max use level documented</t>
  </si>
  <si>
    <t>4</t>
  </si>
  <si>
    <t>Allergen label review</t>
  </si>
  <si>
    <t>Allergens and thresholds reviewed for each market</t>
  </si>
  <si>
    <t>Regulatory / Artwork</t>
  </si>
  <si>
    <t>5</t>
  </si>
  <si>
    <t>Formula and sensory impact</t>
  </si>
  <si>
    <t>Use level, odour profile, stability and complaints risk assessed</t>
  </si>
  <si>
    <t>6</t>
  </si>
  <si>
    <t>Post-market surveillance</t>
  </si>
  <si>
    <t>Fragrance complaint/AE trends monitored</t>
  </si>
  <si>
    <t>FRAGRANCE / ALLERGEN LOG</t>
  </si>
  <si>
    <t>Fragrance code</t>
  </si>
  <si>
    <t>Use level %</t>
  </si>
  <si>
    <t>IFRA category</t>
  </si>
  <si>
    <t>IFRA link</t>
  </si>
  <si>
    <t>Allergen statement link</t>
  </si>
  <si>
    <t>PB caution review</t>
  </si>
  <si>
    <t>ASEAN PIF / Dossier Map</t>
  </si>
  <si>
    <t>High-level dossier overview. The detailed closure checklist is PIF_Checklist_ASEAN.</t>
  </si>
  <si>
    <t>PIF / DOSSIER REQUIREMENTS</t>
  </si>
  <si>
    <t>PIF / dossier requirement</t>
  </si>
  <si>
    <t>Required document / record</t>
  </si>
  <si>
    <t>Location / link</t>
  </si>
  <si>
    <t>Part I - Product Summary</t>
  </si>
  <si>
    <t>Product name, product type, intended use, presentation, responsible persons</t>
  </si>
  <si>
    <t>Use market-specific template where applicable</t>
  </si>
  <si>
    <t>Product notification / acknowledgement</t>
  </si>
  <si>
    <t>Notification receipt or acknowledgement</t>
  </si>
  <si>
    <t>Country-specific</t>
  </si>
  <si>
    <t>NIB / company registration</t>
  </si>
  <si>
    <t>NIB, company registration or equivalent</t>
  </si>
  <si>
    <t>Indonesia/market-specific where needed</t>
  </si>
  <si>
    <t>Letter of Appointment / authorisation</t>
  </si>
  <si>
    <t>LoA, importer/distributor authorisation</t>
  </si>
  <si>
    <t>Regulatory / Commercial</t>
  </si>
  <si>
    <t>Required where distributor/agent acts for company</t>
  </si>
  <si>
    <t>Ownership confirmation</t>
  </si>
  <si>
    <t>Brand/product ownership confirmation</t>
  </si>
  <si>
    <t>Regulatory / Legal</t>
  </si>
  <si>
    <t>Attach signed ownership/authority file</t>
  </si>
  <si>
    <t>Full formula, INCI, % range, function and supplier</t>
  </si>
  <si>
    <t>Formula_BOM must be current</t>
  </si>
  <si>
    <t>Manufacturing method</t>
  </si>
  <si>
    <t>Process flow, manufacturing instruction, batch record reference</t>
  </si>
  <si>
    <t>Controlled manufacturing version</t>
  </si>
  <si>
    <t>GMP evidence</t>
  </si>
  <si>
    <t>GMP certificate, site evidence, manufacturer qualification</t>
  </si>
  <si>
    <t>Link site qualification</t>
  </si>
  <si>
    <t>Safety assessment / CPSR</t>
  </si>
  <si>
    <t>Safety assessment and toxicological review</t>
  </si>
  <si>
    <t>Use Formulation_Safety</t>
  </si>
  <si>
    <t>Raw material documentation</t>
  </si>
  <si>
    <t>SDS, CoA, TDS/spec, allergens, impurities, heavy metals</t>
  </si>
  <si>
    <t>Use Supplier_RM_Evidence</t>
  </si>
  <si>
    <t>Stability and compatibility</t>
  </si>
  <si>
    <t>Accelerated/real-time stability, pack compatibility</t>
  </si>
  <si>
    <t>Attach protocol and report</t>
  </si>
  <si>
    <t>Micro / PET / preservative efficacy</t>
  </si>
  <si>
    <t>Micro specs, PET/challenge, preservation rationale</t>
  </si>
  <si>
    <t>Required for aqueous/preserved products</t>
  </si>
  <si>
    <t>Packaging and artwork</t>
  </si>
  <si>
    <t>Label, carton, component specs and artwork approval</t>
  </si>
  <si>
    <t>Country-specific label checks</t>
  </si>
  <si>
    <t>Claim substantiation</t>
  </si>
  <si>
    <t>Claim matrix, clinical/literature/internal evidence</t>
  </si>
  <si>
    <t>03_Concept_Claims</t>
  </si>
  <si>
    <t>Do not approve unsupported claims</t>
  </si>
  <si>
    <t>Adverse event / post-market system</t>
  </si>
  <si>
    <t>Complaint, AE, PV/PMS and CAPA pathway</t>
  </si>
  <si>
    <t>Must be live after launch</t>
  </si>
  <si>
    <t>ASEAN PIF Checklist</t>
  </si>
  <si>
    <t>Detailed checklist for PIF closure. It should point to source evidence tabs rather than repeat their content.</t>
  </si>
  <si>
    <t>PIF CLOSURE CHECKLIST</t>
  </si>
  <si>
    <t>PIF ID</t>
  </si>
  <si>
    <t>PIF section</t>
  </si>
  <si>
    <t>Requirement</t>
  </si>
  <si>
    <t>Reviewer</t>
  </si>
  <si>
    <t>Closure date</t>
  </si>
  <si>
    <t>PIF-01</t>
  </si>
  <si>
    <t>Product name, type, presentation, intended use, markets</t>
  </si>
  <si>
    <t>PIF-02</t>
  </si>
  <si>
    <t>Formula</t>
  </si>
  <si>
    <t>Full composition, INCI, function, concentration/range</t>
  </si>
  <si>
    <t>05/10</t>
  </si>
  <si>
    <t>PIF-03</t>
  </si>
  <si>
    <t>Formulation safety assessment and final sign-off</t>
  </si>
  <si>
    <t>PIF-04</t>
  </si>
  <si>
    <t>Raw materials</t>
  </si>
  <si>
    <t>SDS, CoA, TDS/spec, allergen, impurity evidence</t>
  </si>
  <si>
    <t>04/10</t>
  </si>
  <si>
    <t>PIF-05</t>
  </si>
  <si>
    <t>Manufacturing</t>
  </si>
  <si>
    <t>GMP evidence, manufacturing method, batch record link</t>
  </si>
  <si>
    <t>PIF-06</t>
  </si>
  <si>
    <t>Stability</t>
  </si>
  <si>
    <t>Stability/compatibility reports and release conclusion</t>
  </si>
  <si>
    <t>09/10</t>
  </si>
  <si>
    <t>PIF-07</t>
  </si>
  <si>
    <t>Micro/PET</t>
  </si>
  <si>
    <t>Micro limits, challenge/PET, preservation rationale</t>
  </si>
  <si>
    <t>PIF-08</t>
  </si>
  <si>
    <t>Packaging/artwork</t>
  </si>
  <si>
    <t>Label/artwork, component specs, warnings and directions</t>
  </si>
  <si>
    <t>06/10</t>
  </si>
  <si>
    <t>PIF-09</t>
  </si>
  <si>
    <t>Claims</t>
  </si>
  <si>
    <t>Claim wording, evidence and limitations</t>
  </si>
  <si>
    <t>PIF-10</t>
  </si>
  <si>
    <t>Complaint/AE/CAPA process and live owner</t>
  </si>
  <si>
    <t>PIF Evidence Export</t>
  </si>
  <si>
    <t>Use this as the export pack when reports, claims or safety/performance evidence are moved into the product PIF / Product Master File.</t>
  </si>
  <si>
    <t>PIF EXPORT REGISTER</t>
  </si>
  <si>
    <t>Evidence item</t>
  </si>
  <si>
    <t>Source template</t>
  </si>
  <si>
    <t>Source evidence link</t>
  </si>
  <si>
    <t>PIF folder link</t>
  </si>
  <si>
    <t>Version / date</t>
  </si>
  <si>
    <t>SKU Claims / PIF Register</t>
  </si>
  <si>
    <t>Register each SKU-level claim and the PIF evidence that supports it. No claim is external until evidence and wording are approved.</t>
  </si>
  <si>
    <t>SKU CLAIMS REGISTER</t>
  </si>
  <si>
    <t>Claim / wording</t>
  </si>
  <si>
    <t>Claim category</t>
  </si>
  <si>
    <t>Approved limitation</t>
  </si>
  <si>
    <t>PIF link</t>
  </si>
  <si>
    <t>PIF Evidence Closure</t>
  </si>
  <si>
    <t>Workflow control sheet for moving MBc360 evidence into the PIF / Product Master File.</t>
  </si>
  <si>
    <t>PIF CLOSURE WORKFLOW</t>
  </si>
  <si>
    <t>Required action</t>
  </si>
  <si>
    <t>Supporting template / sheet</t>
  </si>
  <si>
    <t>Blocks external use until closed?</t>
  </si>
  <si>
    <t>New product launch or new market</t>
  </si>
  <si>
    <t>Open PIF_Evidence_Export; confirm mandatory sections and attachments</t>
  </si>
  <si>
    <t>Regulatory / PIF owner</t>
  </si>
  <si>
    <t>PIF_Checklist_ASEAN; PIF_Evidence_Export</t>
  </si>
  <si>
    <t>PIF folder link + sign-off</t>
  </si>
  <si>
    <t>In-market catch-up review</t>
  </si>
  <si>
    <t>Attach current claims, safety and performance reports to each SKU PIF</t>
  </si>
  <si>
    <t>Regulatory / Project owner</t>
  </si>
  <si>
    <t>SKU status visible</t>
  </si>
  <si>
    <t>10/12</t>
  </si>
  <si>
    <t>New or changed claim</t>
  </si>
  <si>
    <t>Add claim to SKU_Claims_PIF_Register and attach support</t>
  </si>
  <si>
    <t>Regulatory / Claims owner</t>
  </si>
  <si>
    <t>SKU_Claims_PIF_Register</t>
  </si>
  <si>
    <t>Claim approved and attached</t>
  </si>
  <si>
    <t>New test report</t>
  </si>
  <si>
    <t>Index report and attach to PIF if required</t>
  </si>
  <si>
    <t>Report saved in PIF</t>
  </si>
  <si>
    <t>Formula/supplier/fragrance/pH/process/artwork change</t>
  </si>
  <si>
    <t>Assess evidence validity and update linked PIF records</t>
  </si>
  <si>
    <t>R&amp;I / Regulatory / QA</t>
  </si>
  <si>
    <t>PIF evidence current</t>
  </si>
  <si>
    <t>Distributor/pharmacy/HCP question</t>
  </si>
  <si>
    <t>Answer only from approved PMF/PIF evidence and wording</t>
  </si>
  <si>
    <t>HCP_Test_Report_Pack</t>
  </si>
  <si>
    <t>Final answer saved</t>
  </si>
  <si>
    <t>Updated public information</t>
  </si>
  <si>
    <t>Check publication approval and attach final record</t>
  </si>
  <si>
    <t>Final public link captured</t>
  </si>
  <si>
    <t>Published Information Approval</t>
  </si>
  <si>
    <t>Approve any product information, technical statement, claim wording or evidence summary before release outside controlled internal use.</t>
  </si>
  <si>
    <t>PUBLICATION RULES</t>
  </si>
  <si>
    <t>Publication rule</t>
  </si>
  <si>
    <t>What may be published</t>
  </si>
  <si>
    <t>Only approved wording, terminology, claim category, evidence level, limitation, applicable SKU/market/version and final public link.</t>
  </si>
  <si>
    <t>What must not be published</t>
  </si>
  <si>
    <t>Draft data, unsupported superlatives, unreviewed translations, therapeutic implications, raw report excerpts without approved interpretation, confidential formula details or claims without PMF/PIF support.</t>
  </si>
  <si>
    <t>Minimum sign-off</t>
  </si>
  <si>
    <t>Content owner, technical/safety reviewer where technical claims are made, regulatory/claims reviewer, quality where safety/release/PIF is affected, brand owner and final approver where required.</t>
  </si>
  <si>
    <t>PUBLICATION APPROVAL REGISTER</t>
  </si>
  <si>
    <t>Record ID</t>
  </si>
  <si>
    <t>Material type</t>
  </si>
  <si>
    <t>Channel</t>
  </si>
  <si>
    <t>Published information item</t>
  </si>
  <si>
    <t>Audience</t>
  </si>
  <si>
    <t>Claim / terminology category</t>
  </si>
  <si>
    <t>Exact wording / technical statement</t>
  </si>
  <si>
    <t>Evidence type required</t>
  </si>
  <si>
    <t>Evidence / PMF / PIF link</t>
  </si>
  <si>
    <t>Allowed?</t>
  </si>
  <si>
    <t>Required reviewers / functions</t>
  </si>
  <si>
    <t>Date approved</t>
  </si>
  <si>
    <t>Expiry / review date</t>
  </si>
  <si>
    <t>Final published link</t>
  </si>
  <si>
    <t>Closure / notes</t>
  </si>
  <si>
    <t>PUB-001</t>
  </si>
  <si>
    <t>REVIEW OWNER: Lily (Packaging)  |  Anki (Digital / Platforms)  |  Co-sign: Chris (Project Manager)</t>
  </si>
  <si>
    <t>Released Label Control  -  Current vs New Label, Platform Rollout &amp; Shipment Verification</t>
  </si>
  <si>
    <t>Separate control project for label/artwork changes. Record what has changed or will change (incl. LEMC serum cartoon), current vs new label, market-release status, 3D asset status, platform rollout with stock confirmation, and per-shipment label + batch verification. No silent label changes - use Artwork_Change_Control for the formal change record.</t>
  </si>
  <si>
    <t>BLOCK A - RELEASED LABEL vs CURRENT ARTWORK REGISTER (what changed / will change, market status, 3D status)</t>
  </si>
  <si>
    <t>Product code</t>
  </si>
  <si>
    <t>Change type</t>
  </si>
  <si>
    <t>What has changed / will change</t>
  </si>
  <si>
    <t>Current label version</t>
  </si>
  <si>
    <t>Current artwork file</t>
  </si>
  <si>
    <t>New label version</t>
  </si>
  <si>
    <t>New artwork file</t>
  </si>
  <si>
    <t>New label released to market?</t>
  </si>
  <si>
    <t>Market release date</t>
  </si>
  <si>
    <t>Markets affected</t>
  </si>
  <si>
    <t>3D asset exists?</t>
  </si>
  <si>
    <t>3D asset link</t>
  </si>
  <si>
    <t>Artwork_Change_Control ref</t>
  </si>
  <si>
    <t>LBL-001</t>
  </si>
  <si>
    <t>LBL-002</t>
  </si>
  <si>
    <t>LBL-003</t>
  </si>
  <si>
    <t>LBL-004</t>
  </si>
  <si>
    <t>LBL-005</t>
  </si>
  <si>
    <t>LBL-006</t>
  </si>
  <si>
    <t>LBL-007</t>
  </si>
  <si>
    <t>LBL-008</t>
  </si>
  <si>
    <t>LBL-009</t>
  </si>
  <si>
    <t>LBL-010</t>
  </si>
  <si>
    <t>LBL-011</t>
  </si>
  <si>
    <t>LBL-012</t>
  </si>
  <si>
    <t>LBL-013</t>
  </si>
  <si>
    <t>BLOCK B - PLATFORM / CHANNEL ROLLOUT &amp; STOCK CONFIRMATION (Anki - update every platform only when correct stock is available)</t>
  </si>
  <si>
    <t>Rollout ID</t>
  </si>
  <si>
    <t>Linked Record ID (Block A)</t>
  </si>
  <si>
    <t>Platform / channel</t>
  </si>
  <si>
    <t>Platform URL / location</t>
  </si>
  <si>
    <t>Current image on platform</t>
  </si>
  <si>
    <t>Correct new artwork file</t>
  </si>
  <si>
    <t>New-label stock available?</t>
  </si>
  <si>
    <t>Stock confirmed by</t>
  </si>
  <si>
    <t>Old image removed?</t>
  </si>
  <si>
    <t>Image updated on platform?</t>
  </si>
  <si>
    <t>Date updated</t>
  </si>
  <si>
    <t>Verified by</t>
  </si>
  <si>
    <t>Screenshot / evidence link</t>
  </si>
  <si>
    <t>Follow-up date</t>
  </si>
  <si>
    <t>RLT-001</t>
  </si>
  <si>
    <t>RLT-002</t>
  </si>
  <si>
    <t>RLT-003</t>
  </si>
  <si>
    <t>RLT-004</t>
  </si>
  <si>
    <t>RLT-005</t>
  </si>
  <si>
    <t>RLT-006</t>
  </si>
  <si>
    <t>RLT-007</t>
  </si>
  <si>
    <t>RLT-008</t>
  </si>
  <si>
    <t>RLT-009</t>
  </si>
  <si>
    <t>RLT-010</t>
  </si>
  <si>
    <t>RLT-011</t>
  </si>
  <si>
    <t>RLT-012</t>
  </si>
  <si>
    <t>RLT-013</t>
  </si>
  <si>
    <t>BLOCK C - SHIPMENT LABEL &amp; BATCH VERIFICATION (every shipment out must record exact batch details + exact label artwork version)</t>
  </si>
  <si>
    <t>Shipment ID</t>
  </si>
  <si>
    <t>Destination / customer / market</t>
  </si>
  <si>
    <t>Ship date</t>
  </si>
  <si>
    <t>Batch / lot no.</t>
  </si>
  <si>
    <t>Batch record link</t>
  </si>
  <si>
    <t>Label artwork version shipped</t>
  </si>
  <si>
    <t>Label artwork file / proof link</t>
  </si>
  <si>
    <t>Artwork matches current released label?</t>
  </si>
  <si>
    <t>Batch details match physical stock?</t>
  </si>
  <si>
    <t>Batch_Formula_Trace ref</t>
  </si>
  <si>
    <t>Photo / evidence link</t>
  </si>
  <si>
    <t>Hold / release</t>
  </si>
  <si>
    <t>SHP-001</t>
  </si>
  <si>
    <t>SHP-002</t>
  </si>
  <si>
    <t>SHP-003</t>
  </si>
  <si>
    <t>SHP-004</t>
  </si>
  <si>
    <t>SHP-005</t>
  </si>
  <si>
    <t>SHP-006</t>
  </si>
  <si>
    <t>SHP-007</t>
  </si>
  <si>
    <t>SHP-008</t>
  </si>
  <si>
    <t>SHP-009</t>
  </si>
  <si>
    <t>SHP-010</t>
  </si>
  <si>
    <t>SHP-011</t>
  </si>
  <si>
    <t>SHP-012</t>
  </si>
  <si>
    <t>SHP-013</t>
  </si>
  <si>
    <t>REVIEW OWNER: Lily (Packaging)  |  Co-sign: Chris (Project Manager)</t>
  </si>
  <si>
    <t>Packaging BOM / Component Costing</t>
  </si>
  <si>
    <t>Enter each packaging component once. Link the current component spec, artwork proof or supplier evidence rather than duplicating documents.</t>
  </si>
  <si>
    <t>PACKAGING BOM</t>
  </si>
  <si>
    <t>Component</t>
  </si>
  <si>
    <t>Component type</t>
  </si>
  <si>
    <t>Units per finished unit</t>
  </si>
  <si>
    <t>Unit cost</t>
  </si>
  <si>
    <t>Wastage %</t>
  </si>
  <si>
    <t>Lead time</t>
  </si>
  <si>
    <t>MOQ</t>
  </si>
  <si>
    <t>Approval</t>
  </si>
  <si>
    <t>Total packaging cost / unit</t>
  </si>
  <si>
    <t>Packaging Specs &amp; Artwork Evidence</t>
  </si>
  <si>
    <t>Use for planned package/artwork evidence. Use Artwork_Change_Control only when a released or controlled version changes.</t>
  </si>
  <si>
    <t>PACKAGING COMPONENT EVIDENCE</t>
  </si>
  <si>
    <t>Material / construction</t>
  </si>
  <si>
    <t>Spec link</t>
  </si>
  <si>
    <t>Compatibility evidence</t>
  </si>
  <si>
    <t>Migration/contact risk</t>
  </si>
  <si>
    <t>Artwork / label version</t>
  </si>
  <si>
    <t>Pack code / barcode</t>
  </si>
  <si>
    <t>ARTWORK / LABEL REVIEW CHECKLIST</t>
  </si>
  <si>
    <t>Review item</t>
  </si>
  <si>
    <t>Product identity</t>
  </si>
  <si>
    <t>Product name, SKU, net content and market match project record</t>
  </si>
  <si>
    <t>Regulatory / Brand</t>
  </si>
  <si>
    <t>Ingredient list / INCI</t>
  </si>
  <si>
    <t>Formula_BOM version and INCI order reviewed</t>
  </si>
  <si>
    <t>Directions / warnings</t>
  </si>
  <si>
    <t>Use instructions, pregnancy/BF restrictions and safety warnings included</t>
  </si>
  <si>
    <t>Claims and benefit wording</t>
  </si>
  <si>
    <t>All claims match approved wording and evidence level</t>
  </si>
  <si>
    <t>Barcode / pack codes</t>
  </si>
  <si>
    <t>Barcode, item code, lot/date coding and pack dimensions verified</t>
  </si>
  <si>
    <t>Packaging / Supply</t>
  </si>
  <si>
    <t>Market language / symbols</t>
  </si>
  <si>
    <t>Local language, mandatory marks and distributor/importer details checked</t>
  </si>
  <si>
    <t>Final proof release</t>
  </si>
  <si>
    <t>Approved print-ready file released and obsolete versions archived</t>
  </si>
  <si>
    <t>Packaging / QA</t>
  </si>
  <si>
    <t>Tags for Proprietary Extracts on Labels</t>
  </si>
  <si>
    <t>* SALVOTECT™, ** STACREGENIX™, ***MBC BIOFLORAL HONEY (lovingly harvested from our resident bees). 
Proprietary ingredients exclusive to Max Biocare Research Parks, Gippsland
****UVALIFE ANTIOXIDANT BLEND™
Proprietary ingredient exclusive to Max Biocare Pty Ltd</t>
  </si>
  <si>
    <t>Use exactly as is</t>
  </si>
  <si>
    <t>Correct names for PI</t>
  </si>
  <si>
    <t>Salvia microphylla water extract</t>
  </si>
  <si>
    <t>Salvotect™ (MBc Research Parks PI)</t>
  </si>
  <si>
    <t>Stachys byzantina water extract</t>
  </si>
  <si>
    <t>Stacregenix™ (MBc Research Parks PI)</t>
  </si>
  <si>
    <t>Honey</t>
  </si>
  <si>
    <t>MBc Biofloral Honey (MBc Research Parks PI; changed from MBc Herbal Honey since 30 June 2026)</t>
  </si>
  <si>
    <t>[VITIS VINIFERA (GRAPE) SEED EXTRACT, VITIS VINIFERA (GRAPE) FRUIT EXTRACT, WINE (RED WINE) EXTRACT],</t>
  </si>
  <si>
    <t>Uvalife® Antioxidant Blend (MBc Proprietary Blend)</t>
  </si>
  <si>
    <t>Aqua (mineral water)</t>
  </si>
  <si>
    <t>Aquadene®Mineral-Rich Water (MBc Research Parks PI)</t>
  </si>
  <si>
    <t>Artwork Change Control</t>
  </si>
  <si>
    <t>Use only when artwork, label, carton, pack copy, proof or printer file changes. Planned artwork evidence belongs in Packaging_Specs_Artwork.</t>
  </si>
  <si>
    <t>ARTWORK CHANGE TRIGGERS</t>
  </si>
  <si>
    <t>Trigger / event</t>
  </si>
  <si>
    <t>Immediate action</t>
  </si>
  <si>
    <t>Required sign-offs</t>
  </si>
  <si>
    <t>Evidence to save</t>
  </si>
  <si>
    <t>Communication required</t>
  </si>
  <si>
    <t>Template / form</t>
  </si>
  <si>
    <t>Gate / sheet link</t>
  </si>
  <si>
    <t>Artwork error discovered</t>
  </si>
  <si>
    <t>Wrong wording, typo, ingredient list, warning, barcode or country text</t>
  </si>
  <si>
    <t>Raise Change_Control_Comm; freeze current file; create redline</t>
  </si>
  <si>
    <t>Artwork / Packaging owner</t>
  </si>
  <si>
    <t>Regulatory + Quality + Marketing/Sales where label-facing</t>
  </si>
  <si>
    <t>Old proof, redline, corrected proof, approval trail</t>
  </si>
  <si>
    <t>Notify impacted functions and distributor if affected</t>
  </si>
  <si>
    <t>Artwork Change Sign-off Form</t>
  </si>
  <si>
    <t>Final PDF released and obsolete file archived</t>
  </si>
  <si>
    <t>Formula change affects label</t>
  </si>
  <si>
    <t>INCI order, ingredient addition/removal, active level, allergen/fragrance</t>
  </si>
  <si>
    <t>Link Formula_Change_Control and hold label release until formula locked</t>
  </si>
  <si>
    <t>R&amp;I + Artwork owner</t>
  </si>
  <si>
    <t>R&amp;I + Regulatory + QA</t>
  </si>
  <si>
    <t>Formula comparison, label impact assessment</t>
  </si>
  <si>
    <t>Sales/Marketing approved explanation</t>
  </si>
  <si>
    <t>Label/PIF/claim materials updated</t>
  </si>
  <si>
    <t>05/06/10</t>
  </si>
  <si>
    <t>Regulatory or market update</t>
  </si>
  <si>
    <t>New country label requirement, warning, language or symbol</t>
  </si>
  <si>
    <t>Identify affected SKUs/materials and route to review</t>
  </si>
  <si>
    <t>Regulatory owner</t>
  </si>
  <si>
    <t>Regulatory + QA + market owner</t>
  </si>
  <si>
    <t>Regulatory note, translation, final proof</t>
  </si>
  <si>
    <t>Notify market/distributor/sales</t>
  </si>
  <si>
    <t>Regulatory Artwork Change Form</t>
  </si>
  <si>
    <t>Market-specific artwork and dossier updated</t>
  </si>
  <si>
    <t>Marketing/claim copy change</t>
  </si>
  <si>
    <t>New or revised claim/HCP/website/leaflet wording</t>
  </si>
  <si>
    <t>Map claim to evidence; no live use until approved</t>
  </si>
  <si>
    <t>Marketing/Claims owner</t>
  </si>
  <si>
    <t>Regulatory + Scientific Review</t>
  </si>
  <si>
    <t>Claim substantiation and approved copy</t>
  </si>
  <si>
    <t>Notify Sales/Marketing and training owner</t>
  </si>
  <si>
    <t>Claims Change Control Form</t>
  </si>
  <si>
    <t>All collateral uses approved wording</t>
  </si>
  <si>
    <t>Released label / market image mismatch</t>
  </si>
  <si>
    <t>Live product image or shipped label does not match current released label (e.g. website/marketplace out-of-date)</t>
  </si>
  <si>
    <t>Log in Released_Label_Ctrl (Block A); freeze wrong image; raise Change_Control_Comm</t>
  </si>
  <si>
    <t>Packaging (Lily) + Digital (Anki)</t>
  </si>
  <si>
    <t>Regulatory + Quality + Marketing/Sales</t>
  </si>
  <si>
    <t>Current vs new artwork files, platform screenshots, corrected proof, approval trail</t>
  </si>
  <si>
    <t>Notify Sales/Marketing, distributor and affected markets</t>
  </si>
  <si>
    <t>Released Label Control (Lily-Released_Label_Ctrl)</t>
  </si>
  <si>
    <t>All platforms and shipments carry the current released label; obsolete image archived</t>
  </si>
  <si>
    <t>06/10/11 -&gt; Lily-Released_Label_Ctrl</t>
  </si>
  <si>
    <t>REVIEW OWNER: Chidkamon (Raw Material Operations)  |  Co-sign: Chris (Project Manager)</t>
  </si>
  <si>
    <t>Supplier &amp; Raw Material Evidence</t>
  </si>
  <si>
    <t>Capture supplier documents once per material and link them into Formula_BOM, Formulation_Safety and PIF evidence.</t>
  </si>
  <si>
    <t>RAW MATERIAL DOCUMENT CONTROL</t>
  </si>
  <si>
    <t>RM code</t>
  </si>
  <si>
    <t>Raw Material Evaluation Link (CH/CC)</t>
  </si>
  <si>
    <t>Approved For Use?</t>
  </si>
  <si>
    <t>Grade / trade name</t>
  </si>
  <si>
    <t>SDS link</t>
  </si>
  <si>
    <t>CoA link</t>
  </si>
  <si>
    <t>TDS / spec link</t>
  </si>
  <si>
    <t>Micro / preservative info</t>
  </si>
  <si>
    <t>Origin / vegan / natural proof</t>
  </si>
  <si>
    <t>Regulatory status</t>
  </si>
  <si>
    <t>Approved supplier evidence</t>
  </si>
  <si>
    <t>RM-001</t>
  </si>
  <si>
    <t>RM-002</t>
  </si>
  <si>
    <t>RM-003</t>
  </si>
  <si>
    <t>RM-004</t>
  </si>
  <si>
    <t>RM-005</t>
  </si>
  <si>
    <t>RM-006</t>
  </si>
  <si>
    <t>RM-007</t>
  </si>
  <si>
    <t>RM-008</t>
  </si>
  <si>
    <t>RM-009</t>
  </si>
  <si>
    <t>RM-010</t>
  </si>
  <si>
    <t>RM-011</t>
  </si>
  <si>
    <t>RM-012</t>
  </si>
  <si>
    <t>RM-013</t>
  </si>
  <si>
    <t>RM-014</t>
  </si>
  <si>
    <t>RM-015</t>
  </si>
  <si>
    <t>RM-016</t>
  </si>
  <si>
    <t>RM-017</t>
  </si>
  <si>
    <t>RM-018</t>
  </si>
  <si>
    <t>RM-019</t>
  </si>
  <si>
    <t>RM-020</t>
  </si>
  <si>
    <t>Ingredient Substitution Evidence</t>
  </si>
  <si>
    <t>Use only when an ingredient is excluded, replaced or materially changed. This prevents repeated substitution notes across safety, claims and change sheets.</t>
  </si>
  <si>
    <t>SUBSTITUTION DECISION LOG</t>
  </si>
  <si>
    <t>Trigger ingredient</t>
  </si>
  <si>
    <t>Reason for substitution</t>
  </si>
  <si>
    <t>Proposed substitute</t>
  </si>
  <si>
    <t>Function replaced</t>
  </si>
  <si>
    <t>Required proof</t>
  </si>
  <si>
    <t>Formula impact</t>
  </si>
  <si>
    <t>Safety impact</t>
  </si>
  <si>
    <t>Efficacy / claim impact</t>
  </si>
  <si>
    <t>Cost impact</t>
  </si>
  <si>
    <t>Evidence links</t>
  </si>
  <si>
    <t>Product Family &amp; Version Register</t>
  </si>
  <si>
    <t>One family = one consumer-facing product. Every formula change that manufacturing treats as a NEW product code is recorded here as a NEW VERSION of the SAME family, so Sales, Marketing, distributors and the market can see all versions of a product together. Requested by Anki / NP.</t>
  </si>
  <si>
    <t>PRODUCT FAMILY &amp; VERSION LOG</t>
  </si>
  <si>
    <t>Product Family Name</t>
  </si>
  <si>
    <t>Family Code</t>
  </si>
  <si>
    <t>Version / Formula No.</t>
  </si>
  <si>
    <t>Manufacturing Product Code</t>
  </si>
  <si>
    <t>Formula version (Formula_BOM)</t>
  </si>
  <si>
    <t>Effective date</t>
  </si>
  <si>
    <t>Superseded date</t>
  </si>
  <si>
    <t>Current market version? (Y/N)</t>
  </si>
  <si>
    <t>Change register ID</t>
  </si>
  <si>
    <t>Market communication needed?</t>
  </si>
  <si>
    <t>FAMILY ROLL-UP (live count of versions per family)</t>
  </si>
  <si>
    <t>No. of versions on record</t>
  </si>
  <si>
    <t>Current market version</t>
  </si>
  <si>
    <t>Any version needing market comms?</t>
  </si>
  <si>
    <t>REVIEW OWNER: Nguyen (Sales &amp; Marketing)  |  Co-sign: Chris (Project Manager)</t>
  </si>
  <si>
    <t>Social Media &amp; Marketing Campaign Register</t>
  </si>
  <si>
    <t>Declare every social media post and marketing campaign here (links are enough). Where a campaign references a formula/label/pack change, link the Change ID so external messaging stays aligned with what has actually been approved and communicated to the market.</t>
  </si>
  <si>
    <t>CAMPAIGN &amp; SOCIAL MEDIA LOG</t>
  </si>
  <si>
    <t>Campaign / Post ID</t>
  </si>
  <si>
    <t>Channel / platform</t>
  </si>
  <si>
    <t>Campaign / post title</t>
  </si>
  <si>
    <t>Objective / message</t>
  </si>
  <si>
    <t>Link (URL / asset)</t>
  </si>
  <si>
    <t>Start date</t>
  </si>
  <si>
    <t>End date</t>
  </si>
  <si>
    <t>Claims approved? (Reg)</t>
  </si>
  <si>
    <t>HCP / Distributor Efficacy Answer</t>
  </si>
  <si>
    <t>Generate answers only from approved evidence and approved wording. Keep raw reports in the evidence source tabs.</t>
  </si>
  <si>
    <t>HCP / DISTRIBUTOR ANSWER LOG</t>
  </si>
  <si>
    <t>Question / objection</t>
  </si>
  <si>
    <t>Do-not-say / limitation</t>
  </si>
  <si>
    <t>HCP Test Report Pack</t>
  </si>
  <si>
    <t>Compile approved test-report links and plain-English interpretations for HCP/distributor use.</t>
  </si>
  <si>
    <t>HCP REPORT PACK</t>
  </si>
  <si>
    <t>Pack item</t>
  </si>
  <si>
    <t>Claim / question supported</t>
  </si>
  <si>
    <t>Report / evidence source</t>
  </si>
  <si>
    <t>Plain-English interpretation</t>
  </si>
  <si>
    <t>Product / Development Sample Feedback Form</t>
  </si>
  <si>
    <t>Staff / panel feedback on development samples. Capture texture, fragrance, oiliness/slipperiness and safety concerns. Note: Sun/Swim/Sea collection is for men AND women - record both.</t>
  </si>
  <si>
    <t>SAMPLE UNDER EVALUATION</t>
  </si>
  <si>
    <t>Sample / batch code</t>
  </si>
  <si>
    <t>Development stage</t>
  </si>
  <si>
    <t>Date samples issued</t>
  </si>
  <si>
    <t>Panel coordinator</t>
  </si>
  <si>
    <t>SCORING GUIDE - use 1 to 5 for scored attributes</t>
  </si>
  <si>
    <t>1 = Poor / unacceptable   |   2 = Below expectation   |   3 = Acceptable   |   4 = Good   |   5 = Excellent      (For "Too oily / slippery?" use the Yes/No/Borderline dropdown - this is a SAFETY flag, not a preference score.)</t>
  </si>
  <si>
    <t>PANEL FEEDBACK LOG (one row per tester per sample)</t>
  </si>
  <si>
    <t>Tester name</t>
  </si>
  <si>
    <t>Gender (M/F)</t>
  </si>
  <si>
    <t>Dept / site</t>
  </si>
  <si>
    <t>Date tested</t>
  </si>
  <si>
    <t>Texture (1-5)</t>
  </si>
  <si>
    <t>Fragrance (1-5)</t>
  </si>
  <si>
    <t>Overall (1-5)</t>
  </si>
  <si>
    <t>Too oily / slippery? (SAFETY)</t>
  </si>
  <si>
    <t>Would recommend? (Y/N)</t>
  </si>
  <si>
    <t>Best liked</t>
  </si>
  <si>
    <t>Concerns / improvement ideas</t>
  </si>
  <si>
    <t>Follow-up action</t>
  </si>
  <si>
    <t>PANEL RESULT SUMMARY (live - updates as feedback is entered)</t>
  </si>
  <si>
    <t>Total testers</t>
  </si>
  <si>
    <t>Male testers (M)</t>
  </si>
  <si>
    <t>Female testers (F)</t>
  </si>
  <si>
    <t>Average Texture (1-5)</t>
  </si>
  <si>
    <t>Average Fragrance (1-5)</t>
  </si>
  <si>
    <t>Average Overall (1-5)</t>
  </si>
  <si>
    <t>SAFETY: "Yes" too oily/slippery</t>
  </si>
  <si>
    <t>SAFETY: "Borderline" too oily/slippery</t>
  </si>
  <si>
    <t>Would recommend (Yes)</t>
  </si>
  <si>
    <t>Slip-risk flag</t>
  </si>
  <si>
    <t>CHANGE LOG</t>
  </si>
  <si>
    <t>Affected area</t>
  </si>
  <si>
    <t>Risk level</t>
  </si>
  <si>
    <t>Sales/Marketing message</t>
  </si>
  <si>
    <t>Closed date</t>
  </si>
  <si>
    <t>CHG-001</t>
  </si>
  <si>
    <t>Medium</t>
  </si>
  <si>
    <t>RACI / CLOSURE CONTROL</t>
  </si>
  <si>
    <t>Required contribution</t>
  </si>
  <si>
    <t>Linked evidence / sheet</t>
  </si>
  <si>
    <t>Accountable</t>
  </si>
  <si>
    <t>Opens change, coordinates owners and closure</t>
  </si>
  <si>
    <t>Responsible</t>
  </si>
  <si>
    <t>Assesses formula/process/ingredient impact</t>
  </si>
  <si>
    <t>Formula_Change_Control</t>
  </si>
  <si>
    <t>Approver</t>
  </si>
  <si>
    <t>Assesses label, claims, market and PIF impact</t>
  </si>
  <si>
    <t>Artwork_Change_Control; PIF_Evidence_Closure</t>
  </si>
  <si>
    <t>Assesses release, GMP, stability, deviation/CAPA impact</t>
  </si>
  <si>
    <t>GMP_Links; Stability_Release</t>
  </si>
  <si>
    <t>Sales/Marketing</t>
  </si>
  <si>
    <t>Informed / acknowledgement</t>
  </si>
  <si>
    <t>Receives approved external/customer-facing explanation</t>
  </si>
  <si>
    <t>Change_Templates</t>
  </si>
  <si>
    <t>Change Templates / Forms</t>
  </si>
  <si>
    <t>Copy the relevant section into a controlled form, email, approval workflow or ticket. Each completed form must link back to Change_Control_Comm.</t>
  </si>
  <si>
    <t>CHANGE FORMS</t>
  </si>
  <si>
    <t>Use when</t>
  </si>
  <si>
    <t>Required fields</t>
  </si>
  <si>
    <t>Approval / recipients</t>
  </si>
  <si>
    <t>Saved evidence</t>
  </si>
  <si>
    <t>Closure rule</t>
  </si>
  <si>
    <t>Linked sheets</t>
  </si>
  <si>
    <t>Change Request Form</t>
  </si>
  <si>
    <t>Any artwork, formula, label, claim, supplier, process or market change</t>
  </si>
  <si>
    <t>Change ID; trigger; product/SKU; old version; new version; reason; risk level; owner; due date; affected areas</t>
  </si>
  <si>
    <t>Project owner plus required technical/QA/regulatory approvers</t>
  </si>
  <si>
    <t>Completed request, log row, attachments</t>
  </si>
  <si>
    <t>Actions, approvals, communications and obsolete version control complete</t>
  </si>
  <si>
    <t>Artwork/label/carton/proof/pack copy change</t>
  </si>
  <si>
    <t>Old proof; new proof; redline; affected markets/SKUs; label/PIF/claim impact</t>
  </si>
  <si>
    <t>Artwork owner; Regulatory; QA; Marketing/Sales where customer-facing</t>
  </si>
  <si>
    <t>Redline, final PDF, approval trail, printer release email</t>
  </si>
  <si>
    <t>Only approved final artwork may be printed/released</t>
  </si>
  <si>
    <t>Artwork_Change_Control</t>
  </si>
  <si>
    <t>Formula Change Comparison Summary</t>
  </si>
  <si>
    <t>Formula, ingredient, supplier, pH, process, active, preservative or fragrance change</t>
  </si>
  <si>
    <t>Old vs new formula; INCI impact; reason; safety/efficacy/regulatory/label/stability/cost impact</t>
  </si>
  <si>
    <t>R&amp;I, Quality, Regulatory, Scientific Review, Manufacturing, Sales/Marketing acknowledgement</t>
  </si>
  <si>
    <t>Formula comparison, updated Formula_BOM, evidence and sign-offs</t>
  </si>
  <si>
    <t>Summary sent to Sales/Marketing when commercial/customer-facing impact exists</t>
  </si>
  <si>
    <t>Sales &amp; Marketing Change Notification</t>
  </si>
  <si>
    <t>Formula, label, artwork, claims, sensory, benefit story or market wording changes</t>
  </si>
  <si>
    <t>What changed; why; what remains unchanged; affected SKUs/markets; customer talking points; do/don't say</t>
  </si>
  <si>
    <t>Project owner sends; Sales/Marketing acknowledges; Regulatory approves wording where claim-facing</t>
  </si>
  <si>
    <t>Email/Teams/deck link and acknowledgement record</t>
  </si>
  <si>
    <t>No closure until acknowledgement saved or N/A rationale approved</t>
  </si>
  <si>
    <t>Change_Control_Comm; Medical_Summary</t>
  </si>
  <si>
    <t>Closure Checklist</t>
  </si>
  <si>
    <t>Before change is marked closed</t>
  </si>
  <si>
    <t>Actions done; sign-offs complete; comms complete; final version linked; obsolete versions archived; linked sheets updated</t>
  </si>
  <si>
    <t>Change owner; QA/Document Control; Project owner</t>
  </si>
  <si>
    <t>Closed log row and closure note</t>
  </si>
  <si>
    <t>Closed date/closed by entered in Change_Control_Comm</t>
  </si>
  <si>
    <t>REVIEW OWNER: Hannah (Supply Chain)  |  Co-sign: Chris (Project Manager)</t>
  </si>
  <si>
    <t>Costing, Volume and Pricing Calculator</t>
  </si>
  <si>
    <t>Use this sheet as the single source of cost assumptions; BOM sheets feed the formula-driven outputs.</t>
  </si>
  <si>
    <t>INPUTS</t>
  </si>
  <si>
    <t>Input</t>
  </si>
  <si>
    <t>Unit</t>
  </si>
  <si>
    <t>Batch size</t>
  </si>
  <si>
    <t>kg</t>
  </si>
  <si>
    <t>Drives Formula_BOM batch quantity.</t>
  </si>
  <si>
    <t>Fill size</t>
  </si>
  <si>
    <t>g or mL</t>
  </si>
  <si>
    <t>Used for unit assumptions where needed.</t>
  </si>
  <si>
    <t>Target units</t>
  </si>
  <si>
    <t>units</t>
  </si>
  <si>
    <t>Used for per-unit formula costing and forecast outputs.</t>
  </si>
  <si>
    <t>Formula cost / unit</t>
  </si>
  <si>
    <t>auto</t>
  </si>
  <si>
    <t>Linked from Formula_BOM.</t>
  </si>
  <si>
    <t>Packaging cost / unit</t>
  </si>
  <si>
    <t>Linked from Packaging_BOM total.</t>
  </si>
  <si>
    <t>Labour / overhead / unit</t>
  </si>
  <si>
    <t>currency</t>
  </si>
  <si>
    <t>Manual input.</t>
  </si>
  <si>
    <t>Freight / other / unit</t>
  </si>
  <si>
    <t>Target sell price</t>
  </si>
  <si>
    <t>Distributor margin</t>
  </si>
  <si>
    <t>%</t>
  </si>
  <si>
    <t>Optional assumption.</t>
  </si>
  <si>
    <t>Wastage allowance</t>
  </si>
  <si>
    <t>Applied to COGS.</t>
  </si>
  <si>
    <t>CALCULATED OUTPUTS</t>
  </si>
  <si>
    <t>Output</t>
  </si>
  <si>
    <t>Calculated total COGS / unit</t>
  </si>
  <si>
    <t>Formula + packaging + overhead + freight, with wastage.</t>
  </si>
  <si>
    <t>Gross margin %</t>
  </si>
  <si>
    <t>Based on target sell price.</t>
  </si>
  <si>
    <t>Total forecast revenue</t>
  </si>
  <si>
    <t>Target units x target sell price.</t>
  </si>
  <si>
    <t>Total forecast gross profit</t>
  </si>
  <si>
    <t>Unit gross profit x target units.</t>
  </si>
  <si>
    <t>Post-market, Complaint &amp; CAPA Evidence</t>
  </si>
  <si>
    <t>Use after launch to capture complaints, adverse events, post-market surveillance and CAPA links.</t>
  </si>
  <si>
    <t>POST-MARKET / CAPA LOG</t>
  </si>
  <si>
    <t>Event type</t>
  </si>
  <si>
    <t>Complaint / AE summary</t>
  </si>
  <si>
    <t>Severity / risk</t>
  </si>
  <si>
    <t>Investigation link</t>
  </si>
  <si>
    <t>CAPA link</t>
  </si>
  <si>
    <t>PIF / PMF impact</t>
  </si>
  <si>
    <t>User</t>
  </si>
  <si>
    <t>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</si>
</sst>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yyyy\-mm\-dd"/>
    <numFmt numFmtId="166" formatCode="dd\-mmm\-yyyy"/>
  </numFmts>
  <fonts count="51">
    <font>
      <sz val="11"/>
      <color theme="1"/>
      <name val="Calibri"/>
    </font>
    <font>
      <b/>
      <sz val="15"/>
      <color rgb="FFB5122B"/>
      <name val="Calibri"/>
    </font>
    <font>
      <b/>
      <sz val="11"/>
      <color rgb="FFFFFFFF"/>
      <name val="Calibri"/>
    </font>
    <font>
      <sz val="11"/>
      <color rgb="FF000000"/>
      <name val="Calibri"/>
    </font>
    <font>
      <b/>
      <sz val="14"/>
      <color rgb="FFFFFFFF"/>
      <name val="Calibri"/>
    </font>
    <font>
      <sz val="11"/>
      <color theme="10"/>
      <name val="Calibri"/>
    </font>
    <font>
      <b/>
      <sz val="10"/>
      <color rgb="FF111111"/>
      <name val="Calibri"/>
    </font>
    <font>
      <b/>
      <sz val="11"/>
      <color rgb="FF7F0000"/>
      <name val="Calibri"/>
    </font>
    <font>
      <b/>
      <sz val="16"/>
      <color rgb="FFFFFFFF"/>
      <name val="Calibri"/>
    </font>
    <font>
      <sz val="10"/>
      <color rgb="FF000000"/>
      <name val="Calibri"/>
    </font>
    <font>
      <b/>
      <sz val="10"/>
      <color rgb="FF000000"/>
      <name val="Calibri"/>
    </font>
    <font>
      <b/>
      <sz val="10"/>
      <color rgb="FFFF0000"/>
      <name val="Calibri"/>
    </font>
    <font>
      <b/>
      <sz val="9"/>
      <color rgb="FF000000"/>
      <name val="Calibri"/>
    </font>
    <font>
      <b/>
      <i/>
      <sz val="9"/>
      <color rgb="FFFF0000"/>
      <name val="Calibri"/>
    </font>
    <font>
      <b/>
      <sz val="10"/>
      <name val="Calibri"/>
    </font>
    <font>
      <b/>
      <sz val="10"/>
      <color rgb="FF0563C1"/>
      <name val="Calibri"/>
    </font>
    <font>
      <b/>
      <sz val="10"/>
      <color rgb="FF9D0B1E"/>
      <name val="Calibri"/>
    </font>
    <font>
      <i/>
      <sz val="10"/>
      <color rgb="FF000000"/>
      <name val="Calibri"/>
    </font>
    <font>
      <sz val="10"/>
      <name val="Calibri"/>
    </font>
    <font>
      <b/>
      <i/>
      <sz val="9"/>
      <color rgb="FF0563C1"/>
      <name val="Calibri"/>
    </font>
    <font>
      <b/>
      <sz val="10"/>
      <color rgb="FF2E75B6"/>
      <name val="Calibri"/>
    </font>
    <font>
      <sz val="10"/>
      <color rgb="FF1F1F1F"/>
      <name val="Aptos"/>
    </font>
    <font>
      <b/>
      <sz val="11"/>
      <color rgb="FFFFFFFF"/>
      <name val="Aptos"/>
    </font>
    <font>
      <b/>
      <sz val="10"/>
      <color rgb="FF0070C0"/>
      <name val="Aptos"/>
    </font>
    <font>
      <i/>
      <sz val="9"/>
      <color rgb="FF404040"/>
      <name val="Aptos"/>
    </font>
    <font>
      <b/>
      <sz val="10"/>
      <color rgb="FFFFFFFF"/>
      <name val="Aptos"/>
    </font>
    <font>
      <b/>
      <sz val="9"/>
      <color rgb="FFFFFFFF"/>
      <name val="Aptos"/>
    </font>
    <font>
      <b/>
      <sz val="10"/>
      <color theme="1"/>
      <name val="Calibri"/>
    </font>
    <font>
      <i/>
      <sz val="9"/>
      <color theme="1"/>
      <name val="Calibri"/>
    </font>
    <font>
      <b/>
      <sz val="10"/>
      <color rgb="FFFFFFFF"/>
      <name val="Calibri"/>
    </font>
    <font>
      <b/>
      <sz val="9"/>
      <color rgb="FFFFFFFF"/>
      <name val="Calibri"/>
    </font>
    <font>
      <sz val="9"/>
      <color theme="1"/>
      <name val="Calibri"/>
    </font>
    <font>
      <b/>
      <sz val="9"/>
      <color theme="1"/>
      <name val="Calibri"/>
    </font>
    <font>
      <i/>
      <sz val="8"/>
      <color theme="1"/>
      <name val="Calibri"/>
    </font>
    <font>
      <i/>
      <sz val="8"/>
      <color rgb="FF808080"/>
      <name val="Calibri"/>
    </font>
    <font>
      <sz val="11"/>
      <color rgb="FF000000"/>
      <name val="Times New Roman"/>
      <charset val="1"/>
    </font>
    <font>
      <b/>
      <sz val="9"/>
      <color rgb="FF1F1F1F"/>
      <name val="Aptos"/>
    </font>
    <font>
      <sz val="10"/>
      <color theme="1"/>
      <name val="Aptos"/>
    </font>
    <font>
      <i/>
      <sz val="9"/>
      <color rgb="FF1F1F1F"/>
      <name val="Calibri"/>
    </font>
    <font>
      <sz val="10"/>
      <color rgb="FF1F1F1F"/>
      <name val="Calibri"/>
    </font>
    <font>
      <sz val="10"/>
      <color theme="1"/>
      <name val="Calibri"/>
    </font>
    <font>
      <b/>
      <sz val="13"/>
      <color rgb="FFFFFFFF"/>
      <name val="Calibri"/>
    </font>
    <font>
      <i/>
      <sz val="11"/>
      <color rgb="FF595959"/>
      <name val="Calibri"/>
    </font>
    <font>
      <b/>
      <sz val="12"/>
      <color theme="1"/>
      <name val="Calibri"/>
    </font>
    <font>
      <b/>
      <sz val="12"/>
      <color rgb="FF1F3864"/>
      <name val="Calibri"/>
    </font>
    <font>
      <sz val="10"/>
      <color rgb="FF1F4E79"/>
      <name val="Calibri"/>
    </font>
    <font>
      <b/>
      <sz val="13"/>
      <color rgb="FF1F3864"/>
      <name val="Calibri"/>
    </font>
    <font>
      <b/>
      <sz val="11"/>
      <color theme="1"/>
      <name val="Calibri"/>
    </font>
    <font>
      <b/>
      <sz val="11"/>
      <color rgb="FF1F3864"/>
      <name val="Calibri"/>
    </font>
    <font>
      <b/>
      <i/>
      <sz val="11"/>
      <color rgb="FF595959"/>
      <name val="Calibri"/>
    </font>
    <font>
      <i/>
      <sz val="9"/>
      <color rgb="FF595959"/>
      <name val="Calibri"/>
    </font>
  </fonts>
  <fills count="40">
    <fill>
      <patternFill patternType="none"/>
    </fill>
    <fill>
      <patternFill patternType="gray125"/>
    </fill>
    <fill>
      <patternFill patternType="solid">
        <fgColor rgb="FFB5122B"/>
      </patternFill>
    </fill>
    <fill>
      <patternFill patternType="solid">
        <fgColor rgb="FFFCE4D6"/>
      </patternFill>
    </fill>
    <fill>
      <patternFill patternType="solid">
        <fgColor theme="8" tint="0.79992065187536243"/>
        <bgColor indexed="65"/>
      </patternFill>
    </fill>
    <fill>
      <patternFill patternType="solid">
        <fgColor rgb="FF9D0B1E"/>
      </patternFill>
    </fill>
    <fill>
      <patternFill patternType="solid">
        <fgColor rgb="FFF3DDE1"/>
      </patternFill>
    </fill>
    <fill>
      <patternFill patternType="solid">
        <fgColor rgb="FF2E75B6"/>
      </patternFill>
    </fill>
    <fill>
      <patternFill patternType="solid">
        <fgColor rgb="FFBDD7EE"/>
      </patternFill>
    </fill>
    <fill>
      <patternFill patternType="solid">
        <fgColor rgb="FFF2F2F2"/>
      </patternFill>
    </fill>
    <fill>
      <patternFill patternType="solid">
        <fgColor rgb="FFFFFDF5"/>
      </patternFill>
    </fill>
    <fill>
      <patternFill patternType="solid">
        <fgColor rgb="FFB10820"/>
      </patternFill>
    </fill>
    <fill>
      <patternFill patternType="solid">
        <fgColor rgb="FFF4D8DE"/>
      </patternFill>
    </fill>
    <fill>
      <patternFill patternType="solid">
        <fgColor rgb="FFFFF2CC"/>
      </patternFill>
    </fill>
    <fill>
      <patternFill patternType="solid">
        <fgColor rgb="FF1F4E78"/>
      </patternFill>
    </fill>
    <fill>
      <patternFill patternType="solid">
        <fgColor rgb="FF5B9BD5"/>
      </patternFill>
    </fill>
    <fill>
      <patternFill patternType="solid">
        <fgColor rgb="FFFDFBF2"/>
      </patternFill>
    </fill>
    <fill>
      <patternFill patternType="solid">
        <fgColor rgb="FFB10820"/>
        <bgColor indexed="64"/>
      </patternFill>
    </fill>
    <fill>
      <patternFill patternType="solid">
        <fgColor rgb="FF1F4E78"/>
        <bgColor indexed="64"/>
      </patternFill>
    </fill>
    <fill>
      <patternFill patternType="solid">
        <fgColor rgb="FF5B9BD5"/>
        <bgColor indexed="64"/>
      </patternFill>
    </fill>
    <fill>
      <patternFill patternType="solid">
        <fgColor rgb="FFDDEBF7"/>
        <bgColor indexed="64"/>
      </patternFill>
    </fill>
    <fill>
      <patternFill patternType="solid">
        <fgColor rgb="FFFFFF00"/>
        <bgColor indexed="64"/>
      </patternFill>
    </fill>
    <fill>
      <patternFill patternType="solid">
        <fgColor rgb="FF7030A0"/>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rgb="FF2E75B6"/>
        <bgColor indexed="64"/>
      </patternFill>
    </fill>
    <fill>
      <patternFill patternType="solid">
        <fgColor rgb="FF00B050"/>
        <bgColor indexed="64"/>
      </patternFill>
    </fill>
    <fill>
      <patternFill patternType="solid">
        <fgColor rgb="FFED7D31"/>
        <bgColor indexed="64"/>
      </patternFill>
    </fill>
    <fill>
      <patternFill patternType="solid">
        <fgColor rgb="FF843C0C"/>
        <bgColor indexed="64"/>
      </patternFill>
    </fill>
    <fill>
      <patternFill patternType="solid">
        <fgColor rgb="FFFF66CC"/>
        <bgColor indexed="64"/>
      </patternFill>
    </fill>
    <fill>
      <patternFill patternType="solid">
        <fgColor rgb="FF808080"/>
        <bgColor indexed="64"/>
      </patternFill>
    </fill>
    <fill>
      <patternFill patternType="solid">
        <fgColor rgb="FFFCE4D6"/>
        <bgColor indexed="64"/>
      </patternFill>
    </fill>
    <fill>
      <patternFill patternType="solid">
        <fgColor rgb="FFF4D8DE"/>
        <bgColor indexed="64"/>
      </patternFill>
    </fill>
    <fill>
      <patternFill patternType="solid">
        <fgColor rgb="FFFDFBF2"/>
        <bgColor indexed="64"/>
      </patternFill>
    </fill>
    <fill>
      <patternFill patternType="solid">
        <fgColor rgb="FF8EAADB"/>
        <bgColor indexed="64"/>
      </patternFill>
    </fill>
    <fill>
      <patternFill patternType="solid">
        <fgColor rgb="FFBDD7EE"/>
        <bgColor indexed="64"/>
      </patternFill>
    </fill>
    <fill>
      <patternFill patternType="solid">
        <fgColor rgb="FFF2F7FC"/>
        <bgColor indexed="64"/>
      </patternFill>
    </fill>
    <fill>
      <patternFill patternType="solid">
        <fgColor rgb="FF1F3864"/>
        <bgColor indexed="64"/>
      </patternFill>
    </fill>
    <fill>
      <patternFill patternType="solid">
        <fgColor rgb="FFD6E4F0"/>
        <bgColor indexed="64"/>
      </patternFill>
    </fill>
  </fills>
  <borders count="28">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B7C9D8"/>
      </left>
      <right style="thin">
        <color rgb="FFB7C9D8"/>
      </right>
      <top style="thin">
        <color rgb="FFB7C9D8"/>
      </top>
      <bottom style="thin">
        <color rgb="FFB7C9D8"/>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D9D9D9"/>
      </left>
      <right/>
      <top style="thin">
        <color rgb="FFD9D9D9"/>
      </top>
      <bottom style="thin">
        <color auto="1"/>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thin">
        <color rgb="FF9DC3E6"/>
      </left>
      <right style="thin">
        <color rgb="FF9DC3E6"/>
      </right>
      <top style="thin">
        <color rgb="FF9DC3E6"/>
      </top>
      <bottom style="thin">
        <color rgb="FF9DC3E6"/>
      </bottom>
      <diagonal/>
    </border>
    <border>
      <left style="thin">
        <color rgb="FFBFBFBF"/>
      </left>
      <right style="thin">
        <color rgb="FFBFBFBF"/>
      </right>
      <top style="thin">
        <color rgb="FFBFBFBF"/>
      </top>
      <bottom style="thin">
        <color rgb="FFBFBFBF"/>
      </bottom>
      <diagonal/>
    </border>
  </borders>
  <cellStyleXfs count="2">
    <xf numFmtId="0" fontId="0" fillId="0" borderId="2"/>
    <xf numFmtId="0" fontId="5" fillId="0" borderId="2"/>
  </cellStyleXfs>
  <cellXfs count="207">
    <xf numFmtId="0" fontId="0" fillId="0" borderId="0" xfId="0" applyBorder="1"/>
    <xf numFmtId="0" fontId="0" fillId="0" borderId="0" xfId="0" applyBorder="1" applyAlignment="1">
      <alignment horizontal="left" vertical="center"/>
    </xf>
    <xf numFmtId="0" fontId="0" fillId="0" borderId="1" xfId="0" applyBorder="1" applyAlignment="1">
      <alignment horizontal="center" vertical="center"/>
    </xf>
    <xf numFmtId="0" fontId="0" fillId="0" borderId="0" xfId="0" applyBorder="1" applyAlignment="1">
      <alignment horizontal="center" vertical="center"/>
    </xf>
    <xf numFmtId="0" fontId="3" fillId="0" borderId="0" xfId="0" applyFont="1" applyBorder="1" applyAlignment="1">
      <alignment horizontal="center" vertical="center"/>
    </xf>
    <xf numFmtId="0" fontId="2" fillId="2" borderId="3" xfId="0" applyFont="1" applyFill="1" applyBorder="1" applyAlignment="1">
      <alignment horizontal="center" vertical="center" wrapText="1"/>
    </xf>
    <xf numFmtId="0" fontId="7" fillId="3" borderId="4" xfId="0" applyFont="1" applyFill="1" applyBorder="1" applyAlignment="1">
      <alignment horizontal="left" vertical="center" wrapText="1"/>
    </xf>
    <xf numFmtId="0" fontId="7" fillId="3" borderId="5" xfId="0" applyFont="1" applyFill="1"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0" fillId="4" borderId="3" xfId="0" applyFill="1" applyBorder="1" applyAlignment="1">
      <alignment horizontal="left" vertical="center" wrapText="1"/>
    </xf>
    <xf numFmtId="0" fontId="0" fillId="4" borderId="6" xfId="0" applyFill="1" applyBorder="1" applyAlignment="1">
      <alignment horizontal="left" vertical="center" wrapText="1"/>
    </xf>
    <xf numFmtId="0" fontId="0" fillId="4" borderId="4" xfId="0" applyFill="1" applyBorder="1" applyAlignment="1">
      <alignment horizontal="left" vertical="center" wrapText="1"/>
    </xf>
    <xf numFmtId="0" fontId="0" fillId="0" borderId="7" xfId="0" applyBorder="1" applyAlignment="1">
      <alignment horizontal="left" vertical="center" wrapText="1"/>
    </xf>
    <xf numFmtId="0" fontId="7" fillId="3" borderId="8" xfId="0" applyFont="1" applyFill="1" applyBorder="1" applyAlignment="1">
      <alignment horizontal="left" vertical="center" wrapText="1"/>
    </xf>
    <xf numFmtId="0" fontId="20" fillId="6" borderId="9" xfId="0" applyFont="1" applyFill="1" applyBorder="1" applyAlignment="1">
      <alignment horizontal="left" vertical="center" wrapText="1"/>
    </xf>
    <xf numFmtId="0" fontId="10" fillId="6" borderId="9" xfId="0" applyFont="1" applyFill="1" applyBorder="1" applyAlignment="1">
      <alignment horizontal="left" vertical="center" wrapText="1"/>
    </xf>
    <xf numFmtId="0" fontId="0" fillId="4" borderId="5" xfId="0" applyFill="1" applyBorder="1" applyAlignment="1">
      <alignment horizontal="left" vertical="center" wrapText="1"/>
    </xf>
    <xf numFmtId="0" fontId="0" fillId="0" borderId="5" xfId="0" applyBorder="1" applyAlignment="1">
      <alignment horizontal="left" vertical="center" wrapText="1"/>
    </xf>
    <xf numFmtId="0" fontId="10" fillId="8" borderId="9" xfId="0" applyFont="1" applyFill="1" applyBorder="1" applyAlignment="1">
      <alignment horizontal="center" vertical="center" wrapText="1"/>
    </xf>
    <xf numFmtId="0" fontId="14" fillId="9" borderId="9" xfId="0" applyFont="1" applyFill="1" applyBorder="1" applyAlignment="1">
      <alignment horizontal="center" vertical="center" wrapText="1"/>
    </xf>
    <xf numFmtId="0" fontId="9" fillId="9" borderId="9" xfId="0" applyFont="1" applyFill="1" applyBorder="1" applyAlignment="1">
      <alignment horizontal="left" vertical="center" wrapText="1"/>
    </xf>
    <xf numFmtId="0" fontId="16" fillId="10" borderId="9" xfId="0" applyFont="1" applyFill="1" applyBorder="1" applyAlignment="1">
      <alignment horizontal="left" vertical="center" wrapText="1"/>
    </xf>
    <xf numFmtId="0" fontId="14" fillId="10" borderId="9" xfId="0" applyFont="1" applyFill="1" applyBorder="1" applyAlignment="1">
      <alignment horizontal="left" vertical="center" wrapText="1"/>
    </xf>
    <xf numFmtId="0" fontId="9" fillId="10" borderId="9" xfId="0" applyFont="1" applyFill="1" applyBorder="1" applyAlignment="1">
      <alignment horizontal="left" vertical="center" wrapText="1"/>
    </xf>
    <xf numFmtId="0" fontId="15" fillId="10" borderId="9" xfId="0" applyFont="1" applyFill="1" applyBorder="1" applyAlignment="1">
      <alignment horizontal="left" vertical="center" wrapText="1"/>
    </xf>
    <xf numFmtId="0" fontId="18" fillId="9" borderId="9" xfId="0" applyFont="1" applyFill="1" applyBorder="1" applyAlignment="1">
      <alignment horizontal="left" vertical="center" wrapText="1"/>
    </xf>
    <xf numFmtId="0" fontId="16" fillId="9" borderId="9" xfId="0" applyFont="1" applyFill="1" applyBorder="1" applyAlignment="1">
      <alignment horizontal="left" vertical="center" wrapText="1"/>
    </xf>
    <xf numFmtId="0" fontId="14" fillId="9" borderId="9" xfId="0" applyFont="1" applyFill="1" applyBorder="1" applyAlignment="1">
      <alignment horizontal="left" vertical="center" wrapText="1"/>
    </xf>
    <xf numFmtId="0" fontId="16" fillId="6" borderId="9" xfId="0" applyFont="1" applyFill="1" applyBorder="1" applyAlignment="1">
      <alignment horizontal="left" vertical="center" wrapText="1"/>
    </xf>
    <xf numFmtId="0" fontId="9" fillId="6" borderId="9" xfId="0" applyFont="1" applyFill="1" applyBorder="1" applyAlignment="1">
      <alignment horizontal="left" vertical="center" wrapText="1"/>
    </xf>
    <xf numFmtId="0" fontId="0" fillId="0" borderId="3" xfId="0" applyBorder="1" applyAlignment="1">
      <alignment horizontal="left" vertical="top" wrapText="1"/>
    </xf>
    <xf numFmtId="0" fontId="9" fillId="10" borderId="9" xfId="0" applyFont="1" applyFill="1" applyBorder="1" applyAlignment="1">
      <alignment horizontal="center" vertical="center" wrapText="1"/>
    </xf>
    <xf numFmtId="0" fontId="26" fillId="15" borderId="12" xfId="0" applyFont="1" applyFill="1" applyBorder="1" applyAlignment="1">
      <alignment horizontal="center" vertical="center" wrapText="1"/>
    </xf>
    <xf numFmtId="0" fontId="21" fillId="16" borderId="12" xfId="0" applyFont="1" applyFill="1" applyBorder="1" applyAlignment="1">
      <alignment vertical="top" wrapText="1"/>
    </xf>
    <xf numFmtId="2" fontId="21" fillId="16" borderId="12" xfId="0" applyNumberFormat="1" applyFont="1" applyFill="1" applyBorder="1" applyAlignment="1">
      <alignment vertical="top" wrapText="1"/>
    </xf>
    <xf numFmtId="4" fontId="21" fillId="16" borderId="12" xfId="0" applyNumberFormat="1" applyFont="1" applyFill="1" applyBorder="1" applyAlignment="1">
      <alignment vertical="top" wrapText="1"/>
    </xf>
    <xf numFmtId="164" fontId="21" fillId="16" borderId="12" xfId="0" applyNumberFormat="1" applyFont="1" applyFill="1" applyBorder="1" applyAlignment="1">
      <alignment vertical="top" wrapText="1"/>
    </xf>
    <xf numFmtId="9" fontId="21" fillId="16" borderId="12" xfId="0" applyNumberFormat="1" applyFont="1" applyFill="1" applyBorder="1" applyAlignment="1">
      <alignment vertical="top" wrapText="1"/>
    </xf>
    <xf numFmtId="165" fontId="21" fillId="16" borderId="12" xfId="0" applyNumberFormat="1" applyFont="1" applyFill="1" applyBorder="1" applyAlignment="1">
      <alignment vertical="top" wrapText="1"/>
    </xf>
    <xf numFmtId="2" fontId="26" fillId="15" borderId="12" xfId="0" applyNumberFormat="1" applyFont="1" applyFill="1" applyBorder="1" applyAlignment="1">
      <alignment horizontal="center" vertical="center" wrapText="1"/>
    </xf>
    <xf numFmtId="0" fontId="24" fillId="13" borderId="2" xfId="0" applyFont="1" applyFill="1" applyAlignment="1">
      <alignment horizontal="left" vertical="center" wrapText="1"/>
    </xf>
    <xf numFmtId="0" fontId="23" fillId="12" borderId="2" xfId="0" applyFont="1" applyFill="1" applyAlignment="1">
      <alignment horizontal="left" vertical="center" wrapText="1"/>
    </xf>
    <xf numFmtId="0" fontId="21" fillId="0" borderId="2" xfId="0" applyFont="1" applyAlignment="1">
      <alignment vertical="top" wrapText="1"/>
    </xf>
    <xf numFmtId="0" fontId="4" fillId="5" borderId="2" xfId="0" applyFont="1" applyFill="1" applyAlignment="1">
      <alignment horizontal="center" vertical="center" wrapText="1"/>
    </xf>
    <xf numFmtId="0" fontId="0" fillId="0" borderId="2" xfId="0"/>
    <xf numFmtId="0" fontId="0" fillId="13" borderId="4" xfId="0" applyFill="1" applyBorder="1" applyAlignment="1">
      <alignment horizontal="left" vertical="center" wrapText="1"/>
    </xf>
    <xf numFmtId="0" fontId="0" fillId="13" borderId="7" xfId="0" applyFill="1" applyBorder="1" applyAlignment="1">
      <alignment horizontal="left" vertical="center" wrapText="1"/>
    </xf>
    <xf numFmtId="0" fontId="6" fillId="6" borderId="2" xfId="0" applyFont="1" applyFill="1" applyAlignment="1">
      <alignment horizontal="left" vertical="center" wrapText="1"/>
    </xf>
    <xf numFmtId="0" fontId="1" fillId="0" borderId="2" xfId="0" applyFont="1" applyAlignment="1">
      <alignment vertical="center"/>
    </xf>
    <xf numFmtId="0" fontId="0" fillId="0" borderId="2" xfId="0" applyAlignment="1">
      <alignment horizontal="left" vertical="center"/>
    </xf>
    <xf numFmtId="0" fontId="9" fillId="6" borderId="2" xfId="0" applyFont="1" applyFill="1" applyAlignment="1">
      <alignment horizontal="left" vertical="center" wrapText="1"/>
    </xf>
    <xf numFmtId="0" fontId="0" fillId="0" borderId="2" xfId="0" applyAlignment="1">
      <alignment horizontal="center" vertical="center"/>
    </xf>
    <xf numFmtId="0" fontId="22" fillId="11" borderId="2" xfId="0" applyFont="1" applyFill="1" applyAlignment="1">
      <alignment horizontal="center" vertical="center" wrapText="1"/>
    </xf>
    <xf numFmtId="0" fontId="25" fillId="14" borderId="2" xfId="0" applyFont="1" applyFill="1" applyAlignment="1">
      <alignment horizontal="left" vertical="center" wrapText="1"/>
    </xf>
    <xf numFmtId="2" fontId="21" fillId="0" borderId="2" xfId="0" applyNumberFormat="1" applyFont="1" applyAlignment="1">
      <alignment vertical="top" wrapText="1"/>
    </xf>
    <xf numFmtId="2" fontId="25" fillId="14" borderId="2" xfId="0" applyNumberFormat="1" applyFont="1" applyFill="1" applyAlignment="1">
      <alignment horizontal="left" vertical="center" wrapText="1"/>
    </xf>
    <xf numFmtId="0" fontId="9" fillId="9" borderId="9"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9" fillId="10" borderId="9"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0" fillId="19" borderId="2" xfId="0" applyFont="1" applyFill="1" applyAlignment="1">
      <alignment wrapText="1"/>
    </xf>
    <xf numFmtId="0" fontId="31" fillId="0" borderId="13" xfId="0" applyFont="1" applyBorder="1"/>
    <xf numFmtId="0" fontId="31" fillId="0" borderId="14" xfId="0" applyFont="1" applyBorder="1"/>
    <xf numFmtId="0" fontId="31" fillId="0" borderId="15" xfId="0" applyFont="1" applyBorder="1"/>
    <xf numFmtId="0" fontId="31" fillId="0" borderId="16" xfId="0" applyFont="1" applyBorder="1"/>
    <xf numFmtId="0" fontId="31" fillId="0" borderId="17" xfId="0" applyFont="1" applyBorder="1"/>
    <xf numFmtId="0" fontId="31" fillId="0" borderId="18" xfId="0" applyFont="1" applyBorder="1"/>
    <xf numFmtId="0" fontId="31" fillId="0" borderId="19" xfId="0" applyFont="1" applyBorder="1"/>
    <xf numFmtId="0" fontId="31" fillId="0" borderId="20" xfId="0" applyFont="1" applyBorder="1"/>
    <xf numFmtId="0" fontId="31" fillId="0" borderId="21" xfId="0" applyFont="1" applyBorder="1"/>
    <xf numFmtId="166" fontId="31" fillId="0" borderId="14" xfId="0" applyNumberFormat="1" applyFont="1" applyBorder="1"/>
    <xf numFmtId="166" fontId="31" fillId="0" borderId="17" xfId="0" applyNumberFormat="1" applyFont="1" applyBorder="1"/>
    <xf numFmtId="166" fontId="31" fillId="0" borderId="20" xfId="0" applyNumberFormat="1" applyFont="1" applyBorder="1"/>
    <xf numFmtId="0" fontId="31" fillId="0" borderId="13" xfId="0" applyFont="1" applyBorder="1" applyAlignment="1">
      <alignment vertical="top" wrapText="1"/>
    </xf>
    <xf numFmtId="0" fontId="31" fillId="0" borderId="14" xfId="0" applyFont="1" applyBorder="1" applyAlignment="1">
      <alignment vertical="top" wrapText="1"/>
    </xf>
    <xf numFmtId="0" fontId="31" fillId="0" borderId="15" xfId="0" applyFont="1" applyBorder="1" applyAlignment="1">
      <alignment vertical="top" wrapText="1"/>
    </xf>
    <xf numFmtId="0" fontId="31" fillId="0" borderId="16" xfId="0" applyFont="1" applyBorder="1" applyAlignment="1">
      <alignment vertical="top" wrapText="1"/>
    </xf>
    <xf numFmtId="0" fontId="31" fillId="0" borderId="17" xfId="0" applyFont="1" applyBorder="1" applyAlignment="1">
      <alignment vertical="top" wrapText="1"/>
    </xf>
    <xf numFmtId="0" fontId="31" fillId="0" borderId="18" xfId="0" applyFont="1" applyBorder="1" applyAlignment="1">
      <alignment vertical="top" wrapText="1"/>
    </xf>
    <xf numFmtId="0" fontId="31" fillId="0" borderId="19" xfId="0" applyFont="1" applyBorder="1" applyAlignment="1">
      <alignment vertical="top" wrapText="1"/>
    </xf>
    <xf numFmtId="0" fontId="31" fillId="0" borderId="20" xfId="0" applyFont="1" applyBorder="1" applyAlignment="1">
      <alignment vertical="top" wrapText="1"/>
    </xf>
    <xf numFmtId="0" fontId="31" fillId="0" borderId="21" xfId="0" applyFont="1" applyBorder="1" applyAlignment="1">
      <alignment vertical="top" wrapText="1"/>
    </xf>
    <xf numFmtId="166" fontId="31" fillId="0" borderId="14" xfId="0" applyNumberFormat="1" applyFont="1" applyBorder="1" applyAlignment="1">
      <alignment vertical="top" wrapText="1"/>
    </xf>
    <xf numFmtId="166" fontId="31" fillId="0" borderId="17" xfId="0" applyNumberFormat="1" applyFont="1" applyBorder="1" applyAlignment="1">
      <alignment vertical="top" wrapText="1"/>
    </xf>
    <xf numFmtId="166" fontId="31" fillId="0" borderId="20" xfId="0" applyNumberFormat="1" applyFont="1" applyBorder="1" applyAlignment="1">
      <alignment vertical="top" wrapText="1"/>
    </xf>
    <xf numFmtId="0" fontId="30" fillId="19" borderId="2" xfId="0" applyFont="1" applyFill="1"/>
    <xf numFmtId="0" fontId="32" fillId="0" borderId="13" xfId="0" applyFont="1" applyBorder="1"/>
    <xf numFmtId="0" fontId="32" fillId="0" borderId="16" xfId="0" applyFont="1" applyBorder="1"/>
    <xf numFmtId="0" fontId="32" fillId="0" borderId="19" xfId="0" applyFont="1" applyBorder="1"/>
    <xf numFmtId="0" fontId="25" fillId="14" borderId="2" xfId="0" applyFont="1" applyFill="1" applyAlignment="1">
      <alignment horizontal="left" vertical="center"/>
    </xf>
    <xf numFmtId="0" fontId="31" fillId="0" borderId="2" xfId="0" applyFont="1" applyAlignment="1">
      <alignment vertical="top" wrapText="1"/>
    </xf>
    <xf numFmtId="0" fontId="31" fillId="0" borderId="2" xfId="0" applyFont="1"/>
    <xf numFmtId="0" fontId="24" fillId="13" borderId="2" xfId="0" applyFont="1" applyFill="1" applyAlignment="1">
      <alignment horizontal="left" vertical="center"/>
    </xf>
    <xf numFmtId="0" fontId="30" fillId="19" borderId="2" xfId="0" applyFont="1" applyFill="1" applyAlignment="1">
      <alignment horizontal="center" vertical="center" wrapText="1"/>
    </xf>
    <xf numFmtId="166" fontId="31" fillId="0" borderId="16" xfId="0" applyNumberFormat="1" applyFont="1" applyBorder="1" applyAlignment="1">
      <alignment vertical="top" wrapText="1"/>
    </xf>
    <xf numFmtId="49" fontId="31" fillId="0" borderId="14" xfId="0" applyNumberFormat="1" applyFont="1" applyBorder="1"/>
    <xf numFmtId="49" fontId="31" fillId="0" borderId="17" xfId="0" applyNumberFormat="1" applyFont="1" applyBorder="1"/>
    <xf numFmtId="49" fontId="31" fillId="0" borderId="20" xfId="0" applyNumberFormat="1" applyFont="1" applyBorder="1"/>
    <xf numFmtId="49" fontId="31" fillId="0" borderId="2" xfId="0" applyNumberFormat="1" applyFont="1" applyAlignment="1">
      <alignment vertical="top" wrapText="1"/>
    </xf>
    <xf numFmtId="0" fontId="30" fillId="19" borderId="2" xfId="0" applyFont="1" applyFill="1" applyAlignment="1">
      <alignment vertical="center"/>
    </xf>
    <xf numFmtId="0" fontId="32" fillId="0" borderId="2" xfId="0" applyFont="1"/>
    <xf numFmtId="0" fontId="5" fillId="0" borderId="2" xfId="1"/>
    <xf numFmtId="0" fontId="0" fillId="21" borderId="4" xfId="0" applyFill="1" applyBorder="1"/>
    <xf numFmtId="0" fontId="21" fillId="16" borderId="12" xfId="0" applyFont="1" applyFill="1" applyBorder="1" applyAlignment="1">
      <alignment vertical="top" wrapText="1"/>
      <extLst>
        <ext xmlns:xfpb="http://schemas.microsoft.com/office/spreadsheetml/2022/featurepropertybag" uri="{C7286773-470A-42A8-94C5-96B5CB345126}">
          <xfpb:xfComplement i="0"/>
        </ext>
      </extLst>
    </xf>
    <xf numFmtId="0" fontId="30" fillId="19" borderId="2" xfId="0" applyFont="1" applyFill="1" applyAlignment="1">
      <alignment horizontal="left" wrapText="1"/>
    </xf>
    <xf numFmtId="0" fontId="3" fillId="0" borderId="2" xfId="0" applyFont="1" applyAlignment="1">
      <alignment horizontal="center" vertical="center"/>
    </xf>
    <xf numFmtId="0" fontId="35" fillId="32" borderId="22" xfId="0" applyFont="1" applyFill="1" applyBorder="1" applyAlignment="1">
      <alignment wrapText="1"/>
    </xf>
    <xf numFmtId="0" fontId="35" fillId="32" borderId="23" xfId="0" applyFont="1" applyFill="1" applyBorder="1" applyAlignment="1">
      <alignment wrapText="1"/>
    </xf>
    <xf numFmtId="0" fontId="35" fillId="32" borderId="24" xfId="0" applyFont="1" applyFill="1" applyBorder="1" applyAlignment="1">
      <alignment wrapText="1"/>
    </xf>
    <xf numFmtId="0" fontId="35" fillId="32" borderId="25" xfId="0" applyFont="1" applyFill="1" applyBorder="1" applyAlignment="1">
      <alignment wrapText="1"/>
    </xf>
    <xf numFmtId="0" fontId="21" fillId="34" borderId="2" xfId="0" applyFont="1" applyFill="1" applyAlignment="1">
      <alignment vertical="top" wrapText="1"/>
    </xf>
    <xf numFmtId="0" fontId="21" fillId="34" borderId="12" xfId="0" applyFont="1" applyFill="1" applyBorder="1" applyAlignment="1">
      <alignment vertical="top" wrapText="1"/>
    </xf>
    <xf numFmtId="165" fontId="21" fillId="34" borderId="12" xfId="0" applyNumberFormat="1" applyFont="1" applyFill="1" applyBorder="1" applyAlignment="1">
      <alignment vertical="top" wrapText="1"/>
    </xf>
    <xf numFmtId="0" fontId="26" fillId="19" borderId="2" xfId="0" applyFont="1" applyFill="1" applyAlignment="1">
      <alignment vertical="center" wrapText="1"/>
    </xf>
    <xf numFmtId="0" fontId="37" fillId="34" borderId="2" xfId="0" applyFont="1" applyFill="1" applyAlignment="1">
      <alignment vertical="top" wrapText="1"/>
    </xf>
    <xf numFmtId="0" fontId="10" fillId="36" borderId="26" xfId="0" applyFont="1" applyFill="1" applyBorder="1" applyAlignment="1">
      <alignment horizontal="center" vertical="center"/>
    </xf>
    <xf numFmtId="0" fontId="39" fillId="37" borderId="26" xfId="0" applyFont="1" applyFill="1" applyBorder="1" applyAlignment="1">
      <alignment horizontal="center" vertical="top" wrapText="1"/>
    </xf>
    <xf numFmtId="0" fontId="27" fillId="36" borderId="26" xfId="0" applyFont="1" applyFill="1" applyBorder="1" applyAlignment="1">
      <alignment horizontal="center" vertical="center"/>
    </xf>
    <xf numFmtId="0" fontId="40" fillId="37" borderId="26" xfId="0" applyFont="1" applyFill="1" applyBorder="1" applyAlignment="1">
      <alignment horizontal="center" vertical="top" wrapText="1"/>
    </xf>
    <xf numFmtId="0" fontId="42" fillId="0" borderId="2" xfId="0" applyFont="1" applyAlignment="1">
      <alignment vertical="top" wrapText="1"/>
    </xf>
    <xf numFmtId="10" fontId="42" fillId="0" borderId="2" xfId="0" applyNumberFormat="1" applyFont="1" applyAlignment="1">
      <alignment vertical="top" wrapText="1"/>
    </xf>
    <xf numFmtId="0" fontId="41" fillId="38" borderId="2" xfId="0" applyFont="1" applyFill="1" applyAlignment="1">
      <alignment vertical="top" wrapText="1"/>
    </xf>
    <xf numFmtId="0" fontId="44" fillId="39" borderId="2" xfId="0" applyFont="1" applyFill="1" applyAlignment="1">
      <alignment vertical="top" wrapText="1"/>
    </xf>
    <xf numFmtId="0" fontId="45" fillId="0" borderId="2" xfId="0" applyFont="1" applyAlignment="1">
      <alignment vertical="top" wrapText="1"/>
    </xf>
    <xf numFmtId="0" fontId="46" fillId="0" borderId="2" xfId="0" applyFont="1"/>
    <xf numFmtId="0" fontId="42" fillId="0" borderId="2" xfId="0" applyFont="1"/>
    <xf numFmtId="0" fontId="2" fillId="38" borderId="2" xfId="0" applyFont="1" applyFill="1" applyAlignment="1">
      <alignment vertical="top" wrapText="1"/>
    </xf>
    <xf numFmtId="0" fontId="43" fillId="39" borderId="2" xfId="0" applyFont="1" applyFill="1"/>
    <xf numFmtId="0" fontId="0" fillId="0" borderId="2" xfId="0" applyAlignment="1">
      <alignment vertical="top" wrapText="1"/>
    </xf>
    <xf numFmtId="0" fontId="47" fillId="0" borderId="2" xfId="0" applyFont="1" applyAlignment="1">
      <alignment vertical="top" wrapText="1"/>
    </xf>
    <xf numFmtId="0" fontId="2" fillId="38" borderId="27" xfId="0" applyFont="1" applyFill="1" applyBorder="1"/>
    <xf numFmtId="0" fontId="47" fillId="0" borderId="27" xfId="0" applyFont="1" applyBorder="1" applyAlignment="1">
      <alignment horizontal="center" vertical="top" wrapText="1"/>
    </xf>
    <xf numFmtId="0" fontId="0" fillId="0" borderId="27" xfId="0" applyBorder="1" applyAlignment="1">
      <alignment vertical="top" wrapText="1"/>
    </xf>
    <xf numFmtId="0" fontId="40" fillId="0" borderId="27" xfId="0" applyFont="1" applyBorder="1" applyAlignment="1">
      <alignment vertical="top" wrapText="1"/>
    </xf>
    <xf numFmtId="0" fontId="40" fillId="0" borderId="27" xfId="0" quotePrefix="1" applyFont="1" applyBorder="1" applyAlignment="1">
      <alignment vertical="top" wrapText="1"/>
    </xf>
    <xf numFmtId="0" fontId="29" fillId="38" borderId="27" xfId="0" applyFont="1" applyFill="1" applyBorder="1" applyAlignment="1">
      <alignment vertical="center" wrapText="1"/>
    </xf>
    <xf numFmtId="0" fontId="29" fillId="38" borderId="27" xfId="0" applyFont="1" applyFill="1" applyBorder="1" applyAlignment="1">
      <alignment wrapText="1"/>
    </xf>
    <xf numFmtId="0" fontId="2" fillId="38" borderId="27" xfId="0" applyFont="1" applyFill="1" applyBorder="1" applyAlignment="1">
      <alignment vertical="center" wrapText="1"/>
    </xf>
    <xf numFmtId="0" fontId="47" fillId="0" borderId="27" xfId="0" applyFont="1" applyBorder="1"/>
    <xf numFmtId="0" fontId="42" fillId="0" borderId="27" xfId="0" applyFont="1" applyBorder="1" applyAlignment="1">
      <alignment vertical="top" wrapText="1"/>
    </xf>
    <xf numFmtId="0" fontId="27" fillId="0" borderId="2" xfId="0" applyFont="1" applyAlignment="1">
      <alignment vertical="top" wrapText="1"/>
    </xf>
    <xf numFmtId="0" fontId="40" fillId="0" borderId="2" xfId="0" applyFont="1" applyAlignment="1">
      <alignment wrapText="1"/>
    </xf>
    <xf numFmtId="0" fontId="0" fillId="0" borderId="27" xfId="0" applyBorder="1"/>
    <xf numFmtId="0" fontId="49" fillId="0" borderId="27" xfId="0" applyFont="1" applyBorder="1" applyAlignment="1">
      <alignment vertical="top" wrapText="1"/>
    </xf>
    <xf numFmtId="0" fontId="8" fillId="5" borderId="2" xfId="0" applyFont="1" applyFill="1" applyAlignment="1">
      <alignment horizontal="center" vertical="center" wrapText="1"/>
    </xf>
    <xf numFmtId="0" fontId="11" fillId="6" borderId="2" xfId="0" applyFont="1" applyFill="1" applyAlignment="1">
      <alignment horizontal="center" vertical="center" wrapText="1"/>
    </xf>
    <xf numFmtId="0" fontId="12" fillId="6" borderId="2" xfId="0" applyFont="1" applyFill="1" applyAlignment="1">
      <alignment horizontal="left" vertical="center" wrapText="1"/>
    </xf>
    <xf numFmtId="0" fontId="18" fillId="10" borderId="9" xfId="0" applyFont="1" applyFill="1" applyBorder="1" applyAlignment="1">
      <alignment horizontal="left" vertical="top" wrapText="1"/>
    </xf>
    <xf numFmtId="0" fontId="2" fillId="7" borderId="9" xfId="0" applyFont="1" applyFill="1" applyBorder="1" applyAlignment="1">
      <alignment horizontal="center" vertical="center" wrapText="1"/>
    </xf>
    <xf numFmtId="0" fontId="13" fillId="6" borderId="2" xfId="0" applyFont="1" applyFill="1" applyAlignment="1">
      <alignment horizontal="left" vertical="center" wrapText="1"/>
    </xf>
    <xf numFmtId="0" fontId="2" fillId="22" borderId="2" xfId="0" applyFont="1" applyFill="1" applyAlignment="1">
      <alignment horizontal="left" vertical="center"/>
    </xf>
    <xf numFmtId="0" fontId="10" fillId="6" borderId="2" xfId="0" applyFont="1" applyFill="1" applyAlignment="1">
      <alignment horizontal="left" vertical="center" wrapText="1"/>
    </xf>
    <xf numFmtId="0" fontId="17" fillId="13" borderId="9" xfId="0" applyFont="1" applyFill="1" applyBorder="1" applyAlignment="1">
      <alignment horizontal="left" vertical="center" wrapText="1"/>
    </xf>
    <xf numFmtId="0" fontId="29" fillId="35" borderId="2" xfId="0" applyFont="1" applyFill="1" applyAlignment="1">
      <alignment horizontal="center" vertical="center"/>
    </xf>
    <xf numFmtId="0" fontId="2" fillId="26" borderId="2" xfId="0" applyFont="1" applyFill="1" applyAlignment="1">
      <alignment horizontal="center" vertical="center"/>
    </xf>
    <xf numFmtId="0" fontId="38" fillId="20" borderId="2" xfId="0" applyFont="1" applyFill="1" applyAlignment="1">
      <alignment horizontal="center" vertical="center"/>
    </xf>
    <xf numFmtId="0" fontId="19" fillId="6" borderId="2" xfId="0" applyFont="1" applyFill="1" applyAlignment="1">
      <alignment horizontal="left" vertical="center" wrapText="1"/>
    </xf>
    <xf numFmtId="0" fontId="41" fillId="38" borderId="2" xfId="0" applyFont="1" applyFill="1" applyAlignment="1">
      <alignment vertical="center"/>
    </xf>
    <xf numFmtId="0" fontId="42" fillId="0" borderId="2" xfId="0" applyFont="1" applyAlignment="1">
      <alignment wrapText="1"/>
    </xf>
    <xf numFmtId="0" fontId="40" fillId="0" borderId="2" xfId="0" applyFont="1" applyAlignment="1">
      <alignment vertical="top" wrapText="1"/>
    </xf>
    <xf numFmtId="0" fontId="42" fillId="0" borderId="27" xfId="0" applyFont="1" applyBorder="1" applyAlignment="1">
      <alignment vertical="top" wrapText="1"/>
    </xf>
    <xf numFmtId="0" fontId="48" fillId="39" borderId="2" xfId="0" applyFont="1" applyFill="1" applyAlignment="1">
      <alignment vertical="center"/>
    </xf>
    <xf numFmtId="0" fontId="2" fillId="38" borderId="27" xfId="0" applyFont="1" applyFill="1" applyBorder="1" applyAlignment="1">
      <alignment vertical="center" wrapText="1"/>
    </xf>
    <xf numFmtId="0" fontId="50" fillId="0" borderId="2" xfId="0" applyFont="1" applyAlignment="1">
      <alignment wrapText="1"/>
    </xf>
    <xf numFmtId="0" fontId="2" fillId="23" borderId="2" xfId="0" applyFont="1" applyFill="1" applyAlignment="1">
      <alignment horizontal="left" vertical="center"/>
    </xf>
    <xf numFmtId="0" fontId="24" fillId="13" borderId="2" xfId="0" applyFont="1" applyFill="1" applyAlignment="1">
      <alignment horizontal="left" vertical="center" wrapText="1"/>
    </xf>
    <xf numFmtId="0" fontId="23" fillId="12" borderId="2" xfId="0" applyFont="1" applyFill="1" applyAlignment="1">
      <alignment horizontal="left" vertical="center" wrapText="1"/>
    </xf>
    <xf numFmtId="0" fontId="28" fillId="0" borderId="2" xfId="0" applyFont="1" applyAlignment="1">
      <alignment wrapText="1"/>
    </xf>
    <xf numFmtId="0" fontId="29" fillId="18" borderId="2" xfId="0" applyFont="1" applyFill="1" applyAlignment="1">
      <alignment horizontal="center"/>
    </xf>
    <xf numFmtId="0" fontId="22" fillId="17" borderId="2" xfId="0" applyFont="1" applyFill="1" applyAlignment="1">
      <alignment horizontal="left"/>
    </xf>
    <xf numFmtId="0" fontId="32" fillId="20" borderId="2" xfId="0" applyFont="1" applyFill="1" applyAlignment="1">
      <alignment vertical="center"/>
    </xf>
    <xf numFmtId="0" fontId="22" fillId="17" borderId="2" xfId="0" applyFont="1" applyFill="1" applyAlignment="1">
      <alignment vertical="center"/>
    </xf>
    <xf numFmtId="0" fontId="33" fillId="0" borderId="2" xfId="0" applyFont="1" applyAlignment="1">
      <alignment wrapText="1"/>
    </xf>
    <xf numFmtId="0" fontId="29" fillId="18" borderId="2" xfId="0" applyFont="1" applyFill="1" applyAlignment="1">
      <alignment vertical="center"/>
    </xf>
    <xf numFmtId="0" fontId="2" fillId="25" borderId="2" xfId="0" applyFont="1" applyFill="1" applyAlignment="1">
      <alignment horizontal="left" vertical="center"/>
    </xf>
    <xf numFmtId="0" fontId="2" fillId="24" borderId="2" xfId="0" applyFont="1" applyFill="1" applyAlignment="1">
      <alignment horizontal="left" vertical="center"/>
    </xf>
    <xf numFmtId="0" fontId="2" fillId="26" borderId="2" xfId="0" applyFont="1" applyFill="1" applyAlignment="1">
      <alignment horizontal="left" vertical="center"/>
    </xf>
    <xf numFmtId="0" fontId="2" fillId="27" borderId="2" xfId="0" applyFont="1" applyFill="1" applyAlignment="1">
      <alignment horizontal="left" vertical="center"/>
    </xf>
    <xf numFmtId="0" fontId="21" fillId="0" borderId="2" xfId="0" applyFont="1" applyAlignment="1">
      <alignment vertical="top" wrapText="1"/>
    </xf>
    <xf numFmtId="0" fontId="25" fillId="18" borderId="2" xfId="0" applyFont="1" applyFill="1" applyAlignment="1">
      <alignment vertical="center"/>
    </xf>
    <xf numFmtId="0" fontId="2" fillId="28" borderId="2" xfId="0" applyFont="1" applyFill="1" applyAlignment="1">
      <alignment vertical="center" wrapText="1"/>
    </xf>
    <xf numFmtId="0" fontId="22" fillId="17" borderId="2" xfId="0" applyFont="1" applyFill="1" applyAlignment="1">
      <alignment vertical="center" wrapText="1"/>
    </xf>
    <xf numFmtId="0" fontId="23" fillId="33" borderId="2" xfId="0" applyFont="1" applyFill="1" applyAlignment="1">
      <alignment vertical="center" wrapText="1"/>
    </xf>
    <xf numFmtId="0" fontId="36" fillId="33" borderId="2" xfId="0" applyFont="1" applyFill="1" applyAlignment="1">
      <alignment vertical="center" wrapText="1"/>
    </xf>
    <xf numFmtId="0" fontId="2" fillId="28" borderId="2" xfId="0" applyFont="1" applyFill="1" applyAlignment="1">
      <alignment horizontal="left" vertical="center"/>
    </xf>
    <xf numFmtId="0" fontId="2" fillId="29" borderId="2" xfId="0" applyFont="1" applyFill="1" applyAlignment="1">
      <alignment horizontal="left" vertical="center"/>
    </xf>
    <xf numFmtId="0" fontId="2" fillId="30" borderId="2" xfId="0" applyFont="1" applyFill="1" applyAlignment="1">
      <alignment horizontal="left" vertical="center"/>
    </xf>
    <xf numFmtId="0" fontId="30" fillId="19" borderId="2" xfId="0" applyFont="1" applyFill="1" applyAlignment="1">
      <alignment vertical="center"/>
    </xf>
    <xf numFmtId="0" fontId="2" fillId="31" borderId="2" xfId="0" applyFont="1" applyFill="1" applyAlignment="1">
      <alignment horizontal="left" vertical="center"/>
    </xf>
    <xf numFmtId="0" fontId="0" fillId="0" borderId="2" xfId="0" applyBorder="1"/>
    <xf numFmtId="0" fontId="3" fillId="0" borderId="27" xfId="0" applyFont="1" applyBorder="1" applyAlignment="1">
      <alignment vertical="top" wrapText="1"/>
    </xf>
    <xf numFmtId="0" fontId="0" fillId="0" borderId="2" xfId="0" applyAlignment="1"/>
    <xf numFmtId="0" fontId="0" fillId="0" borderId="10" xfId="0" applyBorder="1" applyAlignment="1"/>
    <xf numFmtId="0" fontId="0" fillId="0" borderId="11" xfId="0" applyBorder="1" applyAlignment="1"/>
    <xf numFmtId="0" fontId="44" fillId="39" borderId="2" xfId="0" applyFont="1" applyFill="1" applyAlignment="1"/>
    <xf numFmtId="0" fontId="48" fillId="39" borderId="2" xfId="0" applyFont="1" applyFill="1" applyAlignment="1"/>
    <xf numFmtId="0" fontId="41" fillId="38" borderId="2" xfId="0" applyFont="1" applyFill="1" applyBorder="1" applyAlignment="1">
      <alignment vertical="center"/>
    </xf>
    <xf numFmtId="0" fontId="42" fillId="0" borderId="2" xfId="0" applyFont="1" applyBorder="1" applyAlignment="1">
      <alignment wrapText="1"/>
    </xf>
    <xf numFmtId="0" fontId="48" fillId="39" borderId="2" xfId="0" applyFont="1" applyFill="1" applyBorder="1" applyAlignment="1"/>
    <xf numFmtId="0" fontId="47" fillId="0" borderId="2" xfId="0" applyFont="1" applyBorder="1"/>
    <xf numFmtId="0" fontId="27" fillId="0" borderId="2" xfId="0" applyFont="1" applyAlignment="1"/>
    <xf numFmtId="0" fontId="29" fillId="18" borderId="2" xfId="0" applyFont="1" applyFill="1" applyAlignment="1"/>
    <xf numFmtId="0" fontId="34" fillId="0" borderId="2" xfId="0" applyFont="1" applyAlignment="1"/>
    <xf numFmtId="0" fontId="22" fillId="17" borderId="2" xfId="0" applyFont="1" applyFill="1" applyAlignment="1"/>
    <xf numFmtId="0" fontId="32" fillId="20" borderId="2" xfId="0" applyFont="1" applyFill="1" applyAlignment="1"/>
  </cellXfs>
  <cellStyles count="2">
    <cellStyle name="Bình thường" xfId="0" builtinId="0"/>
    <cellStyle name="Hyperlink" xfId="1" xr:uid="{00000000-0005-0000-0000-000001000000}"/>
  </cellStyles>
  <dxfs count="4">
    <dxf>
      <font>
        <b/>
        <i val="0"/>
        <color rgb="FF843C0C"/>
      </font>
      <fill>
        <patternFill patternType="solid">
          <fgColor indexed="64"/>
          <bgColor rgb="FFF4B183"/>
        </patternFill>
      </fill>
    </dxf>
    <dxf>
      <fill>
        <patternFill patternType="solid">
          <fgColor indexed="64"/>
          <bgColor rgb="FFD9D9D9"/>
        </patternFill>
      </fill>
    </dxf>
    <dxf>
      <font>
        <color rgb="FF9C6500"/>
      </font>
      <fill>
        <patternFill patternType="solid">
          <fgColor indexed="64"/>
          <bgColor rgb="FFFFEB9C"/>
        </patternFill>
      </fill>
    </dxf>
    <dxf>
      <font>
        <color rgb="FF006100"/>
      </font>
      <fill>
        <patternFill patternType="solid">
          <fgColor indexed="64"/>
          <bgColor rgb="FFC6EFCE"/>
        </patternFill>
      </fill>
    </dxf>
  </dxfs>
  <tableStyles count="0" defaultTableStyle="TableStyleMedium2" defaultPivotStyle="PivotStyleLight16"/>
  <colors>
    <mruColors>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microsoft.com/office/2022/11/relationships/FeaturePropertyBag" Target="featurePropertyBag/featurePropertyBag.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66675</xdr:rowOff>
    </xdr:from>
    <xdr:to>
      <xdr:col>0</xdr:col>
      <xdr:colOff>4019550</xdr:colOff>
      <xdr:row>0</xdr:row>
      <xdr:rowOff>714375</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6700" y="66675"/>
          <a:ext cx="3752850" cy="6477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238125</xdr:colOff>
      <xdr:row>0</xdr:row>
      <xdr:rowOff>304800</xdr:rowOff>
    </xdr:from>
    <xdr:to>
      <xdr:col>0</xdr:col>
      <xdr:colOff>3305175</xdr:colOff>
      <xdr:row>0</xdr:row>
      <xdr:rowOff>1057275</xdr:rowOff>
    </xdr:to>
    <xdr:pic>
      <xdr:nvPicPr>
        <xdr:cNvPr id="3" name="/xl/media/image47.png">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1"/>
        <a:stretch>
          <a:fillRect/>
        </a:stretch>
      </xdr:blipFill>
      <xdr:spPr>
        <a:xfrm>
          <a:off x="238125" y="304800"/>
          <a:ext cx="3067050" cy="75247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0</xdr:col>
      <xdr:colOff>3257550</xdr:colOff>
      <xdr:row>0</xdr:row>
      <xdr:rowOff>800100</xdr:rowOff>
    </xdr:to>
    <xdr:pic>
      <xdr:nvPicPr>
        <xdr:cNvPr id="3" name="/xl/media/image3.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90500" y="19050"/>
          <a:ext cx="3067050" cy="781050"/>
        </a:xfrm>
        <a:prstGeom prst="rect">
          <a:avLst/>
        </a:prstGeom>
        <a:ln>
          <a:prstDash val="solid"/>
        </a:ln>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hyperlink" Target="https://maxbiocare.sharepoint.com/:x:/s/cosmetics/IQB0XybrTyBNSq2Qof1KIQy8Aa3hu34JulCRsdlu1Co0qfA?e=YB2Hbr&amp;nav=MTVfezAwMDAwMDAwLTAwMDEtMDAwMC0wNjAwLTAwMDAwMDAwMDAwMH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5B6"/>
  </sheetPr>
  <dimension ref="A1:N40"/>
  <sheetViews>
    <sheetView showGridLines="0" topLeftCell="A23" workbookViewId="0">
      <selection activeCell="A4" sqref="A4"/>
    </sheetView>
  </sheetViews>
  <sheetFormatPr defaultRowHeight="15"/>
  <cols>
    <col min="1" max="1" width="68.85546875" customWidth="1"/>
    <col min="2" max="2" width="144.5703125" customWidth="1"/>
    <col min="3" max="3" width="34.28515625" customWidth="1"/>
    <col min="4" max="4" width="32.7109375" customWidth="1"/>
    <col min="5" max="5" width="58.140625" customWidth="1"/>
    <col min="6" max="6" width="34.28515625" customWidth="1"/>
    <col min="7" max="14" width="14" customWidth="1"/>
  </cols>
  <sheetData>
    <row r="1" spans="1:14" ht="61.5" customHeight="1">
      <c r="A1" s="47"/>
      <c r="B1" s="47" t="s">
        <v>0</v>
      </c>
      <c r="C1" s="47"/>
      <c r="D1" s="47"/>
      <c r="E1" s="47"/>
      <c r="F1" s="47"/>
      <c r="G1" s="47"/>
      <c r="H1" s="47"/>
      <c r="I1" s="47"/>
      <c r="J1" s="47"/>
      <c r="K1" s="47"/>
      <c r="L1" s="47"/>
      <c r="M1" s="47"/>
      <c r="N1" s="47"/>
    </row>
    <row r="2" spans="1:14">
      <c r="A2" s="18" t="s">
        <v>1</v>
      </c>
      <c r="B2" s="19" t="s">
        <v>2</v>
      </c>
      <c r="C2" s="48"/>
      <c r="D2" s="48"/>
      <c r="E2" s="48"/>
      <c r="F2" s="48"/>
      <c r="G2" s="48"/>
      <c r="H2" s="48"/>
      <c r="I2" s="48"/>
      <c r="J2" s="48"/>
      <c r="K2" s="48"/>
      <c r="L2" s="48"/>
      <c r="M2" s="48"/>
      <c r="N2" s="48"/>
    </row>
    <row r="3" spans="1:14" ht="30" customHeight="1">
      <c r="A3" s="13" t="s">
        <v>3</v>
      </c>
      <c r="B3" s="8" t="s">
        <v>4</v>
      </c>
      <c r="C3" s="48"/>
      <c r="D3" s="48"/>
      <c r="E3" s="48"/>
      <c r="F3" s="48"/>
      <c r="G3" s="48"/>
      <c r="H3" s="48"/>
      <c r="I3" s="48"/>
      <c r="J3" s="48"/>
      <c r="K3" s="48"/>
      <c r="L3" s="48"/>
      <c r="M3" s="48"/>
      <c r="N3" s="48"/>
    </row>
    <row r="4" spans="1:14" ht="30" customHeight="1">
      <c r="A4" s="13" t="s">
        <v>5</v>
      </c>
      <c r="B4" s="8" t="s">
        <v>6</v>
      </c>
      <c r="C4" s="48"/>
      <c r="D4" s="48"/>
      <c r="E4" s="48"/>
      <c r="F4" s="48"/>
      <c r="G4" s="48"/>
      <c r="H4" s="48"/>
      <c r="I4" s="48"/>
      <c r="J4" s="48"/>
      <c r="K4" s="48"/>
      <c r="L4" s="48"/>
      <c r="M4" s="48"/>
      <c r="N4" s="48"/>
    </row>
    <row r="5" spans="1:14" ht="30" customHeight="1">
      <c r="A5" s="13" t="s">
        <v>7</v>
      </c>
      <c r="B5" s="8" t="s">
        <v>8</v>
      </c>
      <c r="C5" s="48"/>
      <c r="D5" s="48"/>
      <c r="E5" s="48"/>
      <c r="F5" s="48"/>
      <c r="G5" s="48"/>
      <c r="H5" s="48"/>
      <c r="I5" s="48"/>
      <c r="J5" s="48"/>
      <c r="K5" s="48"/>
      <c r="L5" s="48"/>
      <c r="M5" s="48"/>
      <c r="N5" s="48"/>
    </row>
    <row r="6" spans="1:14" ht="30" customHeight="1">
      <c r="A6" s="13" t="s">
        <v>9</v>
      </c>
      <c r="B6" s="8" t="s">
        <v>10</v>
      </c>
      <c r="C6" s="48"/>
      <c r="D6" s="48"/>
      <c r="E6" s="48"/>
      <c r="F6" s="48"/>
      <c r="G6" s="48"/>
      <c r="H6" s="48"/>
      <c r="I6" s="48"/>
      <c r="J6" s="48"/>
      <c r="K6" s="48"/>
      <c r="L6" s="48"/>
      <c r="M6" s="48"/>
      <c r="N6" s="48"/>
    </row>
    <row r="7" spans="1:14" ht="30" customHeight="1">
      <c r="A7" s="13" t="s">
        <v>11</v>
      </c>
      <c r="B7" s="8" t="s">
        <v>12</v>
      </c>
      <c r="C7" s="48"/>
      <c r="D7" s="48"/>
      <c r="E7" s="48"/>
      <c r="F7" s="48"/>
      <c r="G7" s="48"/>
      <c r="H7" s="48"/>
      <c r="I7" s="48"/>
      <c r="J7" s="48"/>
      <c r="K7" s="48"/>
      <c r="L7" s="48"/>
      <c r="M7" s="48"/>
      <c r="N7" s="48"/>
    </row>
    <row r="8" spans="1:14" ht="30" customHeight="1">
      <c r="A8" s="14" t="s">
        <v>13</v>
      </c>
      <c r="B8" s="9" t="s">
        <v>14</v>
      </c>
      <c r="C8" s="48"/>
      <c r="D8" s="48"/>
      <c r="E8" s="48"/>
      <c r="F8" s="48"/>
      <c r="G8" s="48"/>
      <c r="H8" s="48"/>
      <c r="I8" s="48"/>
      <c r="J8" s="48"/>
      <c r="K8" s="48"/>
      <c r="L8" s="48"/>
      <c r="M8" s="48"/>
      <c r="N8" s="48"/>
    </row>
    <row r="9" spans="1:14" ht="30" customHeight="1">
      <c r="A9" s="15" t="s">
        <v>15</v>
      </c>
      <c r="B9" s="10" t="s">
        <v>16</v>
      </c>
      <c r="C9" s="48"/>
      <c r="D9" s="48"/>
      <c r="E9" s="48"/>
      <c r="F9" s="48"/>
      <c r="G9" s="48"/>
      <c r="H9" s="48"/>
      <c r="I9" s="48"/>
      <c r="J9" s="48"/>
      <c r="K9" s="48"/>
      <c r="L9" s="48"/>
      <c r="M9" s="48"/>
      <c r="N9" s="48"/>
    </row>
    <row r="10" spans="1:14" ht="30" customHeight="1">
      <c r="A10" s="15" t="s">
        <v>17</v>
      </c>
      <c r="B10" s="10" t="s">
        <v>18</v>
      </c>
      <c r="C10" s="48"/>
      <c r="D10" s="48"/>
      <c r="E10" s="48"/>
      <c r="F10" s="48"/>
      <c r="G10" s="48"/>
      <c r="H10" s="48"/>
      <c r="I10" s="48"/>
      <c r="J10" s="48"/>
      <c r="K10" s="48"/>
      <c r="L10" s="48"/>
      <c r="M10" s="48"/>
      <c r="N10" s="48"/>
    </row>
    <row r="11" spans="1:14" ht="30" customHeight="1">
      <c r="A11" s="15" t="s">
        <v>19</v>
      </c>
      <c r="B11" s="10" t="s">
        <v>20</v>
      </c>
      <c r="C11" s="48"/>
      <c r="D11" s="48"/>
      <c r="E11" s="48"/>
      <c r="F11" s="48"/>
      <c r="G11" s="48"/>
      <c r="H11" s="48"/>
      <c r="I11" s="48"/>
      <c r="J11" s="48"/>
      <c r="K11" s="48"/>
      <c r="L11" s="48"/>
      <c r="M11" s="48"/>
      <c r="N11" s="48"/>
    </row>
    <row r="12" spans="1:14" ht="30" customHeight="1">
      <c r="A12" s="15" t="s">
        <v>21</v>
      </c>
      <c r="B12" s="10" t="s">
        <v>22</v>
      </c>
      <c r="C12" s="48"/>
      <c r="D12" s="48"/>
      <c r="E12" s="48"/>
      <c r="F12" s="48"/>
      <c r="G12" s="48"/>
      <c r="H12" s="48"/>
      <c r="I12" s="48"/>
      <c r="J12" s="48"/>
      <c r="K12" s="48"/>
      <c r="L12" s="48"/>
      <c r="M12" s="48"/>
      <c r="N12" s="48"/>
    </row>
    <row r="13" spans="1:14" ht="30" customHeight="1">
      <c r="A13" s="15" t="s">
        <v>23</v>
      </c>
      <c r="B13" s="10" t="s">
        <v>24</v>
      </c>
      <c r="C13" s="48"/>
      <c r="D13" s="48"/>
      <c r="E13" s="48"/>
      <c r="F13" s="48"/>
      <c r="G13" s="48"/>
      <c r="H13" s="48"/>
      <c r="I13" s="48"/>
      <c r="J13" s="48"/>
      <c r="K13" s="48"/>
      <c r="L13" s="48"/>
      <c r="M13" s="48"/>
      <c r="N13" s="48"/>
    </row>
    <row r="14" spans="1:14" ht="30" customHeight="1">
      <c r="A14" s="15" t="s">
        <v>25</v>
      </c>
      <c r="B14" s="10" t="s">
        <v>26</v>
      </c>
      <c r="C14" s="48"/>
      <c r="D14" s="48"/>
      <c r="E14" s="48"/>
      <c r="F14" s="48"/>
      <c r="G14" s="48"/>
      <c r="H14" s="48"/>
      <c r="I14" s="48"/>
      <c r="J14" s="48"/>
      <c r="K14" s="48"/>
      <c r="L14" s="48"/>
      <c r="M14" s="48"/>
      <c r="N14" s="48"/>
    </row>
    <row r="15" spans="1:14" ht="30" customHeight="1">
      <c r="A15" s="15" t="s">
        <v>27</v>
      </c>
      <c r="B15" s="10" t="s">
        <v>28</v>
      </c>
      <c r="C15" s="48"/>
      <c r="D15" s="48"/>
      <c r="E15" s="48"/>
      <c r="F15" s="48"/>
      <c r="G15" s="48"/>
      <c r="H15" s="48"/>
      <c r="I15" s="48"/>
      <c r="J15" s="48"/>
      <c r="K15" s="48"/>
      <c r="L15" s="48"/>
      <c r="M15" s="48"/>
      <c r="N15" s="48"/>
    </row>
    <row r="16" spans="1:14" ht="30" customHeight="1">
      <c r="A16" s="20" t="s">
        <v>29</v>
      </c>
      <c r="B16" s="21" t="s">
        <v>30</v>
      </c>
      <c r="C16" s="48"/>
      <c r="D16" s="48"/>
      <c r="E16" s="48"/>
      <c r="F16" s="48"/>
      <c r="G16" s="48"/>
      <c r="H16" s="48"/>
      <c r="I16" s="48"/>
      <c r="J16" s="48"/>
      <c r="K16" s="48"/>
      <c r="L16" s="48"/>
      <c r="M16" s="48"/>
      <c r="N16" s="48"/>
    </row>
    <row r="17" spans="1:14" ht="30" customHeight="1">
      <c r="A17" s="15" t="s">
        <v>31</v>
      </c>
      <c r="B17" s="10" t="s">
        <v>32</v>
      </c>
      <c r="C17" s="48"/>
      <c r="D17" s="48"/>
      <c r="E17" s="48"/>
      <c r="F17" s="48"/>
      <c r="G17" s="48"/>
      <c r="H17" s="48"/>
      <c r="I17" s="48"/>
      <c r="J17" s="48"/>
      <c r="K17" s="48"/>
      <c r="L17" s="48"/>
      <c r="M17" s="48"/>
      <c r="N17" s="48"/>
    </row>
    <row r="18" spans="1:14" ht="30" customHeight="1">
      <c r="A18" s="15" t="s">
        <v>33</v>
      </c>
      <c r="B18" s="10" t="s">
        <v>34</v>
      </c>
      <c r="C18" s="48"/>
      <c r="D18" s="48"/>
      <c r="E18" s="48"/>
      <c r="F18" s="48"/>
      <c r="G18" s="48"/>
      <c r="H18" s="48"/>
      <c r="I18" s="48"/>
      <c r="J18" s="48"/>
      <c r="K18" s="48"/>
      <c r="L18" s="48"/>
      <c r="M18" s="48"/>
      <c r="N18" s="48"/>
    </row>
    <row r="19" spans="1:14" ht="30" customHeight="1">
      <c r="A19" s="15" t="s">
        <v>35</v>
      </c>
      <c r="B19" s="10" t="s">
        <v>36</v>
      </c>
      <c r="C19" s="48"/>
      <c r="D19" s="48"/>
      <c r="E19" s="48"/>
      <c r="F19" s="48"/>
      <c r="G19" s="48"/>
      <c r="H19" s="48"/>
      <c r="I19" s="48"/>
      <c r="J19" s="48"/>
      <c r="K19" s="48"/>
      <c r="L19" s="48"/>
      <c r="M19" s="48"/>
      <c r="N19" s="48"/>
    </row>
    <row r="20" spans="1:14" ht="30" customHeight="1">
      <c r="A20" s="6" t="s">
        <v>37</v>
      </c>
      <c r="B20" s="11" t="s">
        <v>38</v>
      </c>
      <c r="C20" s="48"/>
      <c r="D20" s="48"/>
      <c r="E20" s="48"/>
      <c r="F20" s="48"/>
      <c r="G20" s="48"/>
      <c r="H20" s="48"/>
      <c r="I20" s="48"/>
      <c r="J20" s="48"/>
      <c r="K20" s="48"/>
      <c r="L20" s="48"/>
      <c r="M20" s="48"/>
      <c r="N20" s="48"/>
    </row>
    <row r="21" spans="1:14" ht="30" customHeight="1">
      <c r="A21" s="6" t="s">
        <v>39</v>
      </c>
      <c r="B21" s="11" t="s">
        <v>40</v>
      </c>
      <c r="C21" s="48"/>
      <c r="D21" s="48"/>
      <c r="E21" s="48"/>
      <c r="F21" s="48"/>
      <c r="G21" s="48"/>
      <c r="H21" s="48"/>
      <c r="I21" s="48"/>
      <c r="J21" s="48"/>
      <c r="K21" s="48"/>
      <c r="L21" s="48"/>
      <c r="M21" s="48"/>
      <c r="N21" s="48"/>
    </row>
    <row r="22" spans="1:14" ht="30" customHeight="1">
      <c r="A22" s="6" t="s">
        <v>41</v>
      </c>
      <c r="B22" s="11" t="s">
        <v>42</v>
      </c>
      <c r="C22" s="48"/>
      <c r="D22" s="48"/>
      <c r="E22" s="48"/>
      <c r="F22" s="48"/>
      <c r="G22" s="48"/>
      <c r="H22" s="48"/>
      <c r="I22" s="48"/>
      <c r="J22" s="48"/>
      <c r="K22" s="48"/>
      <c r="L22" s="48"/>
      <c r="M22" s="48"/>
      <c r="N22" s="48"/>
    </row>
    <row r="23" spans="1:14" ht="30" customHeight="1">
      <c r="A23" s="6" t="s">
        <v>43</v>
      </c>
      <c r="B23" s="11" t="s">
        <v>44</v>
      </c>
      <c r="C23" s="48"/>
      <c r="D23" s="48"/>
      <c r="E23" s="48"/>
      <c r="F23" s="48"/>
      <c r="G23" s="48"/>
      <c r="H23" s="48"/>
      <c r="I23" s="48"/>
      <c r="J23" s="48"/>
      <c r="K23" s="48"/>
      <c r="L23" s="48"/>
      <c r="M23" s="48"/>
      <c r="N23" s="48"/>
    </row>
    <row r="24" spans="1:14" ht="30" customHeight="1">
      <c r="A24" s="7" t="s">
        <v>45</v>
      </c>
      <c r="B24" s="12" t="s">
        <v>46</v>
      </c>
      <c r="C24" s="48"/>
      <c r="D24" s="48"/>
      <c r="E24" s="48"/>
      <c r="F24" s="48"/>
      <c r="G24" s="48"/>
      <c r="H24" s="48"/>
      <c r="I24" s="48"/>
      <c r="J24" s="48"/>
      <c r="K24" s="48"/>
      <c r="L24" s="48"/>
      <c r="M24" s="48"/>
      <c r="N24" s="48"/>
    </row>
    <row r="25" spans="1:14" ht="30" customHeight="1">
      <c r="A25" s="6" t="s">
        <v>47</v>
      </c>
      <c r="B25" s="11" t="s">
        <v>48</v>
      </c>
      <c r="C25" s="48"/>
      <c r="D25" s="48"/>
      <c r="E25" s="48"/>
      <c r="F25" s="48"/>
      <c r="G25" s="48"/>
      <c r="H25" s="48"/>
      <c r="I25" s="48"/>
      <c r="J25" s="48"/>
      <c r="K25" s="48"/>
      <c r="L25" s="48"/>
      <c r="M25" s="48"/>
      <c r="N25" s="48"/>
    </row>
    <row r="26" spans="1:14" ht="30" customHeight="1">
      <c r="A26" s="6" t="s">
        <v>49</v>
      </c>
      <c r="B26" s="12" t="s">
        <v>50</v>
      </c>
      <c r="C26" s="48"/>
      <c r="D26" s="48"/>
      <c r="E26" s="48"/>
      <c r="F26" s="48"/>
      <c r="G26" s="48"/>
      <c r="H26" s="48"/>
      <c r="I26" s="48"/>
      <c r="J26" s="48"/>
      <c r="K26" s="48"/>
      <c r="L26" s="48"/>
      <c r="M26" s="48"/>
      <c r="N26" s="48"/>
    </row>
    <row r="27" spans="1:14" ht="30" customHeight="1">
      <c r="A27" s="17" t="s">
        <v>51</v>
      </c>
      <c r="B27" s="10" t="s">
        <v>52</v>
      </c>
      <c r="C27" s="48"/>
      <c r="D27" s="48"/>
      <c r="E27" s="48"/>
      <c r="F27" s="48"/>
      <c r="G27" s="48"/>
      <c r="H27" s="48"/>
      <c r="I27" s="48"/>
      <c r="J27" s="48"/>
      <c r="K27" s="48"/>
      <c r="L27" s="48"/>
      <c r="M27" s="48"/>
      <c r="N27" s="48"/>
    </row>
    <row r="28" spans="1:14" ht="30" customHeight="1">
      <c r="A28" s="6" t="s">
        <v>53</v>
      </c>
      <c r="B28" s="16" t="s">
        <v>54</v>
      </c>
      <c r="C28" s="48"/>
      <c r="D28" s="48"/>
      <c r="E28" s="48"/>
      <c r="F28" s="48"/>
      <c r="G28" s="48"/>
      <c r="H28" s="48"/>
      <c r="I28" s="48"/>
      <c r="J28" s="48"/>
      <c r="K28" s="48"/>
      <c r="L28" s="48"/>
      <c r="M28" s="48"/>
      <c r="N28" s="48"/>
    </row>
    <row r="29" spans="1:14" ht="30" customHeight="1">
      <c r="A29" s="49" t="s">
        <v>55</v>
      </c>
      <c r="B29" s="10" t="s">
        <v>56</v>
      </c>
      <c r="C29" s="48"/>
      <c r="D29" s="48"/>
      <c r="E29" s="48"/>
      <c r="F29" s="48"/>
      <c r="G29" s="48"/>
      <c r="H29" s="48"/>
      <c r="I29" s="48"/>
      <c r="J29" s="48"/>
      <c r="K29" s="48"/>
      <c r="L29" s="48"/>
      <c r="M29" s="48"/>
      <c r="N29" s="48"/>
    </row>
    <row r="30" spans="1:14" ht="30" customHeight="1">
      <c r="A30" s="50" t="s">
        <v>57</v>
      </c>
      <c r="B30" s="16" t="s">
        <v>58</v>
      </c>
      <c r="C30" s="48"/>
      <c r="D30" s="48"/>
      <c r="E30" s="48"/>
      <c r="F30" s="48"/>
      <c r="G30" s="48"/>
      <c r="H30" s="48"/>
      <c r="I30" s="48"/>
      <c r="J30" s="48"/>
      <c r="K30" s="48"/>
      <c r="L30" s="48"/>
      <c r="M30" s="48"/>
      <c r="N30" s="48"/>
    </row>
    <row r="31" spans="1:14" ht="30" customHeight="1">
      <c r="A31" s="49" t="s">
        <v>59</v>
      </c>
      <c r="B31" s="10" t="s">
        <v>60</v>
      </c>
      <c r="C31" s="48"/>
      <c r="D31" s="48"/>
      <c r="E31" s="48"/>
      <c r="F31" s="48"/>
      <c r="G31" s="48"/>
      <c r="H31" s="48"/>
      <c r="I31" s="48"/>
      <c r="J31" s="48"/>
      <c r="K31" s="48"/>
      <c r="L31" s="48"/>
      <c r="M31" s="48"/>
      <c r="N31" s="48"/>
    </row>
    <row r="32" spans="1:14" ht="30" customHeight="1">
      <c r="A32" s="49" t="s">
        <v>61</v>
      </c>
      <c r="B32" s="10" t="s">
        <v>62</v>
      </c>
      <c r="C32" s="48"/>
      <c r="D32" s="48"/>
      <c r="E32" s="48"/>
      <c r="F32" s="48"/>
      <c r="G32" s="48"/>
      <c r="H32" s="48"/>
      <c r="I32" s="48"/>
      <c r="J32" s="48"/>
      <c r="K32" s="48"/>
      <c r="L32" s="48"/>
      <c r="M32" s="48"/>
      <c r="N32" s="48"/>
    </row>
    <row r="33" spans="1:14">
      <c r="A33" s="48"/>
      <c r="B33" s="48"/>
      <c r="C33" s="48"/>
      <c r="D33" s="48"/>
      <c r="E33" s="48"/>
      <c r="F33" s="48"/>
      <c r="G33" s="48"/>
      <c r="H33" s="48"/>
      <c r="I33" s="48"/>
      <c r="J33" s="48"/>
      <c r="K33" s="48"/>
      <c r="L33" s="48"/>
      <c r="M33" s="48"/>
      <c r="N33" s="48"/>
    </row>
    <row r="34" spans="1:14">
      <c r="A34" s="48"/>
      <c r="B34" s="48"/>
      <c r="C34" s="48"/>
      <c r="D34" s="48"/>
      <c r="E34" s="48"/>
      <c r="F34" s="48"/>
      <c r="G34" s="48"/>
      <c r="H34" s="48"/>
      <c r="I34" s="48"/>
      <c r="J34" s="48"/>
      <c r="K34" s="48"/>
      <c r="L34" s="48"/>
      <c r="M34" s="48"/>
      <c r="N34" s="48"/>
    </row>
    <row r="35" spans="1:14">
      <c r="A35" s="48"/>
      <c r="B35" s="48"/>
      <c r="C35" s="48"/>
      <c r="D35" s="48"/>
      <c r="E35" s="48"/>
      <c r="F35" s="48"/>
      <c r="G35" s="48"/>
      <c r="H35" s="48"/>
      <c r="I35" s="48"/>
      <c r="J35" s="48"/>
      <c r="K35" s="48"/>
      <c r="L35" s="48"/>
      <c r="M35" s="48"/>
      <c r="N35" s="48"/>
    </row>
    <row r="36" spans="1:14">
      <c r="A36" s="48"/>
      <c r="B36" s="48"/>
      <c r="C36" s="48"/>
      <c r="D36" s="48"/>
      <c r="E36" s="48"/>
      <c r="F36" s="48"/>
      <c r="G36" s="48"/>
      <c r="H36" s="48"/>
      <c r="I36" s="48"/>
      <c r="J36" s="48"/>
      <c r="K36" s="48"/>
      <c r="L36" s="48"/>
      <c r="M36" s="48"/>
      <c r="N36" s="48"/>
    </row>
    <row r="37" spans="1:14">
      <c r="A37" s="48"/>
      <c r="B37" s="48"/>
      <c r="C37" s="48"/>
      <c r="D37" s="48"/>
      <c r="E37" s="48"/>
      <c r="F37" s="48"/>
      <c r="G37" s="48"/>
      <c r="H37" s="48"/>
      <c r="I37" s="48"/>
      <c r="J37" s="48"/>
      <c r="K37" s="48"/>
      <c r="L37" s="48"/>
      <c r="M37" s="48"/>
      <c r="N37" s="48"/>
    </row>
    <row r="38" spans="1:14">
      <c r="A38" s="48"/>
      <c r="B38" s="48"/>
      <c r="C38" s="48"/>
      <c r="D38" s="48"/>
      <c r="E38" s="48"/>
      <c r="F38" s="48"/>
      <c r="G38" s="48"/>
      <c r="H38" s="48"/>
      <c r="I38" s="48"/>
      <c r="J38" s="48"/>
      <c r="K38" s="48"/>
      <c r="L38" s="48"/>
      <c r="M38" s="48"/>
      <c r="N38" s="48"/>
    </row>
    <row r="40" spans="1:14">
      <c r="A40" s="48"/>
      <c r="B40" s="48"/>
      <c r="C40" s="48"/>
      <c r="D40" s="48"/>
      <c r="E40" s="48"/>
      <c r="F40" s="48"/>
      <c r="G40" s="48"/>
      <c r="H40" s="48"/>
      <c r="I40" s="48"/>
      <c r="J40" s="48"/>
      <c r="K40" s="48"/>
      <c r="L40" s="48"/>
      <c r="M40" s="48"/>
      <c r="N40" s="4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N13"/>
  <sheetViews>
    <sheetView showGridLines="0" topLeftCell="A5" workbookViewId="0">
      <selection activeCell="B10" sqref="B10"/>
    </sheetView>
  </sheetViews>
  <sheetFormatPr defaultRowHeight="15"/>
  <cols>
    <col min="1" max="1" width="54.28515625" customWidth="1"/>
    <col min="2" max="2" width="58.140625" customWidth="1"/>
    <col min="3" max="3" width="34.28515625" customWidth="1"/>
    <col min="4" max="4" width="32.7109375" customWidth="1"/>
    <col min="5" max="5" width="58.140625" customWidth="1"/>
    <col min="6" max="6" width="34.28515625" customWidth="1"/>
    <col min="7" max="7" width="18.7109375" customWidth="1"/>
    <col min="8" max="8" width="24.7109375" customWidth="1"/>
    <col min="9" max="9" width="18.7109375" customWidth="1"/>
    <col min="10" max="10" width="24.7109375" customWidth="1"/>
    <col min="11" max="11" width="16.7109375" customWidth="1"/>
    <col min="12" max="12" width="14" customWidth="1"/>
    <col min="13" max="13" width="18.7109375" customWidth="1"/>
    <col min="14" max="14" width="32.7109375" customWidth="1"/>
  </cols>
  <sheetData>
    <row r="1" spans="1:14" ht="108" customHeight="1">
      <c r="A1" s="47"/>
      <c r="B1" s="47" t="s">
        <v>0</v>
      </c>
      <c r="C1" s="47"/>
      <c r="D1" s="47"/>
      <c r="E1" s="47"/>
      <c r="F1" s="47"/>
      <c r="G1" s="47"/>
      <c r="H1" s="47"/>
      <c r="I1" s="47"/>
      <c r="J1" s="47"/>
      <c r="K1" s="47"/>
      <c r="L1" s="47"/>
      <c r="M1" s="47"/>
      <c r="N1" s="47"/>
    </row>
    <row r="2" spans="1:14" ht="38.1" customHeight="1">
      <c r="A2" s="18" t="s">
        <v>63</v>
      </c>
      <c r="B2" s="51"/>
      <c r="C2" s="51"/>
      <c r="D2" s="51"/>
      <c r="E2" s="51"/>
      <c r="F2" s="51"/>
      <c r="G2" s="51"/>
      <c r="H2" s="51"/>
      <c r="I2" s="51"/>
      <c r="J2" s="51"/>
      <c r="K2" s="51"/>
      <c r="L2" s="51"/>
      <c r="M2" s="51"/>
      <c r="N2" s="52"/>
    </row>
    <row r="4" spans="1:14">
      <c r="A4" s="5" t="s">
        <v>64</v>
      </c>
      <c r="B4" s="5" t="s">
        <v>65</v>
      </c>
      <c r="C4" s="48"/>
      <c r="D4" s="48"/>
      <c r="E4" s="48"/>
      <c r="F4" s="48"/>
      <c r="G4" s="48"/>
      <c r="H4" s="48"/>
      <c r="I4" s="48"/>
      <c r="J4" s="48"/>
      <c r="K4" s="48"/>
      <c r="L4" s="48"/>
      <c r="M4" s="48"/>
      <c r="N4" s="48"/>
    </row>
    <row r="5" spans="1:14" ht="75" customHeight="1">
      <c r="A5" s="34" t="s">
        <v>66</v>
      </c>
      <c r="B5" s="34" t="s">
        <v>67</v>
      </c>
      <c r="C5" s="48"/>
      <c r="D5" s="48"/>
      <c r="E5" s="48"/>
      <c r="F5" s="48"/>
      <c r="G5" s="48"/>
      <c r="H5" s="48"/>
      <c r="I5" s="48"/>
      <c r="J5" s="48"/>
      <c r="K5" s="48"/>
      <c r="L5" s="48"/>
      <c r="M5" s="48"/>
      <c r="N5" s="48"/>
    </row>
    <row r="6" spans="1:14" ht="75" customHeight="1">
      <c r="A6" s="34" t="s">
        <v>68</v>
      </c>
      <c r="B6" s="34" t="s">
        <v>69</v>
      </c>
      <c r="C6" s="48"/>
      <c r="D6" s="48"/>
      <c r="E6" s="48"/>
      <c r="F6" s="48"/>
      <c r="G6" s="48"/>
      <c r="H6" s="48"/>
      <c r="I6" s="48"/>
      <c r="J6" s="48"/>
      <c r="K6" s="48"/>
      <c r="L6" s="48"/>
      <c r="M6" s="48"/>
      <c r="N6" s="48"/>
    </row>
    <row r="7" spans="1:14" ht="90" customHeight="1">
      <c r="A7" s="34" t="s">
        <v>70</v>
      </c>
      <c r="B7" s="34" t="s">
        <v>71</v>
      </c>
      <c r="C7" s="48"/>
      <c r="D7" s="48"/>
      <c r="E7" s="48"/>
      <c r="F7" s="48"/>
      <c r="G7" s="48"/>
      <c r="H7" s="48"/>
      <c r="I7" s="48"/>
      <c r="J7" s="48"/>
      <c r="K7" s="48"/>
      <c r="L7" s="48"/>
      <c r="M7" s="48"/>
      <c r="N7" s="48"/>
    </row>
    <row r="8" spans="1:14" ht="75" customHeight="1">
      <c r="A8" s="34" t="s">
        <v>72</v>
      </c>
      <c r="B8" s="34" t="s">
        <v>73</v>
      </c>
      <c r="C8" s="48"/>
      <c r="D8" s="48"/>
      <c r="E8" s="48"/>
      <c r="F8" s="48"/>
      <c r="G8" s="48"/>
      <c r="H8" s="48"/>
      <c r="I8" s="48"/>
      <c r="J8" s="48"/>
      <c r="K8" s="48"/>
      <c r="L8" s="48"/>
      <c r="M8" s="48"/>
      <c r="N8" s="48"/>
    </row>
    <row r="9" spans="1:14" ht="75" customHeight="1">
      <c r="A9" s="34" t="s">
        <v>74</v>
      </c>
      <c r="B9" s="34" t="s">
        <v>75</v>
      </c>
      <c r="C9" s="48"/>
      <c r="D9" s="48"/>
      <c r="E9" s="48"/>
      <c r="F9" s="48"/>
      <c r="G9" s="48"/>
      <c r="H9" s="48"/>
      <c r="I9" s="48"/>
      <c r="J9" s="48"/>
      <c r="K9" s="48"/>
      <c r="L9" s="48"/>
      <c r="M9" s="48"/>
      <c r="N9" s="48"/>
    </row>
    <row r="10" spans="1:14" ht="75" customHeight="1">
      <c r="A10" s="34" t="s">
        <v>76</v>
      </c>
      <c r="B10" s="34" t="s">
        <v>77</v>
      </c>
      <c r="C10" s="48"/>
      <c r="D10" s="48"/>
      <c r="E10" s="48"/>
      <c r="F10" s="48"/>
      <c r="G10" s="48"/>
      <c r="H10" s="48"/>
      <c r="I10" s="48"/>
      <c r="J10" s="48"/>
      <c r="K10" s="48"/>
      <c r="L10" s="48"/>
      <c r="M10" s="48"/>
      <c r="N10" s="48"/>
    </row>
    <row r="12" spans="1:14">
      <c r="A12" s="48"/>
      <c r="B12" s="48"/>
      <c r="C12" s="48"/>
      <c r="D12" s="48"/>
      <c r="E12" s="48"/>
      <c r="F12" s="48"/>
      <c r="G12" s="48"/>
      <c r="H12" s="48"/>
      <c r="I12" s="48"/>
      <c r="J12" s="48"/>
      <c r="K12" s="48"/>
      <c r="L12" s="48"/>
      <c r="M12" s="48"/>
      <c r="N12" s="48"/>
    </row>
    <row r="13" spans="1:14">
      <c r="A13" s="48"/>
      <c r="B13" s="48"/>
      <c r="C13" s="48"/>
      <c r="D13" s="48"/>
      <c r="E13" s="48"/>
      <c r="F13" s="48"/>
      <c r="G13" s="48"/>
      <c r="H13" s="48"/>
      <c r="I13" s="48"/>
      <c r="J13" s="48"/>
      <c r="K13" s="48"/>
      <c r="L13" s="48"/>
      <c r="M13" s="48"/>
      <c r="N13" s="4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O34"/>
  <sheetViews>
    <sheetView showGridLines="0" topLeftCell="A5" workbookViewId="0">
      <selection activeCell="B18" sqref="B18"/>
    </sheetView>
  </sheetViews>
  <sheetFormatPr defaultColWidth="14" defaultRowHeight="15"/>
  <cols>
    <col min="1" max="1" width="54.28515625" style="1" customWidth="1"/>
    <col min="2" max="2" width="66.140625" style="1" customWidth="1"/>
    <col min="3" max="3" width="105.7109375" style="1" customWidth="1"/>
    <col min="4" max="4" width="32.7109375" style="1" customWidth="1"/>
    <col min="5" max="5" width="58.140625" style="1" customWidth="1"/>
    <col min="6" max="6" width="34.28515625" style="1" customWidth="1"/>
    <col min="7" max="7" width="14" style="1" customWidth="1"/>
    <col min="8" max="14" width="14" customWidth="1"/>
    <col min="15" max="15" width="14" style="1" customWidth="1"/>
    <col min="16" max="16384" width="14" style="1"/>
  </cols>
  <sheetData>
    <row r="1" spans="1:14" ht="70.5" customHeight="1">
      <c r="A1" s="47"/>
      <c r="B1" s="47" t="s">
        <v>0</v>
      </c>
      <c r="C1" s="47"/>
      <c r="D1" s="47"/>
      <c r="E1" s="47"/>
      <c r="F1" s="47"/>
      <c r="G1" s="47"/>
      <c r="H1" s="47"/>
      <c r="I1" s="47"/>
      <c r="J1" s="47"/>
      <c r="K1" s="47"/>
      <c r="L1" s="47"/>
      <c r="M1" s="47"/>
      <c r="N1" s="47"/>
    </row>
    <row r="2" spans="1:14" ht="15" customHeight="1">
      <c r="A2" s="18" t="s">
        <v>78</v>
      </c>
      <c r="B2" s="19" t="s">
        <v>79</v>
      </c>
      <c r="C2" s="19" t="s">
        <v>70</v>
      </c>
      <c r="D2" s="53"/>
      <c r="E2" s="53"/>
      <c r="F2" s="53"/>
      <c r="G2" s="53"/>
      <c r="H2" s="53"/>
      <c r="I2" s="53"/>
      <c r="J2" s="53"/>
      <c r="K2" s="53"/>
      <c r="L2" s="53"/>
      <c r="M2" s="53"/>
      <c r="N2" s="53"/>
    </row>
    <row r="3" spans="1:14" ht="30" customHeight="1">
      <c r="A3" s="8" t="s">
        <v>80</v>
      </c>
      <c r="B3" s="8">
        <v>12</v>
      </c>
      <c r="C3" s="8" t="s">
        <v>81</v>
      </c>
      <c r="D3" s="53"/>
      <c r="E3" s="53"/>
      <c r="F3" s="53"/>
      <c r="G3" s="53"/>
      <c r="H3" s="53"/>
      <c r="I3" s="53"/>
      <c r="J3" s="53"/>
      <c r="K3" s="53"/>
      <c r="L3" s="53"/>
      <c r="M3" s="53"/>
      <c r="N3" s="53"/>
    </row>
    <row r="4" spans="1:14" ht="30" customHeight="1">
      <c r="A4" s="8" t="s">
        <v>82</v>
      </c>
      <c r="B4" s="8" t="s">
        <v>83</v>
      </c>
      <c r="C4" s="8" t="s">
        <v>84</v>
      </c>
      <c r="D4" s="53"/>
      <c r="E4" s="53"/>
      <c r="F4" s="53"/>
      <c r="G4" s="53"/>
      <c r="H4" s="53"/>
      <c r="I4" s="53"/>
      <c r="J4" s="53"/>
      <c r="K4" s="53"/>
      <c r="L4" s="53"/>
      <c r="M4" s="53"/>
      <c r="N4" s="53"/>
    </row>
    <row r="5" spans="1:14" ht="30" customHeight="1">
      <c r="A5" s="8" t="s">
        <v>85</v>
      </c>
      <c r="B5" s="8" t="s">
        <v>86</v>
      </c>
      <c r="C5" s="8" t="s">
        <v>87</v>
      </c>
      <c r="D5" s="53"/>
      <c r="E5" s="53"/>
      <c r="F5" s="53"/>
      <c r="G5" s="53"/>
      <c r="H5" s="53"/>
      <c r="I5" s="53"/>
      <c r="J5" s="53"/>
      <c r="K5" s="53"/>
      <c r="L5" s="53"/>
      <c r="M5" s="53"/>
      <c r="N5" s="53"/>
    </row>
    <row r="6" spans="1:14" ht="30" customHeight="1">
      <c r="A6" s="8" t="s">
        <v>88</v>
      </c>
      <c r="B6" s="8" t="s">
        <v>89</v>
      </c>
      <c r="C6" s="8" t="s">
        <v>90</v>
      </c>
      <c r="D6" s="53"/>
      <c r="E6" s="53"/>
      <c r="F6" s="53"/>
      <c r="G6" s="53"/>
      <c r="H6" s="53"/>
      <c r="I6" s="53"/>
      <c r="J6" s="53"/>
      <c r="K6" s="53"/>
      <c r="L6" s="53"/>
      <c r="M6" s="53"/>
      <c r="N6" s="53"/>
    </row>
    <row r="7" spans="1:14" ht="30" customHeight="1">
      <c r="A7" s="8" t="s">
        <v>91</v>
      </c>
      <c r="B7" s="8" t="s">
        <v>86</v>
      </c>
      <c r="C7" s="8" t="s">
        <v>92</v>
      </c>
      <c r="D7" s="53"/>
      <c r="E7" s="53"/>
      <c r="F7" s="53"/>
      <c r="G7" s="53"/>
      <c r="H7" s="53"/>
      <c r="I7" s="53"/>
      <c r="J7" s="53"/>
      <c r="K7" s="53"/>
      <c r="L7" s="53"/>
      <c r="M7" s="53"/>
      <c r="N7" s="53"/>
    </row>
    <row r="8" spans="1:14" ht="30" customHeight="1">
      <c r="A8" s="9" t="s">
        <v>93</v>
      </c>
      <c r="B8" s="9" t="s">
        <v>86</v>
      </c>
      <c r="C8" s="9" t="s">
        <v>94</v>
      </c>
      <c r="D8" s="53"/>
      <c r="E8" s="53"/>
      <c r="F8" s="53"/>
      <c r="G8" s="53"/>
      <c r="H8" s="53"/>
      <c r="I8" s="53"/>
      <c r="J8" s="53"/>
      <c r="K8" s="53"/>
      <c r="L8" s="53"/>
      <c r="M8" s="53"/>
      <c r="N8" s="53"/>
    </row>
    <row r="9" spans="1:14" ht="30" customHeight="1">
      <c r="A9" s="10" t="s">
        <v>95</v>
      </c>
      <c r="B9" s="10" t="s">
        <v>86</v>
      </c>
      <c r="C9" s="10" t="s">
        <v>96</v>
      </c>
      <c r="D9" s="53"/>
      <c r="E9" s="53"/>
      <c r="F9" s="53"/>
      <c r="G9" s="53"/>
      <c r="H9" s="53"/>
      <c r="I9" s="53"/>
      <c r="J9" s="53"/>
      <c r="K9" s="53"/>
      <c r="L9" s="53"/>
      <c r="M9" s="53"/>
      <c r="N9" s="53"/>
    </row>
    <row r="10" spans="1:14" ht="30" customHeight="1">
      <c r="A10" s="10" t="s">
        <v>97</v>
      </c>
      <c r="B10" s="10" t="s">
        <v>98</v>
      </c>
      <c r="C10" s="10" t="s">
        <v>99</v>
      </c>
      <c r="D10" s="53"/>
      <c r="E10" s="53"/>
      <c r="F10" s="53"/>
      <c r="G10" s="53"/>
      <c r="H10" s="53"/>
      <c r="I10" s="53"/>
      <c r="J10" s="53"/>
      <c r="K10" s="53"/>
      <c r="L10" s="53"/>
      <c r="M10" s="53"/>
      <c r="N10" s="53"/>
    </row>
    <row r="11" spans="1:14" ht="30" customHeight="1">
      <c r="A11" s="10" t="s">
        <v>100</v>
      </c>
      <c r="B11" s="10" t="s">
        <v>101</v>
      </c>
      <c r="C11" s="10" t="s">
        <v>102</v>
      </c>
      <c r="D11" s="53"/>
      <c r="E11" s="53"/>
      <c r="F11" s="53"/>
      <c r="G11" s="53"/>
      <c r="H11" s="53"/>
      <c r="I11" s="53"/>
      <c r="J11" s="53"/>
      <c r="K11" s="53"/>
      <c r="L11" s="53"/>
      <c r="M11" s="53"/>
      <c r="N11" s="53"/>
    </row>
    <row r="12" spans="1:14" ht="30" customHeight="1">
      <c r="A12" s="10" t="s">
        <v>103</v>
      </c>
      <c r="B12" s="10" t="s">
        <v>86</v>
      </c>
      <c r="C12" s="10" t="s">
        <v>104</v>
      </c>
      <c r="D12" s="53"/>
      <c r="E12" s="53"/>
      <c r="F12" s="53"/>
      <c r="G12" s="53"/>
      <c r="H12" s="53"/>
      <c r="I12" s="53"/>
      <c r="J12" s="53"/>
      <c r="K12" s="53"/>
      <c r="L12" s="53"/>
      <c r="M12" s="53"/>
      <c r="N12" s="53"/>
    </row>
    <row r="13" spans="1:14" ht="30" customHeight="1">
      <c r="A13" s="10" t="s">
        <v>105</v>
      </c>
      <c r="B13" s="10" t="s">
        <v>86</v>
      </c>
      <c r="C13" s="10" t="s">
        <v>106</v>
      </c>
      <c r="D13" s="53"/>
      <c r="E13" s="53"/>
      <c r="F13" s="53"/>
      <c r="G13" s="53"/>
      <c r="H13" s="53"/>
      <c r="I13" s="53"/>
      <c r="J13" s="53"/>
      <c r="K13" s="53"/>
      <c r="L13" s="53"/>
      <c r="M13" s="53"/>
      <c r="N13" s="53"/>
    </row>
    <row r="14" spans="1:14" ht="30" customHeight="1">
      <c r="A14" s="10" t="s">
        <v>107</v>
      </c>
      <c r="B14" s="10" t="s">
        <v>108</v>
      </c>
      <c r="C14" s="10" t="s">
        <v>109</v>
      </c>
      <c r="D14" s="53"/>
      <c r="E14" s="53"/>
      <c r="F14" s="53"/>
      <c r="G14" s="53"/>
      <c r="H14" s="53"/>
      <c r="I14" s="53"/>
      <c r="J14" s="53"/>
      <c r="K14" s="53"/>
      <c r="L14" s="53"/>
      <c r="M14" s="53"/>
      <c r="N14" s="53"/>
    </row>
    <row r="15" spans="1:14" ht="30" customHeight="1">
      <c r="A15" s="10" t="s">
        <v>110</v>
      </c>
      <c r="B15" s="10" t="s">
        <v>86</v>
      </c>
      <c r="C15" s="10" t="s">
        <v>111</v>
      </c>
      <c r="D15" s="53"/>
      <c r="E15" s="53"/>
      <c r="F15" s="53"/>
      <c r="G15" s="53"/>
      <c r="H15" s="53"/>
      <c r="I15" s="53"/>
      <c r="J15" s="53"/>
      <c r="K15" s="53"/>
      <c r="L15" s="53"/>
      <c r="M15" s="53"/>
      <c r="N15" s="53"/>
    </row>
    <row r="16" spans="1:14" ht="30" customHeight="1">
      <c r="A16" s="10" t="s">
        <v>112</v>
      </c>
      <c r="B16" s="10" t="s">
        <v>113</v>
      </c>
      <c r="C16" s="10" t="s">
        <v>114</v>
      </c>
      <c r="D16" s="53"/>
      <c r="E16" s="53"/>
      <c r="F16" s="53"/>
      <c r="G16" s="53"/>
      <c r="H16" s="53"/>
      <c r="I16" s="53"/>
      <c r="J16" s="53"/>
      <c r="K16" s="53"/>
      <c r="L16" s="53"/>
      <c r="M16" s="53"/>
      <c r="N16" s="53"/>
    </row>
    <row r="17" spans="1:15" ht="30" customHeight="1">
      <c r="A17" s="10" t="s">
        <v>115</v>
      </c>
      <c r="B17" s="10" t="s">
        <v>116</v>
      </c>
      <c r="C17" s="10" t="s">
        <v>117</v>
      </c>
      <c r="D17" s="53"/>
      <c r="E17" s="53"/>
      <c r="F17" s="53"/>
      <c r="G17" s="53"/>
      <c r="H17" s="53"/>
      <c r="I17" s="53"/>
      <c r="J17" s="53"/>
      <c r="K17" s="53"/>
      <c r="L17" s="53"/>
      <c r="M17" s="53"/>
      <c r="N17" s="53"/>
      <c r="O17" s="53"/>
    </row>
    <row r="18" spans="1:15" ht="30" customHeight="1">
      <c r="A18" s="10" t="s">
        <v>118</v>
      </c>
      <c r="B18" s="10" t="s">
        <v>86</v>
      </c>
      <c r="C18" s="10" t="s">
        <v>119</v>
      </c>
      <c r="D18" s="53"/>
      <c r="E18" s="53"/>
      <c r="F18" s="53"/>
      <c r="G18" s="53"/>
      <c r="H18" s="53"/>
      <c r="I18" s="53"/>
      <c r="J18" s="53"/>
      <c r="K18" s="53"/>
      <c r="L18" s="53"/>
      <c r="M18" s="53"/>
      <c r="N18" s="53"/>
      <c r="O18" s="53"/>
    </row>
    <row r="19" spans="1:15" ht="30" customHeight="1">
      <c r="A19" s="10" t="s">
        <v>120</v>
      </c>
      <c r="B19" s="10" t="s">
        <v>83</v>
      </c>
      <c r="C19" s="10" t="s">
        <v>121</v>
      </c>
      <c r="D19" s="53"/>
      <c r="E19" s="53"/>
      <c r="F19" s="53"/>
      <c r="G19" s="53"/>
      <c r="H19" s="53"/>
      <c r="I19" s="53"/>
      <c r="J19" s="53"/>
      <c r="K19" s="53"/>
      <c r="L19" s="53"/>
      <c r="M19" s="53"/>
      <c r="N19" s="53"/>
      <c r="O19" s="53"/>
    </row>
    <row r="20" spans="1:15" ht="30" customHeight="1">
      <c r="A20" s="10" t="s">
        <v>122</v>
      </c>
      <c r="B20" s="10" t="s">
        <v>83</v>
      </c>
      <c r="C20" s="10" t="s">
        <v>123</v>
      </c>
      <c r="D20" s="53"/>
      <c r="E20" s="53"/>
      <c r="F20" s="53"/>
      <c r="G20" s="53"/>
      <c r="H20" s="53"/>
      <c r="I20" s="53"/>
      <c r="J20" s="53"/>
      <c r="K20" s="53"/>
      <c r="L20" s="53"/>
      <c r="M20" s="53"/>
      <c r="N20" s="53"/>
      <c r="O20" s="53"/>
    </row>
    <row r="21" spans="1:15" ht="30" customHeight="1">
      <c r="A21" s="10" t="s">
        <v>124</v>
      </c>
      <c r="B21" s="10" t="s">
        <v>83</v>
      </c>
      <c r="C21" s="10" t="s">
        <v>125</v>
      </c>
      <c r="D21" s="53"/>
      <c r="E21" s="53"/>
      <c r="F21" s="53"/>
      <c r="G21" s="53"/>
      <c r="H21" s="53"/>
      <c r="I21" s="53"/>
      <c r="J21" s="53"/>
      <c r="K21" s="53"/>
      <c r="L21" s="53"/>
      <c r="M21" s="53"/>
      <c r="N21" s="53"/>
      <c r="O21" s="53"/>
    </row>
    <row r="22" spans="1:15" ht="30" customHeight="1">
      <c r="A22" s="10" t="s">
        <v>126</v>
      </c>
      <c r="B22" s="10" t="s">
        <v>127</v>
      </c>
      <c r="C22" s="10" t="s">
        <v>128</v>
      </c>
      <c r="D22" s="53"/>
      <c r="E22" s="53"/>
      <c r="F22" s="53"/>
      <c r="G22" s="53"/>
      <c r="H22" s="53"/>
      <c r="I22" s="53"/>
      <c r="J22" s="53"/>
      <c r="K22" s="53"/>
      <c r="L22" s="53"/>
      <c r="M22" s="53"/>
      <c r="N22" s="53"/>
      <c r="O22" s="53"/>
    </row>
    <row r="23" spans="1:15" ht="30" customHeight="1">
      <c r="A23" s="10" t="s">
        <v>129</v>
      </c>
      <c r="B23" s="10" t="s">
        <v>86</v>
      </c>
      <c r="C23" s="10" t="s">
        <v>130</v>
      </c>
      <c r="D23" s="53"/>
      <c r="E23" s="53"/>
      <c r="F23" s="53"/>
      <c r="G23" s="53"/>
      <c r="H23" s="53"/>
      <c r="I23" s="53"/>
      <c r="J23" s="53"/>
      <c r="K23" s="53"/>
      <c r="L23" s="53"/>
      <c r="M23" s="53"/>
      <c r="N23" s="53"/>
      <c r="O23" s="53"/>
    </row>
    <row r="24" spans="1:15" ht="30" customHeight="1">
      <c r="A24" s="10" t="s">
        <v>131</v>
      </c>
      <c r="B24" s="10" t="s">
        <v>86</v>
      </c>
      <c r="C24" s="10" t="s">
        <v>132</v>
      </c>
      <c r="D24" s="53"/>
      <c r="E24" s="53"/>
      <c r="F24" s="53"/>
      <c r="G24" s="53"/>
      <c r="H24" s="53"/>
      <c r="I24" s="53"/>
      <c r="J24" s="53"/>
      <c r="K24" s="53"/>
      <c r="L24" s="53"/>
      <c r="M24" s="53"/>
      <c r="N24" s="53"/>
      <c r="O24" s="53"/>
    </row>
    <row r="25" spans="1:15" ht="30" customHeight="1">
      <c r="A25" s="10" t="s">
        <v>133</v>
      </c>
      <c r="B25" s="10" t="s">
        <v>86</v>
      </c>
      <c r="C25" s="10" t="s">
        <v>134</v>
      </c>
      <c r="D25" s="53"/>
      <c r="E25" s="53"/>
      <c r="F25" s="53"/>
      <c r="G25" s="53"/>
      <c r="H25" s="53"/>
      <c r="I25" s="53"/>
      <c r="J25" s="53"/>
      <c r="K25" s="53"/>
      <c r="L25" s="53"/>
      <c r="M25" s="53"/>
      <c r="N25" s="53"/>
      <c r="O25" s="53"/>
    </row>
    <row r="26" spans="1:15" ht="30" customHeight="1">
      <c r="A26" s="10" t="s">
        <v>135</v>
      </c>
      <c r="B26" s="10" t="s">
        <v>86</v>
      </c>
      <c r="C26" s="10" t="s">
        <v>136</v>
      </c>
      <c r="D26" s="53"/>
      <c r="E26" s="53"/>
      <c r="F26" s="53"/>
      <c r="G26" s="53"/>
      <c r="H26" s="53"/>
      <c r="I26" s="53"/>
      <c r="J26" s="53"/>
      <c r="K26" s="53"/>
      <c r="L26" s="53"/>
      <c r="M26" s="53"/>
      <c r="N26" s="53"/>
      <c r="O26" s="53"/>
    </row>
    <row r="27" spans="1:15">
      <c r="A27" s="53"/>
      <c r="B27" s="53"/>
      <c r="C27" s="53"/>
      <c r="D27" s="53"/>
      <c r="E27" s="53"/>
      <c r="F27" s="53"/>
      <c r="G27" s="53"/>
      <c r="H27" s="53"/>
      <c r="I27" s="53"/>
      <c r="J27" s="53"/>
      <c r="K27" s="53"/>
      <c r="L27" s="53"/>
      <c r="M27" s="53"/>
      <c r="N27" s="53"/>
      <c r="O27" s="53"/>
    </row>
    <row r="28" spans="1:15">
      <c r="A28" s="53"/>
      <c r="B28" s="53"/>
      <c r="C28" s="53"/>
      <c r="D28" s="53"/>
      <c r="E28" s="53"/>
      <c r="F28" s="53"/>
      <c r="G28" s="53"/>
      <c r="H28" s="48"/>
      <c r="I28" s="48"/>
      <c r="J28" s="48"/>
      <c r="K28" s="48"/>
      <c r="L28" s="48"/>
      <c r="M28" s="48"/>
      <c r="N28" s="48"/>
      <c r="O28" s="53"/>
    </row>
    <row r="29" spans="1:15">
      <c r="A29" s="53"/>
      <c r="B29" s="53"/>
      <c r="C29" s="53"/>
      <c r="D29" s="53"/>
      <c r="E29" s="53"/>
      <c r="F29" s="53"/>
      <c r="G29" s="53"/>
      <c r="H29" s="48"/>
      <c r="I29" s="48"/>
      <c r="J29" s="48"/>
      <c r="K29" s="48"/>
      <c r="L29" s="48"/>
      <c r="M29" s="48"/>
      <c r="N29" s="48"/>
      <c r="O29" s="53"/>
    </row>
    <row r="30" spans="1:15">
      <c r="A30" s="53"/>
      <c r="B30" s="53"/>
      <c r="C30" s="53"/>
      <c r="D30" s="53"/>
      <c r="E30" s="53"/>
      <c r="F30" s="53"/>
      <c r="G30" s="53"/>
      <c r="H30" s="48"/>
      <c r="I30" s="48"/>
      <c r="J30" s="48"/>
      <c r="K30" s="48"/>
      <c r="L30" s="48"/>
      <c r="M30" s="48"/>
      <c r="N30" s="48"/>
      <c r="O30" s="53"/>
    </row>
    <row r="31" spans="1:15">
      <c r="A31" s="53"/>
      <c r="B31" s="53"/>
      <c r="C31" s="53"/>
      <c r="D31" s="53"/>
      <c r="E31" s="53"/>
      <c r="F31" s="53"/>
      <c r="G31" s="53"/>
      <c r="H31" s="48"/>
      <c r="I31" s="48"/>
      <c r="J31" s="48"/>
      <c r="K31" s="48"/>
      <c r="L31" s="48"/>
      <c r="M31" s="48"/>
      <c r="N31" s="48"/>
      <c r="O31" s="53"/>
    </row>
    <row r="32" spans="1:15">
      <c r="A32" s="53"/>
      <c r="B32" s="53"/>
      <c r="C32" s="53"/>
      <c r="D32" s="53"/>
      <c r="E32" s="53"/>
      <c r="F32" s="53"/>
      <c r="G32" s="53"/>
      <c r="H32" s="48"/>
      <c r="I32" s="48"/>
      <c r="J32" s="48"/>
      <c r="K32" s="48"/>
      <c r="L32" s="48"/>
      <c r="M32" s="48"/>
      <c r="N32" s="48"/>
      <c r="O32" s="53"/>
    </row>
    <row r="33" spans="1:15">
      <c r="A33" s="53"/>
      <c r="B33" s="53"/>
      <c r="C33" s="53"/>
      <c r="D33" s="53"/>
      <c r="E33" s="53"/>
      <c r="F33" s="53"/>
      <c r="G33" s="53"/>
      <c r="H33" s="48"/>
      <c r="I33" s="48"/>
      <c r="J33" s="48"/>
      <c r="K33" s="48"/>
      <c r="L33" s="48"/>
      <c r="M33" s="48"/>
      <c r="N33" s="48"/>
      <c r="O33" s="53"/>
    </row>
    <row r="34" spans="1:15">
      <c r="A34" s="53"/>
      <c r="B34" s="53"/>
      <c r="C34" s="53"/>
      <c r="D34" s="53"/>
      <c r="E34" s="53"/>
      <c r="F34" s="53"/>
      <c r="G34" s="53"/>
      <c r="H34" s="48"/>
      <c r="I34" s="48"/>
      <c r="J34" s="48"/>
      <c r="K34" s="48"/>
      <c r="L34" s="48"/>
      <c r="M34" s="48"/>
      <c r="N34" s="48"/>
      <c r="O34" s="5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I35"/>
  <sheetViews>
    <sheetView showGridLines="0" workbookViewId="0">
      <selection activeCell="K14" sqref="K14"/>
    </sheetView>
  </sheetViews>
  <sheetFormatPr defaultRowHeight="15"/>
  <cols>
    <col min="1" max="1" width="49.7109375" customWidth="1"/>
    <col min="2" max="2" width="28" customWidth="1"/>
    <col min="3" max="3" width="36" customWidth="1"/>
    <col min="4" max="4" width="32" customWidth="1"/>
    <col min="5" max="5" width="12" customWidth="1"/>
    <col min="6" max="6" width="26" customWidth="1"/>
    <col min="7" max="7" width="18" customWidth="1"/>
    <col min="8" max="8" width="40" customWidth="1"/>
  </cols>
  <sheetData>
    <row r="1" spans="1:8" ht="24" customHeight="1">
      <c r="A1" s="56" t="s">
        <v>0</v>
      </c>
      <c r="B1" s="56"/>
      <c r="C1" s="56"/>
      <c r="D1" s="56"/>
      <c r="E1" s="56"/>
      <c r="F1" s="56"/>
      <c r="G1" s="56"/>
      <c r="H1" s="56"/>
    </row>
    <row r="2" spans="1:8" ht="30" customHeight="1">
      <c r="A2" s="45" t="s">
        <v>137</v>
      </c>
      <c r="B2" s="45"/>
      <c r="C2" s="45"/>
      <c r="D2" s="45"/>
      <c r="E2" s="45"/>
      <c r="F2" s="45"/>
      <c r="G2" s="45"/>
      <c r="H2" s="45"/>
    </row>
    <row r="3" spans="1:8">
      <c r="A3" s="46"/>
      <c r="B3" s="46"/>
      <c r="C3" s="46"/>
      <c r="D3" s="46"/>
      <c r="E3" s="46"/>
      <c r="F3" s="46"/>
      <c r="G3" s="46"/>
      <c r="H3" s="46"/>
    </row>
    <row r="4" spans="1:8" ht="21.95" customHeight="1">
      <c r="A4" s="57" t="s">
        <v>138</v>
      </c>
      <c r="B4" s="57"/>
      <c r="C4" s="57"/>
      <c r="D4" s="57"/>
      <c r="E4" s="57"/>
      <c r="F4" s="57"/>
      <c r="G4" s="57"/>
      <c r="H4" s="57"/>
    </row>
    <row r="5" spans="1:8" ht="33.950000000000003" customHeight="1">
      <c r="A5" s="36" t="s">
        <v>139</v>
      </c>
      <c r="B5" s="36" t="s">
        <v>140</v>
      </c>
      <c r="C5" s="36" t="s">
        <v>141</v>
      </c>
      <c r="D5" s="36" t="s">
        <v>142</v>
      </c>
      <c r="E5" s="36" t="s">
        <v>143</v>
      </c>
      <c r="F5" s="36" t="s">
        <v>144</v>
      </c>
      <c r="G5" s="36" t="s">
        <v>145</v>
      </c>
      <c r="H5" s="36" t="s">
        <v>70</v>
      </c>
    </row>
    <row r="6" spans="1:8">
      <c r="A6" s="37" t="s">
        <v>146</v>
      </c>
      <c r="B6" s="37" t="s">
        <v>147</v>
      </c>
      <c r="C6" s="37" t="s">
        <v>148</v>
      </c>
      <c r="D6" s="37" t="s">
        <v>149</v>
      </c>
      <c r="E6" s="37" t="s">
        <v>150</v>
      </c>
      <c r="F6" s="37" t="s">
        <v>151</v>
      </c>
      <c r="G6" s="37" t="s">
        <v>152</v>
      </c>
      <c r="H6" s="37" t="s">
        <v>153</v>
      </c>
    </row>
    <row r="7" spans="1:8">
      <c r="A7" s="37" t="s">
        <v>146</v>
      </c>
      <c r="B7" s="37" t="s">
        <v>154</v>
      </c>
      <c r="C7" s="37" t="s">
        <v>155</v>
      </c>
      <c r="D7" s="37" t="s">
        <v>156</v>
      </c>
      <c r="E7" s="37" t="s">
        <v>157</v>
      </c>
      <c r="F7" s="37" t="s">
        <v>158</v>
      </c>
      <c r="G7" s="37" t="s">
        <v>152</v>
      </c>
      <c r="H7" s="37" t="s">
        <v>159</v>
      </c>
    </row>
    <row r="8" spans="1:8">
      <c r="A8" s="37" t="s">
        <v>146</v>
      </c>
      <c r="B8" s="37" t="s">
        <v>160</v>
      </c>
      <c r="C8" s="37" t="s">
        <v>161</v>
      </c>
      <c r="D8" s="37" t="s">
        <v>162</v>
      </c>
      <c r="E8" s="37" t="s">
        <v>150</v>
      </c>
      <c r="F8" s="37" t="s">
        <v>163</v>
      </c>
      <c r="G8" s="37" t="s">
        <v>152</v>
      </c>
      <c r="H8" s="37" t="s">
        <v>164</v>
      </c>
    </row>
    <row r="9" spans="1:8">
      <c r="A9" s="37" t="s">
        <v>165</v>
      </c>
      <c r="B9" s="37" t="s">
        <v>166</v>
      </c>
      <c r="C9" s="37" t="s">
        <v>167</v>
      </c>
      <c r="D9" s="37" t="s">
        <v>168</v>
      </c>
      <c r="E9" s="37" t="s">
        <v>169</v>
      </c>
      <c r="F9" s="37" t="s">
        <v>170</v>
      </c>
      <c r="G9" s="37" t="s">
        <v>152</v>
      </c>
      <c r="H9" s="37" t="s">
        <v>171</v>
      </c>
    </row>
    <row r="10" spans="1:8">
      <c r="A10" s="37" t="s">
        <v>165</v>
      </c>
      <c r="B10" s="37" t="s">
        <v>172</v>
      </c>
      <c r="C10" s="37" t="s">
        <v>173</v>
      </c>
      <c r="D10" s="37" t="s">
        <v>174</v>
      </c>
      <c r="E10" s="37" t="s">
        <v>175</v>
      </c>
      <c r="F10" s="37" t="s">
        <v>176</v>
      </c>
      <c r="G10" s="37" t="s">
        <v>152</v>
      </c>
      <c r="H10" s="37" t="s">
        <v>177</v>
      </c>
    </row>
    <row r="11" spans="1:8">
      <c r="A11" s="37" t="s">
        <v>165</v>
      </c>
      <c r="B11" s="37" t="s">
        <v>178</v>
      </c>
      <c r="C11" s="37" t="s">
        <v>179</v>
      </c>
      <c r="D11" s="37" t="s">
        <v>174</v>
      </c>
      <c r="E11" s="37" t="s">
        <v>175</v>
      </c>
      <c r="F11" s="37" t="s">
        <v>180</v>
      </c>
      <c r="G11" s="37" t="s">
        <v>152</v>
      </c>
      <c r="H11" s="37" t="s">
        <v>181</v>
      </c>
    </row>
    <row r="12" spans="1:8" ht="25.5">
      <c r="A12" s="37" t="s">
        <v>165</v>
      </c>
      <c r="B12" s="37" t="s">
        <v>182</v>
      </c>
      <c r="C12" s="37" t="s">
        <v>183</v>
      </c>
      <c r="D12" s="37" t="s">
        <v>184</v>
      </c>
      <c r="E12" s="37" t="s">
        <v>185</v>
      </c>
      <c r="F12" s="37" t="s">
        <v>186</v>
      </c>
      <c r="G12" s="37" t="s">
        <v>152</v>
      </c>
      <c r="H12" s="37" t="s">
        <v>187</v>
      </c>
    </row>
    <row r="13" spans="1:8">
      <c r="A13" s="37" t="s">
        <v>188</v>
      </c>
      <c r="B13" s="37" t="s">
        <v>189</v>
      </c>
      <c r="C13" s="37" t="s">
        <v>190</v>
      </c>
      <c r="D13" s="37" t="s">
        <v>191</v>
      </c>
      <c r="E13" s="37" t="s">
        <v>192</v>
      </c>
      <c r="F13" s="37" t="s">
        <v>180</v>
      </c>
      <c r="G13" s="37" t="s">
        <v>152</v>
      </c>
      <c r="H13" s="37" t="s">
        <v>193</v>
      </c>
    </row>
    <row r="14" spans="1:8">
      <c r="A14" s="37" t="s">
        <v>188</v>
      </c>
      <c r="B14" s="37" t="s">
        <v>194</v>
      </c>
      <c r="C14" s="37" t="s">
        <v>195</v>
      </c>
      <c r="D14" s="37" t="s">
        <v>196</v>
      </c>
      <c r="E14" s="37" t="s">
        <v>175</v>
      </c>
      <c r="F14" s="37" t="s">
        <v>197</v>
      </c>
      <c r="G14" s="37" t="s">
        <v>152</v>
      </c>
      <c r="H14" s="37" t="s">
        <v>198</v>
      </c>
    </row>
    <row r="15" spans="1:8">
      <c r="A15" s="37" t="s">
        <v>199</v>
      </c>
      <c r="B15" s="37" t="s">
        <v>200</v>
      </c>
      <c r="C15" s="37" t="s">
        <v>201</v>
      </c>
      <c r="D15" s="37" t="s">
        <v>202</v>
      </c>
      <c r="E15" s="37" t="s">
        <v>203</v>
      </c>
      <c r="F15" s="37" t="s">
        <v>204</v>
      </c>
      <c r="G15" s="37" t="s">
        <v>152</v>
      </c>
      <c r="H15" s="37" t="s">
        <v>205</v>
      </c>
    </row>
    <row r="16" spans="1:8">
      <c r="A16" s="37" t="s">
        <v>206</v>
      </c>
      <c r="B16" s="37" t="s">
        <v>207</v>
      </c>
      <c r="C16" s="37" t="s">
        <v>208</v>
      </c>
      <c r="D16" s="37" t="s">
        <v>209</v>
      </c>
      <c r="E16" s="37" t="s">
        <v>210</v>
      </c>
      <c r="F16" s="37" t="s">
        <v>211</v>
      </c>
      <c r="G16" s="37" t="s">
        <v>152</v>
      </c>
      <c r="H16" s="37" t="s">
        <v>212</v>
      </c>
    </row>
    <row r="17" spans="1:9">
      <c r="A17" s="37" t="s">
        <v>206</v>
      </c>
      <c r="B17" s="37" t="s">
        <v>213</v>
      </c>
      <c r="C17" s="37" t="s">
        <v>214</v>
      </c>
      <c r="D17" s="37" t="s">
        <v>215</v>
      </c>
      <c r="E17" s="37" t="s">
        <v>216</v>
      </c>
      <c r="F17" s="37" t="s">
        <v>211</v>
      </c>
      <c r="G17" s="37" t="s">
        <v>152</v>
      </c>
      <c r="H17" s="37" t="s">
        <v>217</v>
      </c>
      <c r="I17" s="48"/>
    </row>
    <row r="18" spans="1:9">
      <c r="A18" s="37" t="s">
        <v>206</v>
      </c>
      <c r="B18" s="37" t="s">
        <v>218</v>
      </c>
      <c r="C18" s="37" t="s">
        <v>219</v>
      </c>
      <c r="D18" s="37" t="s">
        <v>220</v>
      </c>
      <c r="E18" s="37" t="s">
        <v>221</v>
      </c>
      <c r="F18" s="37" t="s">
        <v>222</v>
      </c>
      <c r="G18" s="37" t="s">
        <v>152</v>
      </c>
      <c r="H18" s="37" t="s">
        <v>223</v>
      </c>
      <c r="I18" s="48"/>
    </row>
    <row r="19" spans="1:9">
      <c r="A19" s="37" t="s">
        <v>224</v>
      </c>
      <c r="B19" s="37" t="s">
        <v>33</v>
      </c>
      <c r="C19" s="37" t="s">
        <v>225</v>
      </c>
      <c r="D19" s="37" t="s">
        <v>226</v>
      </c>
      <c r="E19" s="37" t="s">
        <v>227</v>
      </c>
      <c r="F19" s="37" t="s">
        <v>228</v>
      </c>
      <c r="G19" s="37" t="s">
        <v>152</v>
      </c>
      <c r="H19" s="37" t="s">
        <v>229</v>
      </c>
      <c r="I19" s="48"/>
    </row>
    <row r="20" spans="1:9">
      <c r="A20" s="37" t="s">
        <v>224</v>
      </c>
      <c r="B20" s="37" t="s">
        <v>31</v>
      </c>
      <c r="C20" s="37" t="s">
        <v>230</v>
      </c>
      <c r="D20" s="37" t="s">
        <v>231</v>
      </c>
      <c r="E20" s="37" t="s">
        <v>232</v>
      </c>
      <c r="F20" s="37" t="s">
        <v>233</v>
      </c>
      <c r="G20" s="37" t="s">
        <v>152</v>
      </c>
      <c r="H20" s="37" t="s">
        <v>234</v>
      </c>
      <c r="I20" s="48"/>
    </row>
    <row r="21" spans="1:9">
      <c r="A21" s="37" t="s">
        <v>224</v>
      </c>
      <c r="B21" s="37" t="s">
        <v>235</v>
      </c>
      <c r="C21" s="37" t="s">
        <v>236</v>
      </c>
      <c r="D21" s="37" t="s">
        <v>237</v>
      </c>
      <c r="E21" s="37" t="s">
        <v>238</v>
      </c>
      <c r="F21" s="37" t="s">
        <v>233</v>
      </c>
      <c r="G21" s="37" t="s">
        <v>152</v>
      </c>
      <c r="H21" s="37" t="s">
        <v>239</v>
      </c>
      <c r="I21" s="48"/>
    </row>
    <row r="22" spans="1:9">
      <c r="A22" s="37" t="s">
        <v>224</v>
      </c>
      <c r="B22" s="37" t="s">
        <v>240</v>
      </c>
      <c r="C22" s="37" t="s">
        <v>241</v>
      </c>
      <c r="D22" s="37" t="s">
        <v>242</v>
      </c>
      <c r="E22" s="37" t="s">
        <v>238</v>
      </c>
      <c r="F22" s="37" t="s">
        <v>243</v>
      </c>
      <c r="G22" s="37" t="s">
        <v>152</v>
      </c>
      <c r="H22" s="37" t="s">
        <v>244</v>
      </c>
      <c r="I22" s="48"/>
    </row>
    <row r="23" spans="1:9">
      <c r="A23" s="37" t="s">
        <v>245</v>
      </c>
      <c r="B23" s="37" t="s">
        <v>246</v>
      </c>
      <c r="C23" s="37" t="s">
        <v>247</v>
      </c>
      <c r="D23" s="37" t="s">
        <v>248</v>
      </c>
      <c r="E23" s="37" t="s">
        <v>249</v>
      </c>
      <c r="F23" s="37" t="s">
        <v>176</v>
      </c>
      <c r="G23" s="37" t="s">
        <v>152</v>
      </c>
      <c r="H23" s="37" t="s">
        <v>250</v>
      </c>
      <c r="I23" s="48"/>
    </row>
    <row r="24" spans="1:9">
      <c r="A24" s="37" t="s">
        <v>245</v>
      </c>
      <c r="B24" s="37" t="s">
        <v>251</v>
      </c>
      <c r="C24" s="37" t="s">
        <v>252</v>
      </c>
      <c r="D24" s="37" t="s">
        <v>202</v>
      </c>
      <c r="E24" s="37" t="s">
        <v>249</v>
      </c>
      <c r="F24" s="37" t="s">
        <v>176</v>
      </c>
      <c r="G24" s="37" t="s">
        <v>152</v>
      </c>
      <c r="H24" s="37" t="s">
        <v>253</v>
      </c>
      <c r="I24" s="48"/>
    </row>
    <row r="25" spans="1:9">
      <c r="A25" s="37" t="s">
        <v>245</v>
      </c>
      <c r="B25" s="37" t="s">
        <v>254</v>
      </c>
      <c r="C25" s="37" t="s">
        <v>255</v>
      </c>
      <c r="D25" s="37" t="s">
        <v>256</v>
      </c>
      <c r="E25" s="37" t="s">
        <v>257</v>
      </c>
      <c r="F25" s="37" t="s">
        <v>176</v>
      </c>
      <c r="G25" s="37" t="s">
        <v>152</v>
      </c>
      <c r="H25" s="37" t="s">
        <v>258</v>
      </c>
      <c r="I25" s="48"/>
    </row>
    <row r="26" spans="1:9">
      <c r="A26" s="37" t="s">
        <v>259</v>
      </c>
      <c r="B26" s="37" t="s">
        <v>260</v>
      </c>
      <c r="C26" s="37" t="s">
        <v>261</v>
      </c>
      <c r="D26" s="37" t="s">
        <v>262</v>
      </c>
      <c r="E26" s="37" t="s">
        <v>263</v>
      </c>
      <c r="F26" s="37" t="s">
        <v>264</v>
      </c>
      <c r="G26" s="37" t="s">
        <v>152</v>
      </c>
      <c r="H26" s="37" t="s">
        <v>265</v>
      </c>
      <c r="I26" s="48"/>
    </row>
    <row r="27" spans="1:9">
      <c r="A27" s="37" t="s">
        <v>259</v>
      </c>
      <c r="B27" s="37" t="s">
        <v>266</v>
      </c>
      <c r="C27" s="37" t="s">
        <v>267</v>
      </c>
      <c r="D27" s="37" t="s">
        <v>268</v>
      </c>
      <c r="E27" s="37" t="s">
        <v>269</v>
      </c>
      <c r="F27" s="37" t="s">
        <v>270</v>
      </c>
      <c r="G27" s="37" t="s">
        <v>152</v>
      </c>
      <c r="H27" s="37" t="s">
        <v>271</v>
      </c>
      <c r="I27" s="48"/>
    </row>
    <row r="28" spans="1:9">
      <c r="A28" s="37" t="s">
        <v>272</v>
      </c>
      <c r="B28" s="37" t="s">
        <v>273</v>
      </c>
      <c r="C28" s="37" t="s">
        <v>274</v>
      </c>
      <c r="D28" s="37" t="s">
        <v>275</v>
      </c>
      <c r="E28" s="37" t="s">
        <v>276</v>
      </c>
      <c r="F28" s="37" t="s">
        <v>277</v>
      </c>
      <c r="G28" s="37" t="s">
        <v>152</v>
      </c>
      <c r="H28" s="37" t="s">
        <v>278</v>
      </c>
      <c r="I28" s="48"/>
    </row>
    <row r="29" spans="1:9">
      <c r="A29" s="46"/>
      <c r="B29" s="46"/>
      <c r="C29" s="46"/>
      <c r="D29" s="46"/>
      <c r="E29" s="46"/>
      <c r="F29" s="46"/>
      <c r="G29" s="46"/>
      <c r="H29" s="46"/>
      <c r="I29" s="48"/>
    </row>
    <row r="30" spans="1:9">
      <c r="A30" s="48"/>
      <c r="B30" s="48"/>
      <c r="C30" s="48"/>
      <c r="D30" s="48"/>
      <c r="E30" s="48"/>
      <c r="F30" s="48"/>
      <c r="G30" s="48"/>
      <c r="H30" s="48"/>
      <c r="I30" s="48"/>
    </row>
    <row r="31" spans="1:9">
      <c r="A31" s="63" t="s">
        <v>279</v>
      </c>
      <c r="B31" s="64" t="s">
        <v>280</v>
      </c>
      <c r="C31" s="64" t="s">
        <v>281</v>
      </c>
      <c r="D31" s="64" t="s">
        <v>282</v>
      </c>
      <c r="E31" s="97" t="s">
        <v>283</v>
      </c>
      <c r="F31" s="64" t="s">
        <v>284</v>
      </c>
      <c r="G31" s="64" t="s">
        <v>152</v>
      </c>
      <c r="H31" s="65" t="s">
        <v>285</v>
      </c>
      <c r="I31" s="48"/>
    </row>
    <row r="32" spans="1:9">
      <c r="A32" s="66" t="s">
        <v>279</v>
      </c>
      <c r="B32" s="67" t="s">
        <v>286</v>
      </c>
      <c r="C32" s="67" t="s">
        <v>287</v>
      </c>
      <c r="D32" s="67" t="s">
        <v>288</v>
      </c>
      <c r="E32" s="98" t="s">
        <v>289</v>
      </c>
      <c r="F32" s="67" t="s">
        <v>290</v>
      </c>
      <c r="G32" s="67" t="s">
        <v>152</v>
      </c>
      <c r="H32" s="68" t="s">
        <v>291</v>
      </c>
      <c r="I32" s="48"/>
    </row>
    <row r="33" spans="1:9">
      <c r="A33" s="69" t="s">
        <v>292</v>
      </c>
      <c r="B33" s="70" t="s">
        <v>293</v>
      </c>
      <c r="C33" s="70" t="s">
        <v>294</v>
      </c>
      <c r="D33" s="70" t="s">
        <v>295</v>
      </c>
      <c r="E33" s="99" t="s">
        <v>296</v>
      </c>
      <c r="F33" s="70" t="s">
        <v>297</v>
      </c>
      <c r="G33" s="70" t="s">
        <v>152</v>
      </c>
      <c r="H33" s="71" t="s">
        <v>298</v>
      </c>
      <c r="I33" s="48"/>
    </row>
    <row r="34" spans="1:9" ht="24.75">
      <c r="A34" s="92" t="s">
        <v>299</v>
      </c>
      <c r="B34" s="92" t="s">
        <v>300</v>
      </c>
      <c r="C34" s="92" t="s">
        <v>301</v>
      </c>
      <c r="D34" s="92" t="s">
        <v>302</v>
      </c>
      <c r="E34" s="100" t="s">
        <v>221</v>
      </c>
      <c r="F34" s="92" t="s">
        <v>303</v>
      </c>
      <c r="G34" s="92" t="s">
        <v>152</v>
      </c>
      <c r="H34" s="92" t="s">
        <v>304</v>
      </c>
      <c r="I34" s="48"/>
    </row>
    <row r="35" spans="1:9" ht="37.5">
      <c r="A35" s="92" t="s">
        <v>299</v>
      </c>
      <c r="B35" s="92" t="s">
        <v>305</v>
      </c>
      <c r="C35" s="92" t="s">
        <v>306</v>
      </c>
      <c r="D35" s="92" t="s">
        <v>307</v>
      </c>
      <c r="E35" s="100" t="s">
        <v>308</v>
      </c>
      <c r="F35" s="92" t="s">
        <v>309</v>
      </c>
      <c r="G35" s="92" t="s">
        <v>152</v>
      </c>
      <c r="H35" s="92" t="s">
        <v>310</v>
      </c>
      <c r="I35" s="48"/>
    </row>
  </sheetData>
  <dataValidations count="1">
    <dataValidation type="list" allowBlank="1" sqref="G6:G28" xr:uid="{00000000-0002-0000-0800-000000000000}">
      <formula1>"Not Started,In Progress,Needs Review,Complete,Not Applicable,Blocked"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V420"/>
  <sheetViews>
    <sheetView showGridLines="0" topLeftCell="A183" workbookViewId="0">
      <selection activeCell="P4" sqref="P4"/>
    </sheetView>
  </sheetViews>
  <sheetFormatPr defaultRowHeight="15"/>
  <cols>
    <col min="1" max="1" width="35.28515625" style="3" customWidth="1"/>
    <col min="2" max="2" width="25" style="3" customWidth="1"/>
    <col min="3" max="3" width="34" style="3" customWidth="1"/>
    <col min="4" max="4" width="30.42578125" style="3" customWidth="1"/>
    <col min="5" max="5" width="18" style="3" customWidth="1"/>
    <col min="6" max="6" width="28" style="3" customWidth="1"/>
    <col min="7" max="7" width="34" style="3" customWidth="1"/>
    <col min="8" max="8" width="13.85546875" style="3" customWidth="1"/>
    <col min="9" max="9" width="12" style="3" customWidth="1"/>
    <col min="10" max="10" width="18" style="3" customWidth="1"/>
    <col min="11" max="11" width="20" style="3" customWidth="1"/>
    <col min="12" max="12" width="22" customWidth="1"/>
    <col min="13" max="14" width="9.140625" style="3" customWidth="1"/>
    <col min="15" max="16384" width="9.140625" style="3"/>
  </cols>
  <sheetData>
    <row r="1" spans="1:22" s="55" customFormat="1">
      <c r="A1" s="152" t="s">
        <v>311</v>
      </c>
      <c r="B1" s="152"/>
      <c r="C1" s="152"/>
      <c r="D1" s="152"/>
      <c r="E1" s="152"/>
      <c r="F1" s="152"/>
      <c r="G1" s="152"/>
      <c r="H1" s="152"/>
      <c r="I1" s="152"/>
      <c r="J1" s="152"/>
      <c r="K1" s="152"/>
      <c r="L1" s="152"/>
      <c r="M1" s="152"/>
      <c r="N1" s="152"/>
      <c r="O1" s="152"/>
      <c r="P1" s="152"/>
      <c r="Q1" s="152"/>
      <c r="R1" s="152"/>
      <c r="S1" s="152"/>
      <c r="T1" s="152"/>
      <c r="U1" s="152"/>
      <c r="V1" s="152"/>
    </row>
    <row r="2" spans="1:22" ht="80.25" customHeight="1">
      <c r="A2" s="146" t="s">
        <v>0</v>
      </c>
      <c r="B2" s="193"/>
      <c r="C2" s="193"/>
      <c r="D2" s="193"/>
      <c r="E2" s="146" t="s">
        <v>312</v>
      </c>
      <c r="F2" s="193"/>
      <c r="G2" s="146" t="s">
        <v>313</v>
      </c>
      <c r="H2" s="193"/>
      <c r="I2" s="193"/>
      <c r="J2" s="193"/>
      <c r="K2" s="193"/>
      <c r="L2" s="193"/>
      <c r="M2" s="55"/>
      <c r="N2" s="55"/>
      <c r="O2" s="55"/>
      <c r="P2" s="55"/>
      <c r="Q2" s="55"/>
      <c r="R2" s="55"/>
      <c r="S2" s="55"/>
      <c r="T2" s="55"/>
      <c r="U2" s="55"/>
      <c r="V2" s="55"/>
    </row>
    <row r="3" spans="1:22" ht="30" customHeight="1">
      <c r="A3" s="153" t="s">
        <v>314</v>
      </c>
      <c r="B3" s="193"/>
      <c r="C3" s="147" t="s">
        <v>315</v>
      </c>
      <c r="D3" s="193"/>
      <c r="E3" s="148" t="s">
        <v>316</v>
      </c>
      <c r="F3" s="193"/>
      <c r="G3" s="148" t="s">
        <v>317</v>
      </c>
      <c r="H3" s="193"/>
      <c r="I3" s="148" t="s">
        <v>318</v>
      </c>
      <c r="J3" s="193"/>
      <c r="K3" s="148" t="s">
        <v>319</v>
      </c>
      <c r="L3" s="193"/>
      <c r="M3" s="55"/>
      <c r="N3" s="55"/>
      <c r="O3" s="55"/>
      <c r="P3" s="55"/>
      <c r="Q3" s="55"/>
      <c r="R3" s="55"/>
      <c r="S3" s="55"/>
      <c r="T3" s="55"/>
      <c r="U3" s="55"/>
      <c r="V3" s="55"/>
    </row>
    <row r="4" spans="1:22" s="2" customFormat="1" ht="24" customHeight="1">
      <c r="A4" s="193"/>
      <c r="B4" s="193"/>
      <c r="C4" s="54"/>
      <c r="D4" s="54"/>
      <c r="E4" s="151" t="s">
        <v>320</v>
      </c>
      <c r="F4" s="193"/>
      <c r="G4" s="151" t="s">
        <v>320</v>
      </c>
      <c r="H4" s="193"/>
      <c r="I4" s="151" t="s">
        <v>320</v>
      </c>
      <c r="J4" s="193"/>
      <c r="K4" s="151" t="s">
        <v>320</v>
      </c>
      <c r="L4" s="193"/>
      <c r="M4" s="55"/>
      <c r="N4" s="55"/>
      <c r="O4" s="55"/>
      <c r="P4" s="55"/>
      <c r="Q4" s="55"/>
      <c r="R4" s="55"/>
      <c r="S4" s="55"/>
      <c r="T4" s="55"/>
      <c r="U4" s="55"/>
      <c r="V4" s="55"/>
    </row>
    <row r="5" spans="1:22" s="2" customFormat="1" ht="18.95" customHeight="1">
      <c r="A5" s="55"/>
      <c r="B5" s="55"/>
      <c r="C5" s="55"/>
      <c r="D5" s="55"/>
      <c r="E5" s="55"/>
      <c r="F5" s="55"/>
      <c r="G5" s="55"/>
      <c r="H5" s="55"/>
      <c r="I5" s="55"/>
      <c r="J5" s="55"/>
      <c r="K5" s="55"/>
      <c r="L5" s="55"/>
      <c r="M5" s="55"/>
      <c r="N5" s="55"/>
      <c r="O5" s="55"/>
      <c r="P5" s="55"/>
      <c r="Q5" s="55"/>
      <c r="R5" s="55"/>
      <c r="S5" s="55"/>
      <c r="T5" s="55"/>
      <c r="U5" s="55"/>
      <c r="V5" s="55"/>
    </row>
    <row r="6" spans="1:22" s="2" customFormat="1" ht="26.1" customHeight="1">
      <c r="A6" s="150" t="s">
        <v>321</v>
      </c>
      <c r="B6" s="194"/>
      <c r="C6" s="194"/>
      <c r="D6" s="194"/>
      <c r="E6" s="194"/>
      <c r="F6" s="194"/>
      <c r="G6" s="194"/>
      <c r="H6" s="194"/>
      <c r="I6" s="194"/>
      <c r="J6" s="194"/>
      <c r="K6" s="194"/>
      <c r="L6" s="195"/>
      <c r="M6" s="55"/>
      <c r="N6" s="55"/>
      <c r="O6" s="55"/>
      <c r="P6" s="55"/>
      <c r="Q6" s="55"/>
      <c r="R6" s="55"/>
      <c r="S6" s="55"/>
      <c r="T6" s="55"/>
      <c r="U6" s="55"/>
      <c r="V6" s="55"/>
    </row>
    <row r="7" spans="1:22" s="2" customFormat="1" ht="24" customHeight="1">
      <c r="A7" s="22" t="s">
        <v>322</v>
      </c>
      <c r="B7" s="22" t="s">
        <v>323</v>
      </c>
      <c r="C7" s="22" t="s">
        <v>324</v>
      </c>
      <c r="D7" s="22" t="s">
        <v>322</v>
      </c>
      <c r="E7" s="22" t="s">
        <v>323</v>
      </c>
      <c r="F7" s="22" t="s">
        <v>324</v>
      </c>
      <c r="G7" s="22"/>
      <c r="H7" s="22"/>
      <c r="I7" s="22"/>
      <c r="J7" s="22"/>
      <c r="K7" s="22"/>
      <c r="L7" s="22"/>
      <c r="M7" s="55"/>
      <c r="N7" s="55"/>
      <c r="O7" s="55"/>
      <c r="P7" s="55"/>
      <c r="Q7" s="55"/>
      <c r="R7" s="55"/>
      <c r="S7" s="55"/>
      <c r="T7" s="55"/>
      <c r="U7" s="55"/>
      <c r="V7" s="55"/>
    </row>
    <row r="8" spans="1:22" s="4" customFormat="1" ht="21" customHeight="1">
      <c r="A8" s="23" t="s">
        <v>325</v>
      </c>
      <c r="B8" s="24"/>
      <c r="C8" s="24"/>
      <c r="D8" s="23" t="s">
        <v>326</v>
      </c>
      <c r="E8" s="24"/>
      <c r="F8" s="24"/>
      <c r="G8" s="48"/>
      <c r="H8" s="48"/>
      <c r="I8" s="48"/>
      <c r="J8" s="48"/>
      <c r="K8" s="48"/>
      <c r="L8" s="48"/>
      <c r="M8" s="107"/>
      <c r="N8" s="107"/>
      <c r="O8" s="107"/>
      <c r="P8" s="107"/>
      <c r="Q8" s="107"/>
      <c r="R8" s="107"/>
      <c r="S8" s="107"/>
      <c r="T8" s="107"/>
      <c r="U8" s="107"/>
      <c r="V8" s="107"/>
    </row>
    <row r="9" spans="1:22" s="4" customFormat="1" ht="21" customHeight="1">
      <c r="A9" s="23" t="s">
        <v>327</v>
      </c>
      <c r="B9" s="24"/>
      <c r="C9" s="24"/>
      <c r="D9" s="23" t="s">
        <v>328</v>
      </c>
      <c r="E9" s="24"/>
      <c r="F9" s="24"/>
      <c r="G9" s="48"/>
      <c r="H9" s="48"/>
      <c r="I9" s="48"/>
      <c r="J9" s="48"/>
      <c r="K9" s="48"/>
      <c r="L9" s="48"/>
      <c r="M9" s="107"/>
      <c r="N9" s="107"/>
      <c r="O9" s="107"/>
      <c r="P9" s="107"/>
      <c r="Q9" s="107"/>
      <c r="R9" s="107"/>
      <c r="S9" s="107"/>
      <c r="T9" s="107"/>
      <c r="U9" s="107"/>
      <c r="V9" s="107"/>
    </row>
    <row r="10" spans="1:22" s="4" customFormat="1" ht="21" customHeight="1">
      <c r="A10" s="23" t="s">
        <v>329</v>
      </c>
      <c r="B10" s="24"/>
      <c r="C10" s="24"/>
      <c r="D10" s="23" t="s">
        <v>330</v>
      </c>
      <c r="E10" s="24"/>
      <c r="F10" s="24"/>
      <c r="G10" s="48"/>
      <c r="H10" s="48"/>
      <c r="I10" s="48"/>
      <c r="J10" s="48"/>
      <c r="K10" s="48"/>
      <c r="L10" s="48"/>
      <c r="M10" s="107"/>
      <c r="N10" s="107"/>
      <c r="O10" s="107"/>
      <c r="P10" s="107"/>
      <c r="Q10" s="107"/>
      <c r="R10" s="107"/>
      <c r="S10" s="107"/>
      <c r="T10" s="107"/>
      <c r="U10" s="107"/>
      <c r="V10" s="107"/>
    </row>
    <row r="11" spans="1:22" ht="21" customHeight="1">
      <c r="A11" s="23" t="s">
        <v>331</v>
      </c>
      <c r="B11" s="24"/>
      <c r="C11" s="24"/>
      <c r="D11" s="23" t="s">
        <v>332</v>
      </c>
      <c r="E11" s="24"/>
      <c r="F11" s="24"/>
      <c r="G11" s="48"/>
      <c r="H11" s="48"/>
      <c r="I11" s="48"/>
      <c r="J11" s="48"/>
      <c r="K11" s="48"/>
      <c r="L11" s="48"/>
      <c r="M11" s="55"/>
      <c r="N11" s="55"/>
      <c r="O11" s="55"/>
      <c r="P11" s="55"/>
      <c r="Q11" s="55"/>
      <c r="R11" s="55"/>
      <c r="S11" s="55"/>
      <c r="T11" s="55"/>
      <c r="U11" s="55"/>
      <c r="V11" s="55"/>
    </row>
    <row r="12" spans="1:22" ht="21" customHeight="1">
      <c r="A12" s="23" t="s">
        <v>333</v>
      </c>
      <c r="B12" s="24"/>
      <c r="C12" s="24"/>
      <c r="D12" s="23" t="s">
        <v>334</v>
      </c>
      <c r="E12" s="24"/>
      <c r="F12" s="24"/>
      <c r="G12" s="48"/>
      <c r="H12" s="48"/>
      <c r="I12" s="48"/>
      <c r="J12" s="48"/>
      <c r="K12" s="48"/>
      <c r="L12" s="48"/>
      <c r="M12" s="55"/>
      <c r="N12" s="55"/>
      <c r="O12" s="55"/>
      <c r="P12" s="55"/>
      <c r="Q12" s="55"/>
      <c r="R12" s="55"/>
      <c r="S12" s="55"/>
      <c r="T12" s="55"/>
      <c r="U12" s="55"/>
      <c r="V12" s="55"/>
    </row>
    <row r="13" spans="1:22" s="2" customFormat="1" ht="18.95" customHeight="1">
      <c r="A13" s="55"/>
      <c r="B13" s="55"/>
      <c r="C13" s="55"/>
      <c r="D13" s="55"/>
      <c r="E13" s="55"/>
      <c r="F13" s="55"/>
      <c r="G13" s="55"/>
      <c r="H13" s="55"/>
      <c r="I13" s="55"/>
      <c r="J13" s="55"/>
      <c r="K13" s="55"/>
      <c r="L13" s="55"/>
      <c r="M13" s="55"/>
      <c r="N13" s="55"/>
      <c r="O13" s="55"/>
      <c r="P13" s="55"/>
      <c r="Q13" s="55"/>
      <c r="R13" s="55"/>
      <c r="S13" s="55"/>
      <c r="T13" s="55"/>
      <c r="U13" s="55"/>
      <c r="V13" s="55"/>
    </row>
    <row r="14" spans="1:22" s="2" customFormat="1" ht="33.950000000000003" customHeight="1">
      <c r="A14" s="150" t="s">
        <v>335</v>
      </c>
      <c r="B14" s="194"/>
      <c r="C14" s="194"/>
      <c r="D14" s="194"/>
      <c r="E14" s="194"/>
      <c r="F14" s="194"/>
      <c r="G14" s="194"/>
      <c r="H14" s="194"/>
      <c r="I14" s="194"/>
      <c r="J14" s="194"/>
      <c r="K14" s="194"/>
      <c r="L14" s="195"/>
      <c r="M14" s="55"/>
      <c r="N14" s="55"/>
      <c r="O14" s="55"/>
      <c r="P14" s="55"/>
      <c r="Q14" s="55"/>
      <c r="R14" s="55"/>
      <c r="S14" s="55"/>
      <c r="T14" s="55"/>
      <c r="U14" s="55"/>
      <c r="V14" s="55"/>
    </row>
    <row r="15" spans="1:22" s="2" customFormat="1" ht="26.1" customHeight="1">
      <c r="A15" s="22" t="s">
        <v>143</v>
      </c>
      <c r="B15" s="22" t="s">
        <v>336</v>
      </c>
      <c r="C15" s="22" t="s">
        <v>337</v>
      </c>
      <c r="D15" s="22" t="s">
        <v>338</v>
      </c>
      <c r="E15" s="22" t="s">
        <v>339</v>
      </c>
      <c r="F15" s="22" t="s">
        <v>144</v>
      </c>
      <c r="G15" s="22" t="s">
        <v>340</v>
      </c>
      <c r="H15" s="22" t="s">
        <v>341</v>
      </c>
      <c r="I15" s="22" t="s">
        <v>342</v>
      </c>
      <c r="J15" s="22"/>
      <c r="K15" s="22"/>
      <c r="L15" s="22"/>
      <c r="M15" s="55"/>
      <c r="N15" s="55"/>
      <c r="O15" s="55"/>
      <c r="P15" s="55"/>
      <c r="Q15" s="55"/>
      <c r="R15" s="55"/>
      <c r="S15" s="55"/>
      <c r="T15" s="55"/>
      <c r="U15" s="55"/>
      <c r="V15" s="55"/>
    </row>
    <row r="16" spans="1:22" s="2" customFormat="1" ht="44.1" customHeight="1">
      <c r="A16" s="25" t="s">
        <v>343</v>
      </c>
      <c r="B16" s="26" t="s">
        <v>344</v>
      </c>
      <c r="C16" s="27" t="s">
        <v>345</v>
      </c>
      <c r="D16" s="27" t="s">
        <v>152</v>
      </c>
      <c r="E16" s="27"/>
      <c r="F16" s="27"/>
      <c r="G16" s="27"/>
      <c r="H16" s="28" t="s">
        <v>346</v>
      </c>
      <c r="I16" s="27"/>
      <c r="J16" s="55"/>
      <c r="K16" s="55"/>
      <c r="L16" s="55"/>
      <c r="M16" s="55"/>
      <c r="N16" s="55"/>
      <c r="O16" s="55"/>
      <c r="P16" s="55"/>
      <c r="Q16" s="55"/>
      <c r="R16" s="55"/>
      <c r="S16" s="55"/>
      <c r="T16" s="55"/>
      <c r="U16" s="55"/>
      <c r="V16" s="55"/>
    </row>
    <row r="17" spans="1:22" s="2" customFormat="1" ht="33.950000000000003" customHeight="1">
      <c r="A17" s="25" t="s">
        <v>347</v>
      </c>
      <c r="B17" s="26" t="s">
        <v>348</v>
      </c>
      <c r="C17" s="27" t="s">
        <v>349</v>
      </c>
      <c r="D17" s="27" t="s">
        <v>152</v>
      </c>
      <c r="E17" s="27"/>
      <c r="F17" s="27"/>
      <c r="G17" s="27"/>
      <c r="H17" s="28" t="s">
        <v>346</v>
      </c>
      <c r="I17" s="27"/>
      <c r="J17" s="55"/>
      <c r="K17" s="55"/>
      <c r="L17" s="55"/>
      <c r="M17" s="55"/>
      <c r="N17" s="55"/>
      <c r="O17" s="55"/>
      <c r="P17" s="55"/>
      <c r="Q17" s="55"/>
      <c r="R17" s="55"/>
      <c r="S17" s="55"/>
      <c r="T17" s="55"/>
      <c r="U17" s="55"/>
      <c r="V17" s="55"/>
    </row>
    <row r="18" spans="1:22" s="2" customFormat="1" ht="33.950000000000003" customHeight="1">
      <c r="A18" s="25" t="s">
        <v>350</v>
      </c>
      <c r="B18" s="26" t="s">
        <v>351</v>
      </c>
      <c r="C18" s="27" t="s">
        <v>352</v>
      </c>
      <c r="D18" s="27" t="s">
        <v>152</v>
      </c>
      <c r="E18" s="27"/>
      <c r="F18" s="27"/>
      <c r="G18" s="27"/>
      <c r="H18" s="28" t="s">
        <v>346</v>
      </c>
      <c r="I18" s="27"/>
      <c r="J18" s="55"/>
      <c r="K18" s="55"/>
      <c r="L18" s="55"/>
      <c r="M18" s="55"/>
      <c r="N18" s="55"/>
      <c r="O18" s="55"/>
      <c r="P18" s="55"/>
      <c r="Q18" s="55"/>
      <c r="R18" s="55"/>
      <c r="S18" s="55"/>
      <c r="T18" s="55"/>
      <c r="U18" s="55"/>
      <c r="V18" s="55"/>
    </row>
    <row r="19" spans="1:22" ht="18.95" customHeight="1">
      <c r="A19" s="55"/>
      <c r="B19" s="55"/>
      <c r="C19" s="55"/>
      <c r="D19" s="55"/>
      <c r="E19" s="55"/>
      <c r="F19" s="55"/>
      <c r="G19" s="55"/>
      <c r="H19" s="55"/>
      <c r="I19" s="55"/>
      <c r="J19" s="55"/>
      <c r="K19" s="55"/>
      <c r="L19" s="48"/>
      <c r="M19" s="55"/>
      <c r="N19" s="55"/>
      <c r="O19" s="55"/>
      <c r="P19" s="55"/>
      <c r="Q19" s="55"/>
      <c r="R19" s="55"/>
      <c r="S19" s="55"/>
      <c r="T19" s="55"/>
      <c r="U19" s="55"/>
      <c r="V19" s="55"/>
    </row>
    <row r="20" spans="1:22" ht="21" customHeight="1">
      <c r="A20" s="150" t="s">
        <v>353</v>
      </c>
      <c r="B20" s="194"/>
      <c r="C20" s="194"/>
      <c r="D20" s="194"/>
      <c r="E20" s="194"/>
      <c r="F20" s="194"/>
      <c r="G20" s="194"/>
      <c r="H20" s="194"/>
      <c r="I20" s="194"/>
      <c r="J20" s="194"/>
      <c r="K20" s="194"/>
      <c r="L20" s="195"/>
      <c r="M20" s="55"/>
      <c r="N20" s="55"/>
      <c r="O20" s="55"/>
      <c r="P20" s="55"/>
      <c r="Q20" s="55"/>
      <c r="R20" s="55"/>
      <c r="S20" s="55"/>
      <c r="T20" s="55"/>
      <c r="U20" s="55"/>
      <c r="V20" s="55"/>
    </row>
    <row r="21" spans="1:22" s="2" customFormat="1" ht="26.1" customHeight="1">
      <c r="A21" s="22" t="s">
        <v>143</v>
      </c>
      <c r="B21" s="22" t="s">
        <v>348</v>
      </c>
      <c r="C21" s="22" t="s">
        <v>354</v>
      </c>
      <c r="D21" s="22" t="s">
        <v>355</v>
      </c>
      <c r="E21" s="22" t="s">
        <v>356</v>
      </c>
      <c r="F21" s="22" t="s">
        <v>357</v>
      </c>
      <c r="G21" s="22" t="s">
        <v>358</v>
      </c>
      <c r="H21" s="22"/>
      <c r="I21" s="22"/>
      <c r="J21" s="22"/>
      <c r="K21" s="22"/>
      <c r="L21" s="22"/>
      <c r="M21" s="55"/>
      <c r="N21" s="55"/>
      <c r="O21" s="55"/>
      <c r="P21" s="55"/>
      <c r="Q21" s="55"/>
      <c r="R21" s="55"/>
      <c r="S21" s="55"/>
      <c r="T21" s="55"/>
      <c r="U21" s="55"/>
      <c r="V21" s="55"/>
    </row>
    <row r="22" spans="1:22" s="2" customFormat="1" ht="26.1" customHeight="1">
      <c r="A22" s="24" t="s">
        <v>347</v>
      </c>
      <c r="B22" s="29" t="s">
        <v>359</v>
      </c>
      <c r="C22" s="60" t="b">
        <v>0</v>
      </c>
      <c r="D22" s="24" t="s">
        <v>360</v>
      </c>
      <c r="E22" s="24"/>
      <c r="F22" s="24"/>
      <c r="G22" s="24"/>
      <c r="H22" s="55"/>
      <c r="I22" s="55"/>
      <c r="J22" s="55"/>
      <c r="K22" s="55"/>
      <c r="L22" s="55"/>
      <c r="M22" s="55"/>
      <c r="N22" s="55"/>
      <c r="O22" s="55"/>
      <c r="P22" s="55"/>
      <c r="Q22" s="55"/>
      <c r="R22" s="55"/>
      <c r="S22" s="55"/>
      <c r="T22" s="55"/>
      <c r="U22" s="55"/>
      <c r="V22" s="55"/>
    </row>
    <row r="23" spans="1:22" s="2" customFormat="1" ht="26.1" customHeight="1">
      <c r="A23" s="24" t="s">
        <v>347</v>
      </c>
      <c r="B23" s="29" t="s">
        <v>361</v>
      </c>
      <c r="C23" s="60" t="b">
        <v>0</v>
      </c>
      <c r="D23" s="24" t="s">
        <v>360</v>
      </c>
      <c r="E23" s="24"/>
      <c r="F23" s="24"/>
      <c r="G23" s="24"/>
      <c r="H23" s="55"/>
      <c r="I23" s="55"/>
      <c r="J23" s="55"/>
      <c r="K23" s="55"/>
      <c r="L23" s="55"/>
      <c r="M23" s="55"/>
      <c r="N23" s="55"/>
      <c r="O23" s="55"/>
      <c r="P23" s="55"/>
      <c r="Q23" s="55"/>
      <c r="R23" s="55"/>
      <c r="S23" s="55"/>
      <c r="T23" s="55"/>
      <c r="U23" s="55"/>
      <c r="V23" s="55"/>
    </row>
    <row r="24" spans="1:22" s="2" customFormat="1" ht="26.1" customHeight="1">
      <c r="A24" s="24" t="s">
        <v>347</v>
      </c>
      <c r="B24" s="29" t="s">
        <v>362</v>
      </c>
      <c r="C24" s="60" t="b">
        <v>0</v>
      </c>
      <c r="D24" s="24" t="s">
        <v>360</v>
      </c>
      <c r="E24" s="24"/>
      <c r="F24" s="24"/>
      <c r="G24" s="24"/>
      <c r="H24" s="55"/>
      <c r="I24" s="55"/>
      <c r="J24" s="55"/>
      <c r="K24" s="55"/>
      <c r="L24" s="55"/>
      <c r="M24" s="55"/>
      <c r="N24" s="55"/>
      <c r="O24" s="55"/>
      <c r="P24" s="55"/>
      <c r="Q24" s="55"/>
      <c r="R24" s="55"/>
      <c r="S24" s="55"/>
      <c r="T24" s="55"/>
      <c r="U24" s="55"/>
      <c r="V24" s="55"/>
    </row>
    <row r="25" spans="1:22" s="2" customFormat="1" ht="26.1" customHeight="1">
      <c r="A25" s="24" t="s">
        <v>347</v>
      </c>
      <c r="B25" s="29" t="s">
        <v>363</v>
      </c>
      <c r="C25" s="60" t="b">
        <v>0</v>
      </c>
      <c r="D25" s="24" t="s">
        <v>360</v>
      </c>
      <c r="E25" s="24"/>
      <c r="F25" s="24"/>
      <c r="G25" s="24"/>
      <c r="H25" s="55"/>
      <c r="I25" s="55"/>
      <c r="J25" s="55"/>
      <c r="K25" s="55"/>
      <c r="L25" s="55"/>
      <c r="M25" s="55"/>
      <c r="N25" s="55"/>
      <c r="O25" s="55"/>
      <c r="P25" s="55"/>
      <c r="Q25" s="55"/>
      <c r="R25" s="55"/>
      <c r="S25" s="55"/>
      <c r="T25" s="55"/>
      <c r="U25" s="55"/>
      <c r="V25" s="55"/>
    </row>
    <row r="26" spans="1:22" s="2" customFormat="1" ht="26.1" customHeight="1">
      <c r="A26" s="24" t="s">
        <v>347</v>
      </c>
      <c r="B26" s="29" t="s">
        <v>364</v>
      </c>
      <c r="C26" s="60" t="b">
        <v>0</v>
      </c>
      <c r="D26" s="24" t="s">
        <v>360</v>
      </c>
      <c r="E26" s="24"/>
      <c r="F26" s="24"/>
      <c r="G26" s="24"/>
      <c r="H26" s="55"/>
      <c r="I26" s="55"/>
      <c r="J26" s="55"/>
      <c r="K26" s="55"/>
      <c r="L26" s="55"/>
      <c r="M26" s="55"/>
      <c r="N26" s="55"/>
      <c r="O26" s="55"/>
      <c r="P26" s="55"/>
      <c r="Q26" s="55"/>
      <c r="R26" s="55"/>
      <c r="S26" s="55"/>
      <c r="T26" s="55"/>
      <c r="U26" s="55"/>
      <c r="V26" s="55"/>
    </row>
    <row r="27" spans="1:22" ht="26.1" customHeight="1">
      <c r="A27" s="24" t="s">
        <v>347</v>
      </c>
      <c r="B27" s="29" t="s">
        <v>365</v>
      </c>
      <c r="C27" s="60" t="b">
        <v>0</v>
      </c>
      <c r="D27" s="24" t="s">
        <v>360</v>
      </c>
      <c r="E27" s="24"/>
      <c r="F27" s="24"/>
      <c r="G27" s="24"/>
      <c r="H27" s="55"/>
      <c r="I27" s="55"/>
      <c r="J27" s="55"/>
      <c r="K27" s="55"/>
      <c r="L27" s="48"/>
      <c r="M27" s="55"/>
      <c r="N27" s="55"/>
      <c r="O27" s="55"/>
      <c r="P27" s="55"/>
      <c r="Q27" s="55"/>
      <c r="R27" s="55"/>
      <c r="S27" s="55"/>
      <c r="T27" s="55"/>
      <c r="U27" s="55"/>
      <c r="V27" s="55"/>
    </row>
    <row r="28" spans="1:22" s="2" customFormat="1" ht="26.1" customHeight="1">
      <c r="A28" s="24" t="s">
        <v>347</v>
      </c>
      <c r="B28" s="29" t="s">
        <v>366</v>
      </c>
      <c r="C28" s="60" t="b">
        <v>0</v>
      </c>
      <c r="D28" s="24" t="s">
        <v>360</v>
      </c>
      <c r="E28" s="24"/>
      <c r="F28" s="24"/>
      <c r="G28" s="24"/>
      <c r="H28" s="55"/>
      <c r="I28" s="55"/>
      <c r="J28" s="55"/>
      <c r="K28" s="55"/>
      <c r="L28" s="55"/>
      <c r="M28" s="55"/>
      <c r="N28" s="55"/>
      <c r="O28" s="55"/>
      <c r="P28" s="55"/>
      <c r="Q28" s="55"/>
      <c r="R28" s="55"/>
      <c r="S28" s="55"/>
      <c r="T28" s="55"/>
      <c r="U28" s="55"/>
      <c r="V28" s="55"/>
    </row>
    <row r="29" spans="1:22" ht="26.1" customHeight="1">
      <c r="A29" s="24" t="s">
        <v>347</v>
      </c>
      <c r="B29" s="29" t="s">
        <v>367</v>
      </c>
      <c r="C29" s="60" t="b">
        <v>0</v>
      </c>
      <c r="D29" s="24" t="s">
        <v>360</v>
      </c>
      <c r="E29" s="24"/>
      <c r="F29" s="24"/>
      <c r="G29" s="24"/>
      <c r="H29" s="55"/>
      <c r="I29" s="55"/>
      <c r="J29" s="55"/>
      <c r="K29" s="55"/>
      <c r="L29" s="48"/>
      <c r="M29" s="55"/>
      <c r="N29" s="55"/>
      <c r="O29" s="55"/>
      <c r="P29" s="55"/>
      <c r="Q29" s="55"/>
      <c r="R29" s="55"/>
      <c r="S29" s="55"/>
      <c r="T29" s="55"/>
      <c r="U29" s="55"/>
      <c r="V29" s="55"/>
    </row>
    <row r="30" spans="1:22" ht="26.1" customHeight="1">
      <c r="A30" s="24" t="s">
        <v>347</v>
      </c>
      <c r="B30" s="29" t="s">
        <v>368</v>
      </c>
      <c r="C30" s="60" t="b">
        <v>0</v>
      </c>
      <c r="D30" s="24" t="s">
        <v>360</v>
      </c>
      <c r="E30" s="24"/>
      <c r="F30" s="24"/>
      <c r="G30" s="24"/>
      <c r="H30" s="55"/>
      <c r="I30" s="55"/>
      <c r="J30" s="55"/>
      <c r="K30" s="55"/>
      <c r="L30" s="48"/>
      <c r="M30" s="55"/>
      <c r="N30" s="55"/>
      <c r="O30" s="55"/>
      <c r="P30" s="55"/>
      <c r="Q30" s="55"/>
      <c r="R30" s="55"/>
      <c r="S30" s="55"/>
      <c r="T30" s="55"/>
      <c r="U30" s="55"/>
      <c r="V30" s="55"/>
    </row>
    <row r="31" spans="1:22" ht="26.1" customHeight="1">
      <c r="A31" s="24" t="s">
        <v>347</v>
      </c>
      <c r="B31" s="29" t="s">
        <v>369</v>
      </c>
      <c r="C31" s="60" t="b">
        <v>0</v>
      </c>
      <c r="D31" s="24" t="s">
        <v>360</v>
      </c>
      <c r="E31" s="24"/>
      <c r="F31" s="24"/>
      <c r="G31" s="24"/>
      <c r="H31" s="55"/>
      <c r="I31" s="55"/>
      <c r="J31" s="55"/>
      <c r="K31" s="55"/>
      <c r="L31" s="48"/>
      <c r="M31" s="55"/>
      <c r="N31" s="55"/>
      <c r="O31" s="55"/>
      <c r="P31" s="55"/>
      <c r="Q31" s="55"/>
      <c r="R31" s="55"/>
      <c r="S31" s="55"/>
      <c r="T31" s="55"/>
      <c r="U31" s="55"/>
      <c r="V31" s="55"/>
    </row>
    <row r="32" spans="1:22" ht="26.1" customHeight="1">
      <c r="A32" s="24" t="s">
        <v>347</v>
      </c>
      <c r="B32" s="29" t="s">
        <v>370</v>
      </c>
      <c r="C32" s="60" t="b">
        <v>0</v>
      </c>
      <c r="D32" s="24" t="s">
        <v>360</v>
      </c>
      <c r="E32" s="24"/>
      <c r="F32" s="24"/>
      <c r="G32" s="24"/>
      <c r="H32" s="55"/>
      <c r="I32" s="55"/>
      <c r="J32" s="55"/>
      <c r="K32" s="55"/>
      <c r="L32" s="48"/>
      <c r="M32" s="55"/>
      <c r="N32" s="55"/>
      <c r="O32" s="55"/>
      <c r="P32" s="55"/>
      <c r="Q32" s="55"/>
      <c r="R32" s="55"/>
      <c r="S32" s="55"/>
      <c r="T32" s="55"/>
      <c r="U32" s="55"/>
      <c r="V32" s="55"/>
    </row>
    <row r="33" spans="1:22" ht="26.1" customHeight="1">
      <c r="A33" s="24" t="s">
        <v>347</v>
      </c>
      <c r="B33" s="29" t="s">
        <v>371</v>
      </c>
      <c r="C33" s="60" t="b">
        <v>0</v>
      </c>
      <c r="D33" s="24" t="s">
        <v>360</v>
      </c>
      <c r="E33" s="24"/>
      <c r="F33" s="24"/>
      <c r="G33" s="24"/>
      <c r="H33" s="55"/>
      <c r="I33" s="55"/>
      <c r="J33" s="55"/>
      <c r="K33" s="55"/>
      <c r="L33" s="48"/>
      <c r="M33" s="55"/>
      <c r="N33" s="55"/>
      <c r="O33" s="55"/>
      <c r="P33" s="55"/>
      <c r="Q33" s="55"/>
      <c r="R33" s="55"/>
      <c r="S33" s="55"/>
      <c r="T33" s="55"/>
      <c r="U33" s="55"/>
      <c r="V33" s="55"/>
    </row>
    <row r="34" spans="1:22" s="2" customFormat="1" ht="18.95" customHeight="1">
      <c r="A34" s="55"/>
      <c r="B34" s="55"/>
      <c r="C34" s="55"/>
      <c r="D34" s="55"/>
      <c r="E34" s="55"/>
      <c r="F34" s="55"/>
      <c r="G34" s="55"/>
      <c r="H34" s="55"/>
      <c r="I34" s="55"/>
      <c r="J34" s="55"/>
      <c r="K34" s="55"/>
      <c r="L34" s="55"/>
      <c r="M34" s="55"/>
      <c r="N34" s="55"/>
      <c r="O34" s="55"/>
      <c r="P34" s="55"/>
      <c r="Q34" s="55"/>
      <c r="R34" s="55"/>
      <c r="S34" s="55"/>
      <c r="T34" s="55"/>
      <c r="U34" s="55"/>
      <c r="V34" s="55"/>
    </row>
    <row r="35" spans="1:22" s="2" customFormat="1" ht="21" customHeight="1">
      <c r="A35" s="150" t="s">
        <v>372</v>
      </c>
      <c r="B35" s="194"/>
      <c r="C35" s="194"/>
      <c r="D35" s="194"/>
      <c r="E35" s="194"/>
      <c r="F35" s="194"/>
      <c r="G35" s="194"/>
      <c r="H35" s="194"/>
      <c r="I35" s="194"/>
      <c r="J35" s="194"/>
      <c r="K35" s="194"/>
      <c r="L35" s="195"/>
      <c r="M35" s="55"/>
      <c r="N35" s="55"/>
      <c r="O35" s="55"/>
      <c r="P35" s="55"/>
      <c r="Q35" s="55"/>
      <c r="R35" s="55"/>
      <c r="S35" s="55"/>
      <c r="T35" s="55"/>
      <c r="U35" s="55"/>
      <c r="V35" s="55"/>
    </row>
    <row r="36" spans="1:22" s="2" customFormat="1" ht="26.1" customHeight="1">
      <c r="A36" s="22" t="s">
        <v>143</v>
      </c>
      <c r="B36" s="22" t="s">
        <v>373</v>
      </c>
      <c r="C36" s="22" t="s">
        <v>354</v>
      </c>
      <c r="D36" s="22" t="s">
        <v>355</v>
      </c>
      <c r="E36" s="22" t="s">
        <v>356</v>
      </c>
      <c r="F36" s="22" t="s">
        <v>357</v>
      </c>
      <c r="G36" s="22" t="s">
        <v>358</v>
      </c>
      <c r="H36" s="22"/>
      <c r="I36" s="22"/>
      <c r="J36" s="22"/>
      <c r="K36" s="22"/>
      <c r="L36" s="22"/>
      <c r="M36" s="55"/>
      <c r="N36" s="55"/>
      <c r="O36" s="55"/>
      <c r="P36" s="55"/>
      <c r="Q36" s="55"/>
      <c r="R36" s="55"/>
      <c r="S36" s="55"/>
      <c r="T36" s="55"/>
      <c r="U36" s="55"/>
      <c r="V36" s="55"/>
    </row>
    <row r="37" spans="1:22" s="2" customFormat="1" ht="21" customHeight="1">
      <c r="A37" s="24" t="s">
        <v>347</v>
      </c>
      <c r="B37" s="29" t="s">
        <v>374</v>
      </c>
      <c r="C37" s="60" t="b">
        <v>0</v>
      </c>
      <c r="D37" s="24" t="s">
        <v>375</v>
      </c>
      <c r="E37" s="24"/>
      <c r="F37" s="24"/>
      <c r="G37" s="24"/>
      <c r="H37" s="55"/>
      <c r="I37" s="55"/>
      <c r="J37" s="55"/>
      <c r="K37" s="55"/>
      <c r="L37" s="55"/>
      <c r="M37" s="55"/>
      <c r="N37" s="55"/>
      <c r="O37" s="55"/>
      <c r="P37" s="55"/>
      <c r="Q37" s="55"/>
      <c r="R37" s="55"/>
      <c r="S37" s="55"/>
      <c r="T37" s="55"/>
      <c r="U37" s="55"/>
      <c r="V37" s="55"/>
    </row>
    <row r="38" spans="1:22" s="2" customFormat="1" ht="21" customHeight="1">
      <c r="A38" s="24" t="s">
        <v>347</v>
      </c>
      <c r="B38" s="29" t="s">
        <v>376</v>
      </c>
      <c r="C38" s="60" t="b">
        <v>0</v>
      </c>
      <c r="D38" s="24" t="s">
        <v>375</v>
      </c>
      <c r="E38" s="24"/>
      <c r="F38" s="24"/>
      <c r="G38" s="24"/>
      <c r="H38" s="55"/>
      <c r="I38" s="55"/>
      <c r="J38" s="55"/>
      <c r="K38" s="55"/>
      <c r="L38" s="55"/>
      <c r="M38" s="55"/>
      <c r="N38" s="55"/>
      <c r="O38" s="55"/>
      <c r="P38" s="55"/>
      <c r="Q38" s="55"/>
      <c r="R38" s="55"/>
      <c r="S38" s="55"/>
      <c r="T38" s="55"/>
      <c r="U38" s="55"/>
      <c r="V38" s="55"/>
    </row>
    <row r="39" spans="1:22" s="2" customFormat="1" ht="21" customHeight="1">
      <c r="A39" s="24" t="s">
        <v>347</v>
      </c>
      <c r="B39" s="29" t="s">
        <v>377</v>
      </c>
      <c r="C39" s="60" t="b">
        <v>0</v>
      </c>
      <c r="D39" s="24" t="s">
        <v>375</v>
      </c>
      <c r="E39" s="24"/>
      <c r="F39" s="24"/>
      <c r="G39" s="24"/>
      <c r="H39" s="55"/>
      <c r="I39" s="55"/>
      <c r="J39" s="55"/>
      <c r="K39" s="55"/>
      <c r="L39" s="55"/>
      <c r="M39" s="55"/>
      <c r="N39" s="55"/>
      <c r="O39" s="55"/>
      <c r="P39" s="55"/>
      <c r="Q39" s="55"/>
      <c r="R39" s="55"/>
      <c r="S39" s="55"/>
      <c r="T39" s="55"/>
      <c r="U39" s="55"/>
      <c r="V39" s="55"/>
    </row>
    <row r="40" spans="1:22" s="2" customFormat="1" ht="21" customHeight="1">
      <c r="A40" s="24" t="s">
        <v>347</v>
      </c>
      <c r="B40" s="29" t="s">
        <v>378</v>
      </c>
      <c r="C40" s="60" t="b">
        <v>0</v>
      </c>
      <c r="D40" s="24" t="s">
        <v>375</v>
      </c>
      <c r="E40" s="24"/>
      <c r="F40" s="24"/>
      <c r="G40" s="24"/>
      <c r="H40" s="55"/>
      <c r="I40" s="55"/>
      <c r="J40" s="55"/>
      <c r="K40" s="55"/>
      <c r="L40" s="55"/>
      <c r="M40" s="55"/>
      <c r="N40" s="55"/>
      <c r="O40" s="55"/>
      <c r="P40" s="55"/>
      <c r="Q40" s="55"/>
      <c r="R40" s="55"/>
      <c r="S40" s="55"/>
      <c r="T40" s="55"/>
      <c r="U40" s="55"/>
      <c r="V40" s="55"/>
    </row>
    <row r="41" spans="1:22" s="2" customFormat="1" ht="21" customHeight="1">
      <c r="A41" s="24" t="s">
        <v>347</v>
      </c>
      <c r="B41" s="29" t="s">
        <v>379</v>
      </c>
      <c r="C41" s="60" t="b">
        <v>0</v>
      </c>
      <c r="D41" s="24" t="s">
        <v>375</v>
      </c>
      <c r="E41" s="24"/>
      <c r="F41" s="24"/>
      <c r="G41" s="24"/>
      <c r="H41" s="55"/>
      <c r="I41" s="55"/>
      <c r="J41" s="55"/>
      <c r="K41" s="55"/>
      <c r="L41" s="55"/>
      <c r="M41" s="55"/>
      <c r="N41" s="55"/>
      <c r="O41" s="55"/>
      <c r="P41" s="55"/>
      <c r="Q41" s="55"/>
      <c r="R41" s="55"/>
      <c r="S41" s="55"/>
      <c r="T41" s="55"/>
      <c r="U41" s="55"/>
      <c r="V41" s="55"/>
    </row>
    <row r="42" spans="1:22" ht="21" customHeight="1">
      <c r="A42" s="24" t="s">
        <v>347</v>
      </c>
      <c r="B42" s="29" t="s">
        <v>380</v>
      </c>
      <c r="C42" s="60" t="b">
        <v>0</v>
      </c>
      <c r="D42" s="24" t="s">
        <v>375</v>
      </c>
      <c r="E42" s="24"/>
      <c r="F42" s="24"/>
      <c r="G42" s="24"/>
      <c r="H42" s="55"/>
      <c r="I42" s="55"/>
      <c r="J42" s="55"/>
      <c r="K42" s="55"/>
      <c r="L42" s="48"/>
      <c r="M42" s="55"/>
      <c r="N42" s="55"/>
      <c r="O42" s="55"/>
      <c r="P42" s="55"/>
      <c r="Q42" s="55"/>
      <c r="R42" s="55"/>
      <c r="S42" s="55"/>
      <c r="T42" s="55"/>
      <c r="U42" s="55"/>
      <c r="V42" s="55"/>
    </row>
    <row r="43" spans="1:22" ht="21" customHeight="1">
      <c r="A43" s="24" t="s">
        <v>347</v>
      </c>
      <c r="B43" s="29" t="s">
        <v>381</v>
      </c>
      <c r="C43" s="60" t="b">
        <v>0</v>
      </c>
      <c r="D43" s="24" t="s">
        <v>375</v>
      </c>
      <c r="E43" s="24"/>
      <c r="F43" s="24"/>
      <c r="G43" s="24"/>
      <c r="H43" s="55"/>
      <c r="I43" s="55"/>
      <c r="J43" s="55"/>
      <c r="K43" s="55"/>
      <c r="L43" s="48"/>
      <c r="M43" s="55"/>
      <c r="N43" s="55"/>
      <c r="O43" s="55"/>
      <c r="P43" s="55"/>
      <c r="Q43" s="55"/>
      <c r="R43" s="55"/>
      <c r="S43" s="55"/>
      <c r="T43" s="55"/>
      <c r="U43" s="55"/>
      <c r="V43" s="55"/>
    </row>
    <row r="44" spans="1:22" s="2" customFormat="1" ht="21" customHeight="1">
      <c r="A44" s="24" t="s">
        <v>347</v>
      </c>
      <c r="B44" s="29" t="s">
        <v>382</v>
      </c>
      <c r="C44" s="60" t="b">
        <v>0</v>
      </c>
      <c r="D44" s="24" t="s">
        <v>375</v>
      </c>
      <c r="E44" s="24"/>
      <c r="F44" s="24"/>
      <c r="G44" s="24"/>
      <c r="H44" s="55"/>
      <c r="I44" s="55"/>
      <c r="J44" s="55"/>
      <c r="K44" s="55"/>
      <c r="L44" s="55"/>
      <c r="M44" s="55"/>
      <c r="N44" s="55"/>
      <c r="O44" s="55"/>
      <c r="P44" s="55"/>
      <c r="Q44" s="55"/>
      <c r="R44" s="55"/>
      <c r="S44" s="55"/>
      <c r="T44" s="55"/>
      <c r="U44" s="55"/>
      <c r="V44" s="55"/>
    </row>
    <row r="45" spans="1:22" ht="21" customHeight="1">
      <c r="A45" s="24" t="s">
        <v>347</v>
      </c>
      <c r="B45" s="29" t="s">
        <v>383</v>
      </c>
      <c r="C45" s="60" t="b">
        <v>0</v>
      </c>
      <c r="D45" s="24" t="s">
        <v>375</v>
      </c>
      <c r="E45" s="24"/>
      <c r="F45" s="24"/>
      <c r="G45" s="24"/>
      <c r="H45" s="55"/>
      <c r="I45" s="55"/>
      <c r="J45" s="55"/>
      <c r="K45" s="55"/>
      <c r="L45" s="48"/>
      <c r="M45" s="55"/>
      <c r="N45" s="55"/>
      <c r="O45" s="55"/>
      <c r="P45" s="55"/>
      <c r="Q45" s="55"/>
      <c r="R45" s="55"/>
      <c r="S45" s="55"/>
      <c r="T45" s="55"/>
      <c r="U45" s="55"/>
      <c r="V45" s="55"/>
    </row>
    <row r="46" spans="1:22" ht="21" customHeight="1">
      <c r="A46" s="24" t="s">
        <v>347</v>
      </c>
      <c r="B46" s="29" t="s">
        <v>384</v>
      </c>
      <c r="C46" s="60" t="b">
        <v>0</v>
      </c>
      <c r="D46" s="24" t="s">
        <v>375</v>
      </c>
      <c r="E46" s="24"/>
      <c r="F46" s="24"/>
      <c r="G46" s="24"/>
      <c r="H46" s="55"/>
      <c r="I46" s="55"/>
      <c r="J46" s="55"/>
      <c r="K46" s="55"/>
      <c r="L46" s="48"/>
      <c r="M46" s="55"/>
      <c r="N46" s="55"/>
      <c r="O46" s="55"/>
      <c r="P46" s="55"/>
      <c r="Q46" s="55"/>
      <c r="R46" s="55"/>
      <c r="S46" s="55"/>
      <c r="T46" s="55"/>
      <c r="U46" s="55"/>
      <c r="V46" s="55"/>
    </row>
    <row r="47" spans="1:22" ht="21" customHeight="1">
      <c r="A47" s="24" t="s">
        <v>347</v>
      </c>
      <c r="B47" s="29" t="s">
        <v>385</v>
      </c>
      <c r="C47" s="60" t="b">
        <v>0</v>
      </c>
      <c r="D47" s="24" t="s">
        <v>375</v>
      </c>
      <c r="E47" s="24"/>
      <c r="F47" s="24"/>
      <c r="G47" s="24"/>
      <c r="H47" s="55"/>
      <c r="I47" s="55"/>
      <c r="J47" s="55"/>
      <c r="K47" s="55"/>
      <c r="L47" s="48"/>
      <c r="M47" s="55"/>
      <c r="N47" s="55"/>
      <c r="O47" s="55"/>
      <c r="P47" s="55"/>
      <c r="Q47" s="55"/>
      <c r="R47" s="55"/>
      <c r="S47" s="55"/>
      <c r="T47" s="55"/>
      <c r="U47" s="55"/>
      <c r="V47" s="55"/>
    </row>
    <row r="48" spans="1:22" ht="21" customHeight="1">
      <c r="A48" s="24" t="s">
        <v>347</v>
      </c>
      <c r="B48" s="29" t="s">
        <v>386</v>
      </c>
      <c r="C48" s="60" t="b">
        <v>0</v>
      </c>
      <c r="D48" s="24" t="s">
        <v>375</v>
      </c>
      <c r="E48" s="24"/>
      <c r="F48" s="24"/>
      <c r="G48" s="24"/>
      <c r="H48" s="55"/>
      <c r="I48" s="55"/>
      <c r="J48" s="55"/>
      <c r="K48" s="55"/>
      <c r="L48" s="48"/>
      <c r="M48" s="55"/>
      <c r="N48" s="55"/>
      <c r="O48" s="55"/>
      <c r="P48" s="55"/>
      <c r="Q48" s="55"/>
      <c r="R48" s="55"/>
      <c r="S48" s="55"/>
      <c r="T48" s="55"/>
      <c r="U48" s="55"/>
      <c r="V48" s="55"/>
    </row>
    <row r="49" spans="1:22" ht="21" customHeight="1">
      <c r="A49" s="24" t="s">
        <v>347</v>
      </c>
      <c r="B49" s="29" t="s">
        <v>387</v>
      </c>
      <c r="C49" s="60" t="b">
        <v>0</v>
      </c>
      <c r="D49" s="24" t="s">
        <v>375</v>
      </c>
      <c r="E49" s="24"/>
      <c r="F49" s="24"/>
      <c r="G49" s="24"/>
      <c r="H49" s="55"/>
      <c r="I49" s="55"/>
      <c r="J49" s="55"/>
      <c r="K49" s="55"/>
      <c r="L49" s="48"/>
      <c r="M49" s="55"/>
      <c r="N49" s="55"/>
      <c r="O49" s="55"/>
      <c r="P49" s="55"/>
      <c r="Q49" s="55"/>
      <c r="R49" s="55"/>
      <c r="S49" s="55"/>
      <c r="T49" s="55"/>
      <c r="U49" s="55"/>
      <c r="V49" s="55"/>
    </row>
    <row r="50" spans="1:22" ht="21" customHeight="1">
      <c r="A50" s="24" t="s">
        <v>347</v>
      </c>
      <c r="B50" s="29" t="s">
        <v>388</v>
      </c>
      <c r="C50" s="60" t="b">
        <v>0</v>
      </c>
      <c r="D50" s="24" t="s">
        <v>375</v>
      </c>
      <c r="E50" s="24"/>
      <c r="F50" s="24"/>
      <c r="G50" s="24"/>
      <c r="H50" s="55"/>
      <c r="I50" s="55"/>
      <c r="J50" s="55"/>
      <c r="K50" s="55"/>
      <c r="L50" s="48"/>
      <c r="M50" s="55"/>
      <c r="N50" s="55"/>
      <c r="O50" s="55"/>
      <c r="P50" s="55"/>
      <c r="Q50" s="55"/>
      <c r="R50" s="55"/>
      <c r="S50" s="55"/>
      <c r="T50" s="55"/>
      <c r="U50" s="55"/>
      <c r="V50" s="55"/>
    </row>
    <row r="51" spans="1:22" ht="21" customHeight="1">
      <c r="A51" s="24" t="s">
        <v>347</v>
      </c>
      <c r="B51" s="29" t="s">
        <v>389</v>
      </c>
      <c r="C51" s="60" t="b">
        <v>0</v>
      </c>
      <c r="D51" s="24" t="s">
        <v>375</v>
      </c>
      <c r="E51" s="24"/>
      <c r="F51" s="24"/>
      <c r="G51" s="24"/>
      <c r="H51" s="55"/>
      <c r="I51" s="55"/>
      <c r="J51" s="55"/>
      <c r="K51" s="55"/>
      <c r="L51" s="48"/>
      <c r="M51" s="55"/>
      <c r="N51" s="55"/>
      <c r="O51" s="55"/>
      <c r="P51" s="55"/>
      <c r="Q51" s="55"/>
      <c r="R51" s="55"/>
      <c r="S51" s="55"/>
      <c r="T51" s="55"/>
      <c r="U51" s="55"/>
      <c r="V51" s="55"/>
    </row>
    <row r="52" spans="1:22" ht="21" customHeight="1">
      <c r="A52" s="24" t="s">
        <v>347</v>
      </c>
      <c r="B52" s="29" t="s">
        <v>390</v>
      </c>
      <c r="C52" s="60" t="b">
        <v>0</v>
      </c>
      <c r="D52" s="24" t="s">
        <v>375</v>
      </c>
      <c r="E52" s="24"/>
      <c r="F52" s="24"/>
      <c r="G52" s="24"/>
      <c r="H52" s="55"/>
      <c r="I52" s="55"/>
      <c r="J52" s="55"/>
      <c r="K52" s="55"/>
      <c r="L52" s="48"/>
      <c r="M52" s="55"/>
      <c r="N52" s="55"/>
      <c r="O52" s="55"/>
      <c r="P52" s="55"/>
      <c r="Q52" s="55"/>
      <c r="R52" s="55"/>
      <c r="S52" s="55"/>
      <c r="T52" s="55"/>
      <c r="U52" s="55"/>
      <c r="V52" s="55"/>
    </row>
    <row r="53" spans="1:22" ht="21" customHeight="1">
      <c r="A53" s="24" t="s">
        <v>347</v>
      </c>
      <c r="B53" s="29" t="s">
        <v>391</v>
      </c>
      <c r="C53" s="60" t="b">
        <v>0</v>
      </c>
      <c r="D53" s="24" t="s">
        <v>375</v>
      </c>
      <c r="E53" s="24"/>
      <c r="F53" s="24"/>
      <c r="G53" s="24"/>
      <c r="H53" s="55"/>
      <c r="I53" s="55"/>
      <c r="J53" s="55"/>
      <c r="K53" s="55"/>
      <c r="L53" s="48"/>
      <c r="M53" s="55"/>
      <c r="N53" s="55"/>
      <c r="O53" s="55"/>
      <c r="P53" s="55"/>
      <c r="Q53" s="55"/>
      <c r="R53" s="55"/>
      <c r="S53" s="55"/>
      <c r="T53" s="55"/>
      <c r="U53" s="55"/>
      <c r="V53" s="55"/>
    </row>
    <row r="54" spans="1:22" s="2" customFormat="1" ht="21" customHeight="1">
      <c r="A54" s="24" t="s">
        <v>347</v>
      </c>
      <c r="B54" s="29" t="s">
        <v>392</v>
      </c>
      <c r="C54" s="60" t="b">
        <v>0</v>
      </c>
      <c r="D54" s="24" t="s">
        <v>375</v>
      </c>
      <c r="E54" s="24"/>
      <c r="F54" s="24"/>
      <c r="G54" s="24"/>
      <c r="H54" s="55"/>
      <c r="I54" s="55"/>
      <c r="J54" s="55"/>
      <c r="K54" s="55"/>
      <c r="L54" s="55"/>
      <c r="M54" s="55"/>
      <c r="N54" s="55"/>
      <c r="O54" s="55"/>
      <c r="P54" s="55"/>
      <c r="Q54" s="55"/>
      <c r="R54" s="55"/>
      <c r="S54" s="55"/>
      <c r="T54" s="55"/>
      <c r="U54" s="55"/>
      <c r="V54" s="55"/>
    </row>
    <row r="55" spans="1:22" s="2" customFormat="1" ht="21" customHeight="1">
      <c r="A55" s="24" t="s">
        <v>347</v>
      </c>
      <c r="B55" s="29" t="s">
        <v>393</v>
      </c>
      <c r="C55" s="60" t="b">
        <v>0</v>
      </c>
      <c r="D55" s="24" t="s">
        <v>375</v>
      </c>
      <c r="E55" s="24"/>
      <c r="F55" s="24"/>
      <c r="G55" s="24"/>
      <c r="H55" s="55"/>
      <c r="I55" s="55"/>
      <c r="J55" s="55"/>
      <c r="K55" s="55"/>
      <c r="L55" s="55"/>
      <c r="M55" s="55"/>
      <c r="N55" s="55"/>
      <c r="O55" s="55"/>
      <c r="P55" s="55"/>
      <c r="Q55" s="55"/>
      <c r="R55" s="55"/>
      <c r="S55" s="55"/>
      <c r="T55" s="55"/>
      <c r="U55" s="55"/>
      <c r="V55" s="55"/>
    </row>
    <row r="56" spans="1:22" s="2" customFormat="1" ht="21" customHeight="1">
      <c r="A56" s="24" t="s">
        <v>347</v>
      </c>
      <c r="B56" s="29" t="s">
        <v>394</v>
      </c>
      <c r="C56" s="60" t="b">
        <v>0</v>
      </c>
      <c r="D56" s="24" t="s">
        <v>375</v>
      </c>
      <c r="E56" s="24"/>
      <c r="F56" s="24"/>
      <c r="G56" s="24"/>
      <c r="H56" s="55"/>
      <c r="I56" s="55"/>
      <c r="J56" s="55"/>
      <c r="K56" s="55"/>
      <c r="L56" s="55"/>
      <c r="M56" s="55"/>
      <c r="N56" s="55"/>
      <c r="O56" s="55"/>
      <c r="P56" s="55"/>
      <c r="Q56" s="55"/>
      <c r="R56" s="55"/>
      <c r="S56" s="55"/>
      <c r="T56" s="55"/>
      <c r="U56" s="55"/>
      <c r="V56" s="55"/>
    </row>
    <row r="57" spans="1:22" s="2" customFormat="1" ht="21" customHeight="1">
      <c r="A57" s="24" t="s">
        <v>347</v>
      </c>
      <c r="B57" s="29" t="s">
        <v>395</v>
      </c>
      <c r="C57" s="60" t="b">
        <v>0</v>
      </c>
      <c r="D57" s="24" t="s">
        <v>375</v>
      </c>
      <c r="E57" s="24"/>
      <c r="F57" s="24"/>
      <c r="G57" s="24"/>
      <c r="H57" s="55"/>
      <c r="I57" s="55"/>
      <c r="J57" s="55"/>
      <c r="K57" s="55"/>
      <c r="L57" s="55"/>
      <c r="M57" s="55"/>
      <c r="N57" s="55"/>
      <c r="O57" s="55"/>
      <c r="P57" s="55"/>
      <c r="Q57" s="55"/>
      <c r="R57" s="55"/>
      <c r="S57" s="55"/>
      <c r="T57" s="55"/>
      <c r="U57" s="55"/>
      <c r="V57" s="55"/>
    </row>
    <row r="58" spans="1:22" s="2" customFormat="1" ht="21" customHeight="1">
      <c r="A58" s="24" t="s">
        <v>347</v>
      </c>
      <c r="B58" s="29" t="s">
        <v>396</v>
      </c>
      <c r="C58" s="60" t="b">
        <v>0</v>
      </c>
      <c r="D58" s="24" t="s">
        <v>375</v>
      </c>
      <c r="E58" s="24"/>
      <c r="F58" s="24"/>
      <c r="G58" s="24"/>
      <c r="H58" s="55"/>
      <c r="I58" s="55"/>
      <c r="J58" s="55"/>
      <c r="K58" s="55"/>
      <c r="L58" s="55"/>
      <c r="M58" s="55"/>
      <c r="N58" s="55"/>
      <c r="O58" s="55"/>
      <c r="P58" s="55"/>
      <c r="Q58" s="55"/>
      <c r="R58" s="55"/>
      <c r="S58" s="55"/>
      <c r="T58" s="55"/>
      <c r="U58" s="55"/>
      <c r="V58" s="55"/>
    </row>
    <row r="59" spans="1:22" s="2" customFormat="1" ht="21" customHeight="1">
      <c r="A59" s="24" t="s">
        <v>347</v>
      </c>
      <c r="B59" s="29" t="s">
        <v>397</v>
      </c>
      <c r="C59" s="60" t="b">
        <v>0</v>
      </c>
      <c r="D59" s="24" t="s">
        <v>375</v>
      </c>
      <c r="E59" s="24"/>
      <c r="F59" s="24"/>
      <c r="G59" s="24"/>
      <c r="H59" s="55"/>
      <c r="I59" s="55"/>
      <c r="J59" s="55"/>
      <c r="K59" s="55"/>
      <c r="L59" s="55"/>
      <c r="M59" s="55"/>
      <c r="N59" s="55"/>
      <c r="O59" s="55"/>
      <c r="P59" s="55"/>
      <c r="Q59" s="55"/>
      <c r="R59" s="55"/>
      <c r="S59" s="55"/>
      <c r="T59" s="55"/>
      <c r="U59" s="55"/>
      <c r="V59" s="55"/>
    </row>
    <row r="60" spans="1:22" s="2" customFormat="1" ht="26.1" customHeight="1">
      <c r="A60" s="24" t="s">
        <v>347</v>
      </c>
      <c r="B60" s="29" t="s">
        <v>398</v>
      </c>
      <c r="C60" s="60" t="b">
        <v>0</v>
      </c>
      <c r="D60" s="24" t="s">
        <v>375</v>
      </c>
      <c r="E60" s="24"/>
      <c r="F60" s="24"/>
      <c r="G60" s="24"/>
      <c r="H60" s="55"/>
      <c r="I60" s="55"/>
      <c r="J60" s="55"/>
      <c r="K60" s="55"/>
      <c r="L60" s="55"/>
      <c r="M60" s="55"/>
      <c r="N60" s="55"/>
      <c r="O60" s="55"/>
      <c r="P60" s="55"/>
      <c r="Q60" s="55"/>
      <c r="R60" s="55"/>
      <c r="S60" s="55"/>
      <c r="T60" s="55"/>
      <c r="U60" s="55"/>
      <c r="V60" s="55"/>
    </row>
    <row r="61" spans="1:22" s="2" customFormat="1" ht="26.1" customHeight="1">
      <c r="A61" s="24" t="s">
        <v>347</v>
      </c>
      <c r="B61" s="29" t="s">
        <v>399</v>
      </c>
      <c r="C61" s="60" t="b">
        <v>0</v>
      </c>
      <c r="D61" s="24" t="s">
        <v>375</v>
      </c>
      <c r="E61" s="24"/>
      <c r="F61" s="24"/>
      <c r="G61" s="24"/>
      <c r="H61" s="55"/>
      <c r="I61" s="55"/>
      <c r="J61" s="55"/>
      <c r="K61" s="55"/>
      <c r="L61" s="55"/>
      <c r="M61" s="55"/>
      <c r="N61" s="55"/>
      <c r="O61" s="55"/>
      <c r="P61" s="55"/>
      <c r="Q61" s="55"/>
      <c r="R61" s="55"/>
      <c r="S61" s="55"/>
      <c r="T61" s="55"/>
      <c r="U61" s="55"/>
      <c r="V61" s="55"/>
    </row>
    <row r="62" spans="1:22" s="2" customFormat="1" ht="26.1" customHeight="1">
      <c r="A62" s="24" t="s">
        <v>347</v>
      </c>
      <c r="B62" s="29" t="s">
        <v>400</v>
      </c>
      <c r="C62" s="60" t="b">
        <v>0</v>
      </c>
      <c r="D62" s="24" t="s">
        <v>375</v>
      </c>
      <c r="E62" s="24"/>
      <c r="F62" s="24"/>
      <c r="G62" s="24"/>
      <c r="H62" s="55"/>
      <c r="I62" s="55"/>
      <c r="J62" s="55"/>
      <c r="K62" s="55"/>
      <c r="L62" s="55"/>
      <c r="M62" s="55"/>
      <c r="N62" s="55"/>
      <c r="O62" s="55"/>
      <c r="P62" s="55"/>
      <c r="Q62" s="55"/>
      <c r="R62" s="55"/>
      <c r="S62" s="55"/>
      <c r="T62" s="55"/>
      <c r="U62" s="55"/>
      <c r="V62" s="55"/>
    </row>
    <row r="63" spans="1:22" s="2" customFormat="1" ht="21" customHeight="1">
      <c r="A63" s="24" t="s">
        <v>347</v>
      </c>
      <c r="B63" s="29" t="s">
        <v>371</v>
      </c>
      <c r="C63" s="60" t="b">
        <v>0</v>
      </c>
      <c r="D63" s="24" t="s">
        <v>375</v>
      </c>
      <c r="E63" s="24"/>
      <c r="F63" s="24"/>
      <c r="G63" s="24"/>
      <c r="H63" s="55"/>
      <c r="I63" s="55"/>
      <c r="J63" s="55"/>
      <c r="K63" s="55"/>
      <c r="L63" s="55"/>
      <c r="M63" s="55"/>
      <c r="N63" s="55"/>
      <c r="O63" s="55"/>
      <c r="P63" s="55"/>
      <c r="Q63" s="55"/>
      <c r="R63" s="55"/>
      <c r="S63" s="55"/>
      <c r="T63" s="55"/>
      <c r="U63" s="55"/>
      <c r="V63" s="55"/>
    </row>
    <row r="64" spans="1:22" s="2" customFormat="1" ht="18.95" customHeight="1">
      <c r="A64" s="55"/>
      <c r="B64" s="55"/>
      <c r="C64" s="55"/>
      <c r="D64" s="55"/>
      <c r="E64" s="55"/>
      <c r="F64" s="55"/>
      <c r="G64" s="55"/>
      <c r="H64" s="55"/>
      <c r="I64" s="55"/>
      <c r="J64" s="55"/>
      <c r="K64" s="55"/>
      <c r="L64" s="55"/>
      <c r="M64" s="55"/>
      <c r="N64" s="55"/>
      <c r="O64" s="55"/>
      <c r="P64" s="55"/>
      <c r="Q64" s="55"/>
      <c r="R64" s="55"/>
      <c r="S64" s="55"/>
      <c r="T64" s="55"/>
      <c r="U64" s="55"/>
      <c r="V64" s="55"/>
    </row>
    <row r="65" spans="1:22" s="2" customFormat="1" ht="26.1" customHeight="1">
      <c r="A65" s="150" t="s">
        <v>401</v>
      </c>
      <c r="B65" s="194"/>
      <c r="C65" s="194"/>
      <c r="D65" s="194"/>
      <c r="E65" s="194"/>
      <c r="F65" s="194"/>
      <c r="G65" s="194"/>
      <c r="H65" s="194"/>
      <c r="I65" s="194"/>
      <c r="J65" s="194"/>
      <c r="K65" s="194"/>
      <c r="L65" s="195"/>
      <c r="M65" s="55"/>
      <c r="N65" s="55"/>
      <c r="O65" s="55"/>
      <c r="P65" s="55"/>
      <c r="Q65" s="55"/>
      <c r="R65" s="55"/>
      <c r="S65" s="55"/>
      <c r="T65" s="55"/>
      <c r="U65" s="55"/>
      <c r="V65" s="55"/>
    </row>
    <row r="66" spans="1:22" s="2" customFormat="1" ht="26.1" customHeight="1">
      <c r="A66" s="22" t="s">
        <v>143</v>
      </c>
      <c r="B66" s="22" t="s">
        <v>402</v>
      </c>
      <c r="C66" s="22" t="s">
        <v>354</v>
      </c>
      <c r="D66" s="22" t="s">
        <v>355</v>
      </c>
      <c r="E66" s="22" t="s">
        <v>356</v>
      </c>
      <c r="F66" s="22" t="s">
        <v>357</v>
      </c>
      <c r="G66" s="22" t="s">
        <v>358</v>
      </c>
      <c r="H66" s="22"/>
      <c r="I66" s="22"/>
      <c r="J66" s="22"/>
      <c r="K66" s="22"/>
      <c r="L66" s="22"/>
      <c r="M66" s="55"/>
      <c r="N66" s="55"/>
      <c r="O66" s="55"/>
      <c r="P66" s="55"/>
      <c r="Q66" s="55"/>
      <c r="R66" s="55"/>
      <c r="S66" s="55"/>
      <c r="T66" s="55"/>
      <c r="U66" s="55"/>
      <c r="V66" s="55"/>
    </row>
    <row r="67" spans="1:22" s="2" customFormat="1" ht="26.1" customHeight="1">
      <c r="A67" s="24" t="s">
        <v>347</v>
      </c>
      <c r="B67" s="29" t="s">
        <v>403</v>
      </c>
      <c r="C67" s="60" t="b">
        <v>0</v>
      </c>
      <c r="D67" s="24" t="s">
        <v>404</v>
      </c>
      <c r="E67" s="24"/>
      <c r="F67" s="24"/>
      <c r="G67" s="24"/>
      <c r="H67" s="55"/>
      <c r="I67" s="55"/>
      <c r="J67" s="55"/>
      <c r="K67" s="55"/>
      <c r="L67" s="55"/>
      <c r="M67" s="55"/>
      <c r="N67" s="55"/>
      <c r="O67" s="55"/>
      <c r="P67" s="55"/>
      <c r="Q67" s="55"/>
      <c r="R67" s="55"/>
      <c r="S67" s="55"/>
      <c r="T67" s="55"/>
      <c r="U67" s="55"/>
      <c r="V67" s="55"/>
    </row>
    <row r="68" spans="1:22" s="2" customFormat="1" ht="26.1" customHeight="1">
      <c r="A68" s="24" t="s">
        <v>347</v>
      </c>
      <c r="B68" s="29" t="s">
        <v>405</v>
      </c>
      <c r="C68" s="60" t="b">
        <v>0</v>
      </c>
      <c r="D68" s="24" t="s">
        <v>404</v>
      </c>
      <c r="E68" s="24"/>
      <c r="F68" s="24"/>
      <c r="G68" s="24"/>
      <c r="H68" s="55"/>
      <c r="I68" s="55"/>
      <c r="J68" s="55"/>
      <c r="K68" s="55"/>
      <c r="L68" s="55"/>
      <c r="M68" s="55"/>
      <c r="N68" s="55"/>
      <c r="O68" s="55"/>
      <c r="P68" s="55"/>
      <c r="Q68" s="55"/>
      <c r="R68" s="55"/>
      <c r="S68" s="55"/>
      <c r="T68" s="55"/>
      <c r="U68" s="55"/>
      <c r="V68" s="55"/>
    </row>
    <row r="69" spans="1:22" s="2" customFormat="1" ht="26.1" customHeight="1">
      <c r="A69" s="24" t="s">
        <v>347</v>
      </c>
      <c r="B69" s="29" t="s">
        <v>406</v>
      </c>
      <c r="C69" s="60" t="b">
        <v>0</v>
      </c>
      <c r="D69" s="24" t="s">
        <v>404</v>
      </c>
      <c r="E69" s="24"/>
      <c r="F69" s="24"/>
      <c r="G69" s="24"/>
      <c r="H69" s="55"/>
      <c r="I69" s="55"/>
      <c r="J69" s="55"/>
      <c r="K69" s="55"/>
      <c r="L69" s="55"/>
      <c r="M69" s="55"/>
      <c r="N69" s="55"/>
      <c r="O69" s="55"/>
      <c r="P69" s="55"/>
      <c r="Q69" s="55"/>
      <c r="R69" s="55"/>
      <c r="S69" s="55"/>
      <c r="T69" s="55"/>
      <c r="U69" s="55"/>
      <c r="V69" s="55"/>
    </row>
    <row r="70" spans="1:22" s="2" customFormat="1" ht="26.1" customHeight="1">
      <c r="A70" s="24" t="s">
        <v>347</v>
      </c>
      <c r="B70" s="29" t="s">
        <v>407</v>
      </c>
      <c r="C70" s="60" t="b">
        <v>0</v>
      </c>
      <c r="D70" s="24" t="s">
        <v>404</v>
      </c>
      <c r="E70" s="24"/>
      <c r="F70" s="24"/>
      <c r="G70" s="24"/>
      <c r="H70" s="55"/>
      <c r="I70" s="55"/>
      <c r="J70" s="55"/>
      <c r="K70" s="55"/>
      <c r="L70" s="55"/>
      <c r="M70" s="55"/>
      <c r="N70" s="55"/>
      <c r="O70" s="55"/>
      <c r="P70" s="55"/>
      <c r="Q70" s="55"/>
      <c r="R70" s="55"/>
      <c r="S70" s="55"/>
      <c r="T70" s="55"/>
      <c r="U70" s="55"/>
      <c r="V70" s="55"/>
    </row>
    <row r="71" spans="1:22" s="2" customFormat="1" ht="26.1" customHeight="1">
      <c r="A71" s="24" t="s">
        <v>347</v>
      </c>
      <c r="B71" s="29" t="s">
        <v>408</v>
      </c>
      <c r="C71" s="60" t="b">
        <v>0</v>
      </c>
      <c r="D71" s="24" t="s">
        <v>404</v>
      </c>
      <c r="E71" s="24"/>
      <c r="F71" s="24"/>
      <c r="G71" s="24"/>
      <c r="H71" s="55"/>
      <c r="I71" s="55"/>
      <c r="J71" s="55"/>
      <c r="K71" s="55"/>
      <c r="L71" s="55"/>
      <c r="M71" s="55"/>
      <c r="N71" s="55"/>
      <c r="O71" s="55"/>
      <c r="P71" s="55"/>
      <c r="Q71" s="55"/>
      <c r="R71" s="55"/>
      <c r="S71" s="55"/>
      <c r="T71" s="55"/>
      <c r="U71" s="55"/>
      <c r="V71" s="55"/>
    </row>
    <row r="72" spans="1:22" ht="26.1" customHeight="1">
      <c r="A72" s="24" t="s">
        <v>347</v>
      </c>
      <c r="B72" s="29" t="s">
        <v>409</v>
      </c>
      <c r="C72" s="60" t="b">
        <v>0</v>
      </c>
      <c r="D72" s="24" t="s">
        <v>404</v>
      </c>
      <c r="E72" s="24"/>
      <c r="F72" s="24"/>
      <c r="G72" s="24"/>
      <c r="H72" s="55"/>
      <c r="I72" s="55"/>
      <c r="J72" s="55"/>
      <c r="K72" s="55"/>
      <c r="L72" s="48"/>
      <c r="M72" s="55"/>
      <c r="N72" s="55"/>
      <c r="O72" s="55"/>
      <c r="P72" s="55"/>
      <c r="Q72" s="55"/>
      <c r="R72" s="55"/>
      <c r="S72" s="55"/>
      <c r="T72" s="55"/>
      <c r="U72" s="55"/>
      <c r="V72" s="55"/>
    </row>
    <row r="73" spans="1:22" ht="26.1" customHeight="1">
      <c r="A73" s="24" t="s">
        <v>347</v>
      </c>
      <c r="B73" s="29" t="s">
        <v>410</v>
      </c>
      <c r="C73" s="60" t="b">
        <v>0</v>
      </c>
      <c r="D73" s="24" t="s">
        <v>404</v>
      </c>
      <c r="E73" s="24"/>
      <c r="F73" s="24"/>
      <c r="G73" s="24"/>
      <c r="H73" s="55"/>
      <c r="I73" s="55"/>
      <c r="J73" s="55"/>
      <c r="K73" s="55"/>
      <c r="L73" s="48"/>
      <c r="M73" s="55"/>
      <c r="N73" s="55"/>
      <c r="O73" s="55"/>
      <c r="P73" s="55"/>
      <c r="Q73" s="55"/>
      <c r="R73" s="55"/>
      <c r="S73" s="55"/>
      <c r="T73" s="55"/>
      <c r="U73" s="55"/>
      <c r="V73" s="55"/>
    </row>
    <row r="74" spans="1:22" s="2" customFormat="1" ht="26.1" customHeight="1">
      <c r="A74" s="24" t="s">
        <v>347</v>
      </c>
      <c r="B74" s="29" t="s">
        <v>411</v>
      </c>
      <c r="C74" s="60" t="b">
        <v>0</v>
      </c>
      <c r="D74" s="24" t="s">
        <v>404</v>
      </c>
      <c r="E74" s="24"/>
      <c r="F74" s="24"/>
      <c r="G74" s="24"/>
      <c r="H74" s="55"/>
      <c r="I74" s="55"/>
      <c r="J74" s="55"/>
      <c r="K74" s="55"/>
      <c r="L74" s="55"/>
      <c r="M74" s="55"/>
      <c r="N74" s="55"/>
      <c r="O74" s="55"/>
      <c r="P74" s="55"/>
      <c r="Q74" s="55"/>
      <c r="R74" s="55"/>
      <c r="S74" s="55"/>
      <c r="T74" s="55"/>
      <c r="U74" s="55"/>
      <c r="V74" s="55"/>
    </row>
    <row r="75" spans="1:22" ht="26.1" customHeight="1">
      <c r="A75" s="24" t="s">
        <v>347</v>
      </c>
      <c r="B75" s="29" t="s">
        <v>412</v>
      </c>
      <c r="C75" s="60" t="b">
        <v>0</v>
      </c>
      <c r="D75" s="24" t="s">
        <v>404</v>
      </c>
      <c r="E75" s="24"/>
      <c r="F75" s="24"/>
      <c r="G75" s="24"/>
      <c r="H75" s="55"/>
      <c r="I75" s="55"/>
      <c r="J75" s="55"/>
      <c r="K75" s="55"/>
      <c r="L75" s="48"/>
      <c r="M75" s="55"/>
      <c r="N75" s="55"/>
      <c r="O75" s="55"/>
      <c r="P75" s="55"/>
      <c r="Q75" s="55"/>
      <c r="R75" s="55"/>
      <c r="S75" s="55"/>
      <c r="T75" s="55"/>
      <c r="U75" s="55"/>
      <c r="V75" s="55"/>
    </row>
    <row r="76" spans="1:22" ht="26.1" customHeight="1">
      <c r="A76" s="24" t="s">
        <v>347</v>
      </c>
      <c r="B76" s="29" t="s">
        <v>413</v>
      </c>
      <c r="C76" s="60" t="b">
        <v>0</v>
      </c>
      <c r="D76" s="24" t="s">
        <v>404</v>
      </c>
      <c r="E76" s="24"/>
      <c r="F76" s="24"/>
      <c r="G76" s="24"/>
      <c r="H76" s="55"/>
      <c r="I76" s="55"/>
      <c r="J76" s="55"/>
      <c r="K76" s="55"/>
      <c r="L76" s="48"/>
      <c r="M76" s="55"/>
      <c r="N76" s="55"/>
      <c r="O76" s="55"/>
      <c r="P76" s="55"/>
      <c r="Q76" s="55"/>
      <c r="R76" s="55"/>
      <c r="S76" s="55"/>
      <c r="T76" s="55"/>
      <c r="U76" s="55"/>
      <c r="V76" s="55"/>
    </row>
    <row r="77" spans="1:22" ht="26.1" customHeight="1">
      <c r="A77" s="24" t="s">
        <v>347</v>
      </c>
      <c r="B77" s="29" t="s">
        <v>414</v>
      </c>
      <c r="C77" s="60" t="b">
        <v>0</v>
      </c>
      <c r="D77" s="24" t="s">
        <v>404</v>
      </c>
      <c r="E77" s="24"/>
      <c r="F77" s="24"/>
      <c r="G77" s="24"/>
      <c r="H77" s="55"/>
      <c r="I77" s="55"/>
      <c r="J77" s="55"/>
      <c r="K77" s="55"/>
      <c r="L77" s="48"/>
      <c r="M77" s="55"/>
      <c r="N77" s="55"/>
      <c r="O77" s="55"/>
      <c r="P77" s="55"/>
      <c r="Q77" s="55"/>
      <c r="R77" s="55"/>
      <c r="S77" s="55"/>
      <c r="T77" s="55"/>
      <c r="U77" s="55"/>
      <c r="V77" s="55"/>
    </row>
    <row r="78" spans="1:22" ht="26.1" customHeight="1">
      <c r="A78" s="24" t="s">
        <v>347</v>
      </c>
      <c r="B78" s="29" t="s">
        <v>415</v>
      </c>
      <c r="C78" s="60" t="b">
        <v>0</v>
      </c>
      <c r="D78" s="24" t="s">
        <v>404</v>
      </c>
      <c r="E78" s="24"/>
      <c r="F78" s="24"/>
      <c r="G78" s="24"/>
      <c r="H78" s="55"/>
      <c r="I78" s="55"/>
      <c r="J78" s="55"/>
      <c r="K78" s="55"/>
      <c r="L78" s="48"/>
      <c r="M78" s="55"/>
      <c r="N78" s="55"/>
      <c r="O78" s="55"/>
      <c r="P78" s="55"/>
      <c r="Q78" s="55"/>
      <c r="R78" s="55"/>
      <c r="S78" s="55"/>
      <c r="T78" s="55"/>
      <c r="U78" s="55"/>
      <c r="V78" s="55"/>
    </row>
    <row r="79" spans="1:22" ht="26.1" customHeight="1">
      <c r="A79" s="24" t="s">
        <v>347</v>
      </c>
      <c r="B79" s="29" t="s">
        <v>416</v>
      </c>
      <c r="C79" s="60" t="b">
        <v>0</v>
      </c>
      <c r="D79" s="24" t="s">
        <v>404</v>
      </c>
      <c r="E79" s="24"/>
      <c r="F79" s="24"/>
      <c r="G79" s="24"/>
      <c r="H79" s="55"/>
      <c r="I79" s="55"/>
      <c r="J79" s="55"/>
      <c r="K79" s="55"/>
      <c r="L79" s="48"/>
      <c r="M79" s="55"/>
      <c r="N79" s="55"/>
      <c r="O79" s="55"/>
      <c r="P79" s="55"/>
      <c r="Q79" s="55"/>
      <c r="R79" s="55"/>
      <c r="S79" s="55"/>
      <c r="T79" s="55"/>
      <c r="U79" s="55"/>
      <c r="V79" s="55"/>
    </row>
    <row r="80" spans="1:22" ht="26.1" customHeight="1">
      <c r="A80" s="24" t="s">
        <v>347</v>
      </c>
      <c r="B80" s="29" t="s">
        <v>417</v>
      </c>
      <c r="C80" s="60" t="b">
        <v>0</v>
      </c>
      <c r="D80" s="24" t="s">
        <v>404</v>
      </c>
      <c r="E80" s="24"/>
      <c r="F80" s="24"/>
      <c r="G80" s="24"/>
      <c r="H80" s="55"/>
      <c r="I80" s="55"/>
      <c r="J80" s="55"/>
      <c r="K80" s="55"/>
      <c r="L80" s="48"/>
      <c r="M80" s="55"/>
      <c r="N80" s="55"/>
      <c r="O80" s="55"/>
      <c r="P80" s="55"/>
      <c r="Q80" s="55"/>
      <c r="R80" s="55"/>
      <c r="S80" s="55"/>
      <c r="T80" s="55"/>
      <c r="U80" s="55"/>
      <c r="V80" s="55"/>
    </row>
    <row r="81" spans="1:22" s="2" customFormat="1" ht="26.1" customHeight="1">
      <c r="A81" s="24" t="s">
        <v>347</v>
      </c>
      <c r="B81" s="29" t="s">
        <v>418</v>
      </c>
      <c r="C81" s="60" t="b">
        <v>0</v>
      </c>
      <c r="D81" s="24" t="s">
        <v>404</v>
      </c>
      <c r="E81" s="24"/>
      <c r="F81" s="24"/>
      <c r="G81" s="24"/>
      <c r="H81" s="55"/>
      <c r="I81" s="55"/>
      <c r="J81" s="55"/>
      <c r="K81" s="55"/>
      <c r="L81" s="55"/>
      <c r="M81" s="55"/>
      <c r="N81" s="55"/>
      <c r="O81" s="55"/>
      <c r="P81" s="55"/>
      <c r="Q81" s="55"/>
      <c r="R81" s="55"/>
      <c r="S81" s="55"/>
      <c r="T81" s="55"/>
      <c r="U81" s="55"/>
      <c r="V81" s="55"/>
    </row>
    <row r="82" spans="1:22" s="2" customFormat="1" ht="26.1" customHeight="1">
      <c r="A82" s="24" t="s">
        <v>347</v>
      </c>
      <c r="B82" s="29" t="s">
        <v>419</v>
      </c>
      <c r="C82" s="60" t="b">
        <v>0</v>
      </c>
      <c r="D82" s="24" t="s">
        <v>404</v>
      </c>
      <c r="E82" s="24"/>
      <c r="F82" s="24"/>
      <c r="G82" s="24"/>
      <c r="H82" s="55"/>
      <c r="I82" s="55"/>
      <c r="J82" s="55"/>
      <c r="K82" s="55"/>
      <c r="L82" s="55"/>
      <c r="M82" s="55"/>
      <c r="N82" s="55"/>
      <c r="O82" s="55"/>
      <c r="P82" s="55"/>
      <c r="Q82" s="55"/>
      <c r="R82" s="55"/>
      <c r="S82" s="55"/>
      <c r="T82" s="55"/>
      <c r="U82" s="55"/>
      <c r="V82" s="55"/>
    </row>
    <row r="83" spans="1:22" s="2" customFormat="1" ht="26.1" customHeight="1">
      <c r="A83" s="24" t="s">
        <v>347</v>
      </c>
      <c r="B83" s="29" t="s">
        <v>371</v>
      </c>
      <c r="C83" s="60" t="b">
        <v>0</v>
      </c>
      <c r="D83" s="24" t="s">
        <v>404</v>
      </c>
      <c r="E83" s="24"/>
      <c r="F83" s="24"/>
      <c r="G83" s="24"/>
      <c r="H83" s="55"/>
      <c r="I83" s="55"/>
      <c r="J83" s="55"/>
      <c r="K83" s="55"/>
      <c r="L83" s="55"/>
      <c r="M83" s="55"/>
      <c r="N83" s="55"/>
      <c r="O83" s="55"/>
      <c r="P83" s="55"/>
      <c r="Q83" s="55"/>
      <c r="R83" s="55"/>
      <c r="S83" s="55"/>
      <c r="T83" s="55"/>
      <c r="U83" s="55"/>
      <c r="V83" s="55"/>
    </row>
    <row r="84" spans="1:22" s="2" customFormat="1" ht="18.95" customHeight="1">
      <c r="A84" s="55"/>
      <c r="B84" s="55"/>
      <c r="C84" s="55"/>
      <c r="D84" s="55"/>
      <c r="E84" s="55"/>
      <c r="F84" s="55"/>
      <c r="G84" s="55"/>
      <c r="H84" s="55"/>
      <c r="I84" s="55"/>
      <c r="J84" s="55"/>
      <c r="K84" s="55"/>
      <c r="L84" s="55"/>
      <c r="M84" s="55"/>
      <c r="N84" s="55"/>
      <c r="O84" s="55"/>
      <c r="P84" s="55"/>
      <c r="Q84" s="55"/>
      <c r="R84" s="55"/>
      <c r="S84" s="55"/>
      <c r="T84" s="55"/>
      <c r="U84" s="55"/>
      <c r="V84" s="55"/>
    </row>
    <row r="85" spans="1:22" s="2" customFormat="1" ht="26.1" customHeight="1">
      <c r="A85" s="150" t="s">
        <v>420</v>
      </c>
      <c r="B85" s="194"/>
      <c r="C85" s="194"/>
      <c r="D85" s="194"/>
      <c r="E85" s="194"/>
      <c r="F85" s="194"/>
      <c r="G85" s="194"/>
      <c r="H85" s="194"/>
      <c r="I85" s="194"/>
      <c r="J85" s="194"/>
      <c r="K85" s="194"/>
      <c r="L85" s="195"/>
      <c r="M85" s="55"/>
      <c r="N85" s="55"/>
      <c r="O85" s="55"/>
      <c r="P85" s="55"/>
      <c r="Q85" s="55"/>
      <c r="R85" s="55"/>
      <c r="S85" s="55"/>
      <c r="T85" s="55"/>
      <c r="U85" s="55"/>
      <c r="V85" s="55"/>
    </row>
    <row r="86" spans="1:22" s="2" customFormat="1" ht="26.1" customHeight="1">
      <c r="A86" s="22" t="s">
        <v>143</v>
      </c>
      <c r="B86" s="22" t="s">
        <v>402</v>
      </c>
      <c r="C86" s="22" t="s">
        <v>354</v>
      </c>
      <c r="D86" s="22" t="s">
        <v>355</v>
      </c>
      <c r="E86" s="22" t="s">
        <v>356</v>
      </c>
      <c r="F86" s="22" t="s">
        <v>357</v>
      </c>
      <c r="G86" s="22" t="s">
        <v>358</v>
      </c>
      <c r="H86" s="22"/>
      <c r="I86" s="22"/>
      <c r="J86" s="22"/>
      <c r="K86" s="22"/>
      <c r="L86" s="22"/>
      <c r="M86" s="55"/>
      <c r="N86" s="55"/>
      <c r="O86" s="55"/>
      <c r="P86" s="55"/>
      <c r="Q86" s="55"/>
      <c r="R86" s="55"/>
      <c r="S86" s="55"/>
      <c r="T86" s="55"/>
      <c r="U86" s="55"/>
      <c r="V86" s="55"/>
    </row>
    <row r="87" spans="1:22" s="2" customFormat="1" ht="26.1" customHeight="1">
      <c r="A87" s="24" t="s">
        <v>347</v>
      </c>
      <c r="B87" s="29" t="s">
        <v>421</v>
      </c>
      <c r="C87" s="60" t="b">
        <v>0</v>
      </c>
      <c r="D87" s="24" t="s">
        <v>404</v>
      </c>
      <c r="E87" s="24"/>
      <c r="F87" s="24"/>
      <c r="G87" s="24"/>
      <c r="H87" s="55"/>
      <c r="I87" s="55"/>
      <c r="J87" s="55"/>
      <c r="K87" s="55"/>
      <c r="L87" s="55"/>
      <c r="M87" s="55"/>
      <c r="N87" s="55"/>
      <c r="O87" s="55"/>
      <c r="P87" s="55"/>
      <c r="Q87" s="55"/>
      <c r="R87" s="55"/>
      <c r="S87" s="55"/>
      <c r="T87" s="55"/>
      <c r="U87" s="55"/>
      <c r="V87" s="55"/>
    </row>
    <row r="88" spans="1:22" s="2" customFormat="1" ht="26.1" customHeight="1">
      <c r="A88" s="24" t="s">
        <v>347</v>
      </c>
      <c r="B88" s="29" t="s">
        <v>422</v>
      </c>
      <c r="C88" s="60" t="b">
        <v>0</v>
      </c>
      <c r="D88" s="24" t="s">
        <v>404</v>
      </c>
      <c r="E88" s="24"/>
      <c r="F88" s="24"/>
      <c r="G88" s="24"/>
      <c r="H88" s="55"/>
      <c r="I88" s="55"/>
      <c r="J88" s="55"/>
      <c r="K88" s="55"/>
      <c r="L88" s="55"/>
      <c r="M88" s="55"/>
      <c r="N88" s="55"/>
      <c r="O88" s="55"/>
      <c r="P88" s="55"/>
      <c r="Q88" s="55"/>
      <c r="R88" s="55"/>
      <c r="S88" s="55"/>
      <c r="T88" s="55"/>
      <c r="U88" s="55"/>
      <c r="V88" s="55"/>
    </row>
    <row r="89" spans="1:22" s="2" customFormat="1" ht="26.1" customHeight="1">
      <c r="A89" s="24" t="s">
        <v>347</v>
      </c>
      <c r="B89" s="29" t="s">
        <v>423</v>
      </c>
      <c r="C89" s="60" t="b">
        <v>0</v>
      </c>
      <c r="D89" s="24" t="s">
        <v>404</v>
      </c>
      <c r="E89" s="24"/>
      <c r="F89" s="24"/>
      <c r="G89" s="24"/>
      <c r="H89" s="55"/>
      <c r="I89" s="55"/>
      <c r="J89" s="55"/>
      <c r="K89" s="55"/>
      <c r="L89" s="55"/>
      <c r="M89" s="55"/>
      <c r="N89" s="55"/>
      <c r="O89" s="55"/>
      <c r="P89" s="55"/>
      <c r="Q89" s="55"/>
      <c r="R89" s="55"/>
      <c r="S89" s="55"/>
      <c r="T89" s="55"/>
      <c r="U89" s="55"/>
      <c r="V89" s="55"/>
    </row>
    <row r="90" spans="1:22" s="2" customFormat="1" ht="26.1" customHeight="1">
      <c r="A90" s="24" t="s">
        <v>347</v>
      </c>
      <c r="B90" s="29" t="s">
        <v>424</v>
      </c>
      <c r="C90" s="60" t="b">
        <v>0</v>
      </c>
      <c r="D90" s="24" t="s">
        <v>404</v>
      </c>
      <c r="E90" s="24"/>
      <c r="F90" s="24"/>
      <c r="G90" s="24"/>
      <c r="H90" s="55"/>
      <c r="I90" s="55"/>
      <c r="J90" s="55"/>
      <c r="K90" s="55"/>
      <c r="L90" s="55"/>
      <c r="M90" s="55"/>
      <c r="N90" s="55"/>
      <c r="O90" s="55"/>
      <c r="P90" s="55"/>
      <c r="Q90" s="55"/>
      <c r="R90" s="55"/>
      <c r="S90" s="55"/>
      <c r="T90" s="55"/>
      <c r="U90" s="55"/>
      <c r="V90" s="55"/>
    </row>
    <row r="91" spans="1:22" s="2" customFormat="1" ht="26.1" customHeight="1">
      <c r="A91" s="24" t="s">
        <v>347</v>
      </c>
      <c r="B91" s="29" t="s">
        <v>425</v>
      </c>
      <c r="C91" s="60" t="b">
        <v>0</v>
      </c>
      <c r="D91" s="24" t="s">
        <v>404</v>
      </c>
      <c r="E91" s="24"/>
      <c r="F91" s="24"/>
      <c r="G91" s="24"/>
      <c r="H91" s="55"/>
      <c r="I91" s="55"/>
      <c r="J91" s="55"/>
      <c r="K91" s="55"/>
      <c r="L91" s="55"/>
      <c r="M91" s="55"/>
      <c r="N91" s="55"/>
      <c r="O91" s="55"/>
      <c r="P91" s="55"/>
      <c r="Q91" s="55"/>
      <c r="R91" s="55"/>
      <c r="S91" s="55"/>
      <c r="T91" s="55"/>
      <c r="U91" s="55"/>
      <c r="V91" s="55"/>
    </row>
    <row r="92" spans="1:22" ht="26.1" customHeight="1">
      <c r="A92" s="24" t="s">
        <v>347</v>
      </c>
      <c r="B92" s="29" t="s">
        <v>426</v>
      </c>
      <c r="C92" s="60" t="b">
        <v>0</v>
      </c>
      <c r="D92" s="24" t="s">
        <v>404</v>
      </c>
      <c r="E92" s="24"/>
      <c r="F92" s="24"/>
      <c r="G92" s="24"/>
      <c r="H92" s="55"/>
      <c r="I92" s="55"/>
      <c r="J92" s="55"/>
      <c r="K92" s="55"/>
      <c r="L92" s="48"/>
      <c r="M92" s="55"/>
      <c r="N92" s="55"/>
      <c r="O92" s="55"/>
      <c r="P92" s="55"/>
      <c r="Q92" s="55"/>
      <c r="R92" s="55"/>
      <c r="S92" s="55"/>
      <c r="T92" s="55"/>
      <c r="U92" s="55"/>
      <c r="V92" s="55"/>
    </row>
    <row r="93" spans="1:22" ht="26.1" customHeight="1">
      <c r="A93" s="24" t="s">
        <v>347</v>
      </c>
      <c r="B93" s="29" t="s">
        <v>427</v>
      </c>
      <c r="C93" s="60" t="b">
        <v>0</v>
      </c>
      <c r="D93" s="24" t="s">
        <v>404</v>
      </c>
      <c r="E93" s="24"/>
      <c r="F93" s="24"/>
      <c r="G93" s="24"/>
      <c r="H93" s="55"/>
      <c r="I93" s="55"/>
      <c r="J93" s="55"/>
      <c r="K93" s="55"/>
      <c r="L93" s="48"/>
      <c r="M93" s="55"/>
      <c r="N93" s="55"/>
      <c r="O93" s="55"/>
      <c r="P93" s="55"/>
      <c r="Q93" s="55"/>
      <c r="R93" s="55"/>
      <c r="S93" s="55"/>
      <c r="T93" s="55"/>
      <c r="U93" s="55"/>
      <c r="V93" s="55"/>
    </row>
    <row r="94" spans="1:22" s="2" customFormat="1" ht="26.1" customHeight="1">
      <c r="A94" s="24" t="s">
        <v>347</v>
      </c>
      <c r="B94" s="29" t="s">
        <v>428</v>
      </c>
      <c r="C94" s="60" t="b">
        <v>0</v>
      </c>
      <c r="D94" s="24" t="s">
        <v>404</v>
      </c>
      <c r="E94" s="24"/>
      <c r="F94" s="24"/>
      <c r="G94" s="24"/>
      <c r="H94" s="55"/>
      <c r="I94" s="55"/>
      <c r="J94" s="55"/>
      <c r="K94" s="55"/>
      <c r="L94" s="55"/>
      <c r="M94" s="55"/>
      <c r="N94" s="55"/>
      <c r="O94" s="55"/>
      <c r="P94" s="55"/>
      <c r="Q94" s="55"/>
      <c r="R94" s="55"/>
      <c r="S94" s="55"/>
      <c r="T94" s="55"/>
      <c r="U94" s="55"/>
      <c r="V94" s="55"/>
    </row>
    <row r="95" spans="1:22" ht="26.1" customHeight="1">
      <c r="A95" s="24" t="s">
        <v>347</v>
      </c>
      <c r="B95" s="29" t="s">
        <v>429</v>
      </c>
      <c r="C95" s="60" t="b">
        <v>0</v>
      </c>
      <c r="D95" s="24" t="s">
        <v>404</v>
      </c>
      <c r="E95" s="24"/>
      <c r="F95" s="24"/>
      <c r="G95" s="24"/>
      <c r="H95" s="55"/>
      <c r="I95" s="55"/>
      <c r="J95" s="55"/>
      <c r="K95" s="55"/>
      <c r="L95" s="48"/>
      <c r="M95" s="55"/>
      <c r="N95" s="55"/>
      <c r="O95" s="55"/>
      <c r="P95" s="55"/>
      <c r="Q95" s="55"/>
      <c r="R95" s="55"/>
      <c r="S95" s="55"/>
      <c r="T95" s="55"/>
      <c r="U95" s="55"/>
      <c r="V95" s="55"/>
    </row>
    <row r="96" spans="1:22" ht="26.1" customHeight="1">
      <c r="A96" s="24" t="s">
        <v>347</v>
      </c>
      <c r="B96" s="29" t="s">
        <v>430</v>
      </c>
      <c r="C96" s="60" t="b">
        <v>0</v>
      </c>
      <c r="D96" s="24" t="s">
        <v>404</v>
      </c>
      <c r="E96" s="24"/>
      <c r="F96" s="24"/>
      <c r="G96" s="24"/>
      <c r="H96" s="55"/>
      <c r="I96" s="55"/>
      <c r="J96" s="55"/>
      <c r="K96" s="55"/>
      <c r="L96" s="48"/>
      <c r="M96" s="55"/>
      <c r="N96" s="55"/>
      <c r="O96" s="55"/>
      <c r="P96" s="55"/>
      <c r="Q96" s="55"/>
      <c r="R96" s="55"/>
      <c r="S96" s="55"/>
      <c r="T96" s="55"/>
      <c r="U96" s="55"/>
      <c r="V96" s="55"/>
    </row>
    <row r="97" spans="1:22" ht="26.1" customHeight="1">
      <c r="A97" s="24" t="s">
        <v>347</v>
      </c>
      <c r="B97" s="29" t="s">
        <v>431</v>
      </c>
      <c r="C97" s="60" t="b">
        <v>0</v>
      </c>
      <c r="D97" s="24" t="s">
        <v>404</v>
      </c>
      <c r="E97" s="24"/>
      <c r="F97" s="24"/>
      <c r="G97" s="24"/>
      <c r="H97" s="55"/>
      <c r="I97" s="55"/>
      <c r="J97" s="55"/>
      <c r="K97" s="55"/>
      <c r="L97" s="48"/>
      <c r="M97" s="55"/>
      <c r="N97" s="55"/>
      <c r="O97" s="55"/>
      <c r="P97" s="55"/>
      <c r="Q97" s="55"/>
      <c r="R97" s="55"/>
      <c r="S97" s="55"/>
      <c r="T97" s="55"/>
      <c r="U97" s="55"/>
      <c r="V97" s="55"/>
    </row>
    <row r="98" spans="1:22" ht="26.1" customHeight="1">
      <c r="A98" s="24" t="s">
        <v>347</v>
      </c>
      <c r="B98" s="29" t="s">
        <v>432</v>
      </c>
      <c r="C98" s="60" t="b">
        <v>0</v>
      </c>
      <c r="D98" s="24" t="s">
        <v>404</v>
      </c>
      <c r="E98" s="24"/>
      <c r="F98" s="24"/>
      <c r="G98" s="24"/>
      <c r="H98" s="55"/>
      <c r="I98" s="55"/>
      <c r="J98" s="55"/>
      <c r="K98" s="55"/>
      <c r="L98" s="48"/>
      <c r="M98" s="55"/>
      <c r="N98" s="55"/>
      <c r="O98" s="55"/>
      <c r="P98" s="55"/>
      <c r="Q98" s="55"/>
      <c r="R98" s="55"/>
      <c r="S98" s="55"/>
      <c r="T98" s="55"/>
      <c r="U98" s="55"/>
      <c r="V98" s="55"/>
    </row>
    <row r="99" spans="1:22" ht="26.1" customHeight="1">
      <c r="A99" s="24" t="s">
        <v>347</v>
      </c>
      <c r="B99" s="29" t="s">
        <v>433</v>
      </c>
      <c r="C99" s="60" t="b">
        <v>0</v>
      </c>
      <c r="D99" s="24" t="s">
        <v>404</v>
      </c>
      <c r="E99" s="24"/>
      <c r="F99" s="24"/>
      <c r="G99" s="24"/>
      <c r="H99" s="55"/>
      <c r="I99" s="55"/>
      <c r="J99" s="55"/>
      <c r="K99" s="55"/>
      <c r="L99" s="48"/>
      <c r="M99" s="55"/>
      <c r="N99" s="55"/>
      <c r="O99" s="55"/>
      <c r="P99" s="55"/>
      <c r="Q99" s="55"/>
      <c r="R99" s="55"/>
      <c r="S99" s="55"/>
      <c r="T99" s="55"/>
      <c r="U99" s="55"/>
      <c r="V99" s="55"/>
    </row>
    <row r="100" spans="1:22" ht="26.1" customHeight="1">
      <c r="A100" s="24" t="s">
        <v>347</v>
      </c>
      <c r="B100" s="29" t="s">
        <v>434</v>
      </c>
      <c r="C100" s="60" t="b">
        <v>0</v>
      </c>
      <c r="D100" s="24" t="s">
        <v>404</v>
      </c>
      <c r="E100" s="24"/>
      <c r="F100" s="24"/>
      <c r="G100" s="24"/>
      <c r="H100" s="55"/>
      <c r="I100" s="55"/>
      <c r="J100" s="55"/>
      <c r="K100" s="55"/>
      <c r="L100" s="48"/>
      <c r="M100" s="55"/>
      <c r="N100" s="55"/>
      <c r="O100" s="55"/>
      <c r="P100" s="55"/>
      <c r="Q100" s="55"/>
      <c r="R100" s="55"/>
      <c r="S100" s="55"/>
      <c r="T100" s="55"/>
      <c r="U100" s="55"/>
      <c r="V100" s="55"/>
    </row>
    <row r="101" spans="1:22" ht="26.1" customHeight="1">
      <c r="A101" s="24" t="s">
        <v>347</v>
      </c>
      <c r="B101" s="29" t="s">
        <v>435</v>
      </c>
      <c r="C101" s="60" t="b">
        <v>0</v>
      </c>
      <c r="D101" s="24" t="s">
        <v>404</v>
      </c>
      <c r="E101" s="24"/>
      <c r="F101" s="24"/>
      <c r="G101" s="24"/>
      <c r="H101" s="55"/>
      <c r="I101" s="55"/>
      <c r="J101" s="55"/>
      <c r="K101" s="55"/>
      <c r="L101" s="48"/>
      <c r="M101" s="55"/>
      <c r="N101" s="55"/>
      <c r="O101" s="55"/>
      <c r="P101" s="55"/>
      <c r="Q101" s="55"/>
      <c r="R101" s="55"/>
      <c r="S101" s="55"/>
      <c r="T101" s="55"/>
      <c r="U101" s="55"/>
      <c r="V101" s="55"/>
    </row>
    <row r="102" spans="1:22" s="2" customFormat="1" ht="26.1" customHeight="1">
      <c r="A102" s="24" t="s">
        <v>347</v>
      </c>
      <c r="B102" s="29" t="s">
        <v>436</v>
      </c>
      <c r="C102" s="60" t="b">
        <v>0</v>
      </c>
      <c r="D102" s="24" t="s">
        <v>404</v>
      </c>
      <c r="E102" s="24"/>
      <c r="F102" s="24"/>
      <c r="G102" s="24"/>
      <c r="H102" s="55"/>
      <c r="I102" s="55"/>
      <c r="J102" s="55"/>
      <c r="K102" s="55"/>
      <c r="L102" s="55"/>
      <c r="M102" s="55"/>
      <c r="N102" s="55"/>
      <c r="O102" s="55"/>
      <c r="P102" s="55"/>
      <c r="Q102" s="55"/>
      <c r="R102" s="55"/>
      <c r="S102" s="55"/>
      <c r="T102" s="55"/>
      <c r="U102" s="55"/>
      <c r="V102" s="55"/>
    </row>
    <row r="103" spans="1:22" s="2" customFormat="1" ht="26.1" customHeight="1">
      <c r="A103" s="24" t="s">
        <v>347</v>
      </c>
      <c r="B103" s="29" t="s">
        <v>437</v>
      </c>
      <c r="C103" s="60" t="b">
        <v>0</v>
      </c>
      <c r="D103" s="24" t="s">
        <v>404</v>
      </c>
      <c r="E103" s="24"/>
      <c r="F103" s="24"/>
      <c r="G103" s="24"/>
      <c r="H103" s="55"/>
      <c r="I103" s="55"/>
      <c r="J103" s="55"/>
      <c r="K103" s="55"/>
      <c r="L103" s="55"/>
      <c r="M103" s="55"/>
      <c r="N103" s="55"/>
      <c r="O103" s="55"/>
      <c r="P103" s="55"/>
      <c r="Q103" s="55"/>
      <c r="R103" s="55"/>
      <c r="S103" s="55"/>
      <c r="T103" s="55"/>
      <c r="U103" s="55"/>
      <c r="V103" s="55"/>
    </row>
    <row r="104" spans="1:22" s="2" customFormat="1" ht="26.1" customHeight="1">
      <c r="A104" s="24" t="s">
        <v>347</v>
      </c>
      <c r="B104" s="29" t="s">
        <v>438</v>
      </c>
      <c r="C104" s="60" t="b">
        <v>0</v>
      </c>
      <c r="D104" s="24" t="s">
        <v>404</v>
      </c>
      <c r="E104" s="24"/>
      <c r="F104" s="24"/>
      <c r="G104" s="24"/>
      <c r="H104" s="55"/>
      <c r="I104" s="55"/>
      <c r="J104" s="55"/>
      <c r="K104" s="55"/>
      <c r="L104" s="55"/>
      <c r="M104" s="55"/>
      <c r="N104" s="55"/>
      <c r="O104" s="55"/>
      <c r="P104" s="55"/>
      <c r="Q104" s="55"/>
      <c r="R104" s="55"/>
      <c r="S104" s="55"/>
      <c r="T104" s="55"/>
      <c r="U104" s="55"/>
      <c r="V104" s="55"/>
    </row>
    <row r="105" spans="1:22" s="2" customFormat="1" ht="26.1" customHeight="1">
      <c r="A105" s="24" t="s">
        <v>347</v>
      </c>
      <c r="B105" s="29" t="s">
        <v>439</v>
      </c>
      <c r="C105" s="60" t="b">
        <v>0</v>
      </c>
      <c r="D105" s="24" t="s">
        <v>404</v>
      </c>
      <c r="E105" s="24"/>
      <c r="F105" s="24"/>
      <c r="G105" s="24"/>
      <c r="H105" s="55"/>
      <c r="I105" s="55"/>
      <c r="J105" s="55"/>
      <c r="K105" s="55"/>
      <c r="L105" s="55"/>
      <c r="M105" s="55"/>
      <c r="N105" s="55"/>
      <c r="O105" s="55"/>
      <c r="P105" s="55"/>
      <c r="Q105" s="55"/>
      <c r="R105" s="55"/>
      <c r="S105" s="55"/>
      <c r="T105" s="55"/>
      <c r="U105" s="55"/>
      <c r="V105" s="55"/>
    </row>
    <row r="106" spans="1:22" s="2" customFormat="1" ht="26.1" customHeight="1">
      <c r="A106" s="24" t="s">
        <v>347</v>
      </c>
      <c r="B106" s="29" t="s">
        <v>440</v>
      </c>
      <c r="C106" s="60" t="b">
        <v>0</v>
      </c>
      <c r="D106" s="24" t="s">
        <v>404</v>
      </c>
      <c r="E106" s="24"/>
      <c r="F106" s="24"/>
      <c r="G106" s="24"/>
      <c r="H106" s="55"/>
      <c r="I106" s="55"/>
      <c r="J106" s="55"/>
      <c r="K106" s="55"/>
      <c r="L106" s="55"/>
      <c r="M106" s="55"/>
      <c r="N106" s="55"/>
      <c r="O106" s="55"/>
      <c r="P106" s="55"/>
      <c r="Q106" s="55"/>
      <c r="R106" s="55"/>
      <c r="S106" s="55"/>
      <c r="T106" s="55"/>
      <c r="U106" s="55"/>
      <c r="V106" s="55"/>
    </row>
    <row r="107" spans="1:22" s="2" customFormat="1" ht="26.1" customHeight="1">
      <c r="A107" s="24" t="s">
        <v>347</v>
      </c>
      <c r="B107" s="29" t="s">
        <v>371</v>
      </c>
      <c r="C107" s="60" t="b">
        <v>0</v>
      </c>
      <c r="D107" s="24" t="s">
        <v>404</v>
      </c>
      <c r="E107" s="24"/>
      <c r="F107" s="24"/>
      <c r="G107" s="24"/>
      <c r="H107" s="55"/>
      <c r="I107" s="55"/>
      <c r="J107" s="55"/>
      <c r="K107" s="55"/>
      <c r="L107" s="55"/>
      <c r="M107" s="55"/>
      <c r="N107" s="55"/>
      <c r="O107" s="55"/>
      <c r="P107" s="55"/>
      <c r="Q107" s="55"/>
      <c r="R107" s="55"/>
      <c r="S107" s="55"/>
      <c r="T107" s="55"/>
      <c r="U107" s="55"/>
      <c r="V107" s="55"/>
    </row>
    <row r="108" spans="1:22" s="2" customFormat="1" ht="18.9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row>
    <row r="109" spans="1:22" s="2" customFormat="1" ht="26.1" customHeight="1">
      <c r="A109" s="150" t="s">
        <v>441</v>
      </c>
      <c r="B109" s="194"/>
      <c r="C109" s="194"/>
      <c r="D109" s="194"/>
      <c r="E109" s="194"/>
      <c r="F109" s="194"/>
      <c r="G109" s="194"/>
      <c r="H109" s="194"/>
      <c r="I109" s="194"/>
      <c r="J109" s="194"/>
      <c r="K109" s="194"/>
      <c r="L109" s="195"/>
      <c r="M109" s="55"/>
      <c r="N109" s="55"/>
      <c r="O109" s="55"/>
      <c r="P109" s="55"/>
      <c r="Q109" s="55"/>
      <c r="R109" s="55"/>
      <c r="S109" s="55"/>
      <c r="T109" s="55"/>
      <c r="U109" s="55"/>
      <c r="V109" s="55"/>
    </row>
    <row r="110" spans="1:22" s="2" customFormat="1" ht="26.1" customHeight="1">
      <c r="A110" s="22" t="s">
        <v>143</v>
      </c>
      <c r="B110" s="22" t="s">
        <v>442</v>
      </c>
      <c r="C110" s="22" t="s">
        <v>354</v>
      </c>
      <c r="D110" s="22" t="s">
        <v>355</v>
      </c>
      <c r="E110" s="22" t="s">
        <v>356</v>
      </c>
      <c r="F110" s="22" t="s">
        <v>357</v>
      </c>
      <c r="G110" s="22" t="s">
        <v>358</v>
      </c>
      <c r="H110" s="22"/>
      <c r="I110" s="22"/>
      <c r="J110" s="22"/>
      <c r="K110" s="22"/>
      <c r="L110" s="22"/>
      <c r="M110" s="55"/>
      <c r="N110" s="55"/>
      <c r="O110" s="55"/>
      <c r="P110" s="55"/>
      <c r="Q110" s="55"/>
      <c r="R110" s="55"/>
      <c r="S110" s="55"/>
      <c r="T110" s="55"/>
      <c r="U110" s="55"/>
      <c r="V110" s="55"/>
    </row>
    <row r="111" spans="1:22" s="2" customFormat="1" ht="26.1" customHeight="1">
      <c r="A111" s="24" t="s">
        <v>350</v>
      </c>
      <c r="B111" s="29" t="s">
        <v>443</v>
      </c>
      <c r="C111" s="60" t="b">
        <v>0</v>
      </c>
      <c r="D111" s="24" t="s">
        <v>404</v>
      </c>
      <c r="E111" s="24"/>
      <c r="F111" s="24"/>
      <c r="G111" s="24"/>
      <c r="H111" s="55"/>
      <c r="I111" s="55"/>
      <c r="J111" s="55"/>
      <c r="K111" s="55"/>
      <c r="L111" s="55"/>
      <c r="M111" s="55"/>
      <c r="N111" s="55"/>
      <c r="O111" s="55"/>
      <c r="P111" s="55"/>
      <c r="Q111" s="55"/>
      <c r="R111" s="55"/>
      <c r="S111" s="55"/>
      <c r="T111" s="55"/>
      <c r="U111" s="55"/>
      <c r="V111" s="55"/>
    </row>
    <row r="112" spans="1:22" s="2" customFormat="1" ht="26.1" customHeight="1">
      <c r="A112" s="24" t="s">
        <v>350</v>
      </c>
      <c r="B112" s="29" t="s">
        <v>444</v>
      </c>
      <c r="C112" s="60" t="b">
        <v>0</v>
      </c>
      <c r="D112" s="24" t="s">
        <v>404</v>
      </c>
      <c r="E112" s="24"/>
      <c r="F112" s="24"/>
      <c r="G112" s="24"/>
      <c r="H112" s="55"/>
      <c r="I112" s="55"/>
      <c r="J112" s="55"/>
      <c r="K112" s="55"/>
      <c r="L112" s="55"/>
      <c r="M112" s="55"/>
      <c r="N112" s="55"/>
      <c r="O112" s="55"/>
      <c r="P112" s="55"/>
      <c r="Q112" s="55"/>
      <c r="R112" s="55"/>
      <c r="S112" s="55"/>
      <c r="T112" s="55"/>
      <c r="U112" s="55"/>
      <c r="V112" s="55"/>
    </row>
    <row r="113" spans="1:22" s="2" customFormat="1" ht="26.1" customHeight="1">
      <c r="A113" s="24" t="s">
        <v>350</v>
      </c>
      <c r="B113" s="29" t="s">
        <v>445</v>
      </c>
      <c r="C113" s="60" t="b">
        <v>0</v>
      </c>
      <c r="D113" s="24" t="s">
        <v>404</v>
      </c>
      <c r="E113" s="24"/>
      <c r="F113" s="24"/>
      <c r="G113" s="24"/>
      <c r="H113" s="55"/>
      <c r="I113" s="55"/>
      <c r="J113" s="55"/>
      <c r="K113" s="55"/>
      <c r="L113" s="55"/>
      <c r="M113" s="55"/>
      <c r="N113" s="55"/>
      <c r="O113" s="55"/>
      <c r="P113" s="55"/>
      <c r="Q113" s="55"/>
      <c r="R113" s="55"/>
      <c r="S113" s="55"/>
      <c r="T113" s="55"/>
      <c r="U113" s="55"/>
      <c r="V113" s="55"/>
    </row>
    <row r="114" spans="1:22" s="2" customFormat="1" ht="26.1" customHeight="1">
      <c r="A114" s="24" t="s">
        <v>350</v>
      </c>
      <c r="B114" s="29" t="s">
        <v>446</v>
      </c>
      <c r="C114" s="60" t="b">
        <v>0</v>
      </c>
      <c r="D114" s="24" t="s">
        <v>404</v>
      </c>
      <c r="E114" s="24"/>
      <c r="F114" s="24"/>
      <c r="G114" s="24"/>
      <c r="H114" s="55"/>
      <c r="I114" s="55"/>
      <c r="J114" s="55"/>
      <c r="K114" s="55"/>
      <c r="L114" s="55"/>
      <c r="M114" s="55"/>
      <c r="N114" s="55"/>
      <c r="O114" s="55"/>
      <c r="P114" s="55"/>
      <c r="Q114" s="55"/>
      <c r="R114" s="55"/>
      <c r="S114" s="55"/>
      <c r="T114" s="55"/>
      <c r="U114" s="55"/>
      <c r="V114" s="55"/>
    </row>
    <row r="115" spans="1:22" s="2" customFormat="1" ht="26.1" customHeight="1">
      <c r="A115" s="24" t="s">
        <v>350</v>
      </c>
      <c r="B115" s="29" t="s">
        <v>447</v>
      </c>
      <c r="C115" s="60" t="b">
        <v>0</v>
      </c>
      <c r="D115" s="24" t="s">
        <v>404</v>
      </c>
      <c r="E115" s="24"/>
      <c r="F115" s="24"/>
      <c r="G115" s="24"/>
      <c r="H115" s="55"/>
      <c r="I115" s="55"/>
      <c r="J115" s="55"/>
      <c r="K115" s="55"/>
      <c r="L115" s="55"/>
      <c r="M115" s="55"/>
      <c r="N115" s="55"/>
      <c r="O115" s="55"/>
      <c r="P115" s="55"/>
      <c r="Q115" s="55"/>
      <c r="R115" s="55"/>
      <c r="S115" s="55"/>
      <c r="T115" s="55"/>
      <c r="U115" s="55"/>
      <c r="V115" s="55"/>
    </row>
    <row r="116" spans="1:22" ht="26.1" customHeight="1">
      <c r="A116" s="24" t="s">
        <v>350</v>
      </c>
      <c r="B116" s="29" t="s">
        <v>448</v>
      </c>
      <c r="C116" s="60" t="b">
        <v>0</v>
      </c>
      <c r="D116" s="24" t="s">
        <v>404</v>
      </c>
      <c r="E116" s="24"/>
      <c r="F116" s="24"/>
      <c r="G116" s="24"/>
      <c r="H116" s="55"/>
      <c r="I116" s="55"/>
      <c r="J116" s="55"/>
      <c r="K116" s="55"/>
      <c r="L116" s="48"/>
      <c r="M116" s="55"/>
      <c r="N116" s="55"/>
      <c r="O116" s="55"/>
      <c r="P116" s="55"/>
      <c r="Q116" s="55"/>
      <c r="R116" s="55"/>
      <c r="S116" s="55"/>
      <c r="T116" s="55"/>
      <c r="U116" s="55"/>
      <c r="V116" s="55"/>
    </row>
    <row r="117" spans="1:22" s="2" customFormat="1" ht="26.1" customHeight="1">
      <c r="A117" s="24" t="s">
        <v>350</v>
      </c>
      <c r="B117" s="29" t="s">
        <v>449</v>
      </c>
      <c r="C117" s="60" t="b">
        <v>0</v>
      </c>
      <c r="D117" s="24" t="s">
        <v>404</v>
      </c>
      <c r="E117" s="24"/>
      <c r="F117" s="24"/>
      <c r="G117" s="24"/>
      <c r="H117" s="55"/>
      <c r="I117" s="55"/>
      <c r="J117" s="55"/>
      <c r="K117" s="55"/>
      <c r="L117" s="55"/>
      <c r="M117" s="55"/>
      <c r="N117" s="55"/>
      <c r="O117" s="55"/>
      <c r="P117" s="55"/>
      <c r="Q117" s="55"/>
      <c r="R117" s="55"/>
      <c r="S117" s="55"/>
      <c r="T117" s="55"/>
      <c r="U117" s="55"/>
      <c r="V117" s="55"/>
    </row>
    <row r="118" spans="1:22" ht="26.1" customHeight="1">
      <c r="A118" s="24" t="s">
        <v>350</v>
      </c>
      <c r="B118" s="29" t="s">
        <v>450</v>
      </c>
      <c r="C118" s="60" t="b">
        <v>0</v>
      </c>
      <c r="D118" s="24" t="s">
        <v>404</v>
      </c>
      <c r="E118" s="24"/>
      <c r="F118" s="24"/>
      <c r="G118" s="24"/>
      <c r="H118" s="55"/>
      <c r="I118" s="55"/>
      <c r="J118" s="55"/>
      <c r="K118" s="55"/>
      <c r="L118" s="48"/>
      <c r="M118" s="55"/>
      <c r="N118" s="55"/>
      <c r="O118" s="55"/>
      <c r="P118" s="55"/>
      <c r="Q118" s="55"/>
      <c r="R118" s="55"/>
      <c r="S118" s="55"/>
      <c r="T118" s="55"/>
      <c r="U118" s="55"/>
      <c r="V118" s="55"/>
    </row>
    <row r="119" spans="1:22" ht="26.1" customHeight="1">
      <c r="A119" s="24" t="s">
        <v>350</v>
      </c>
      <c r="B119" s="29" t="s">
        <v>451</v>
      </c>
      <c r="C119" s="60" t="b">
        <v>0</v>
      </c>
      <c r="D119" s="24" t="s">
        <v>404</v>
      </c>
      <c r="E119" s="24"/>
      <c r="F119" s="24"/>
      <c r="G119" s="24"/>
      <c r="H119" s="55"/>
      <c r="I119" s="55"/>
      <c r="J119" s="55"/>
      <c r="K119" s="55"/>
      <c r="L119" s="48"/>
      <c r="M119" s="55"/>
      <c r="N119" s="55"/>
      <c r="O119" s="55"/>
      <c r="P119" s="55"/>
      <c r="Q119" s="55"/>
      <c r="R119" s="55"/>
      <c r="S119" s="55"/>
      <c r="T119" s="55"/>
      <c r="U119" s="55"/>
      <c r="V119" s="55"/>
    </row>
    <row r="120" spans="1:22" ht="26.1" customHeight="1">
      <c r="A120" s="24" t="s">
        <v>350</v>
      </c>
      <c r="B120" s="29" t="s">
        <v>452</v>
      </c>
      <c r="C120" s="60" t="b">
        <v>0</v>
      </c>
      <c r="D120" s="24" t="s">
        <v>404</v>
      </c>
      <c r="E120" s="24"/>
      <c r="F120" s="24"/>
      <c r="G120" s="24"/>
      <c r="H120" s="55"/>
      <c r="I120" s="55"/>
      <c r="J120" s="55"/>
      <c r="K120" s="55"/>
      <c r="L120" s="48"/>
      <c r="M120" s="55"/>
      <c r="N120" s="55"/>
      <c r="O120" s="55"/>
      <c r="P120" s="55"/>
      <c r="Q120" s="55"/>
      <c r="R120" s="55"/>
      <c r="S120" s="55"/>
      <c r="T120" s="55"/>
      <c r="U120" s="55"/>
      <c r="V120" s="55"/>
    </row>
    <row r="121" spans="1:22" ht="26.1" customHeight="1">
      <c r="A121" s="24" t="s">
        <v>350</v>
      </c>
      <c r="B121" s="29" t="s">
        <v>453</v>
      </c>
      <c r="C121" s="60" t="b">
        <v>0</v>
      </c>
      <c r="D121" s="24" t="s">
        <v>404</v>
      </c>
      <c r="E121" s="24"/>
      <c r="F121" s="24"/>
      <c r="G121" s="24"/>
      <c r="H121" s="55"/>
      <c r="I121" s="55"/>
      <c r="J121" s="55"/>
      <c r="K121" s="55"/>
      <c r="L121" s="48"/>
      <c r="M121" s="55"/>
      <c r="N121" s="55"/>
      <c r="O121" s="55"/>
      <c r="P121" s="55"/>
      <c r="Q121" s="55"/>
      <c r="R121" s="55"/>
      <c r="S121" s="55"/>
      <c r="T121" s="55"/>
      <c r="U121" s="55"/>
      <c r="V121" s="55"/>
    </row>
    <row r="122" spans="1:22" ht="26.1" customHeight="1">
      <c r="A122" s="24" t="s">
        <v>350</v>
      </c>
      <c r="B122" s="29" t="s">
        <v>454</v>
      </c>
      <c r="C122" s="60" t="b">
        <v>0</v>
      </c>
      <c r="D122" s="24" t="s">
        <v>404</v>
      </c>
      <c r="E122" s="24"/>
      <c r="F122" s="24"/>
      <c r="G122" s="24"/>
      <c r="H122" s="55"/>
      <c r="I122" s="55"/>
      <c r="J122" s="55"/>
      <c r="K122" s="55"/>
      <c r="L122" s="48"/>
      <c r="M122" s="55"/>
      <c r="N122" s="55"/>
      <c r="O122" s="55"/>
      <c r="P122" s="55"/>
      <c r="Q122" s="55"/>
      <c r="R122" s="55"/>
      <c r="S122" s="55"/>
      <c r="T122" s="55"/>
      <c r="U122" s="55"/>
      <c r="V122" s="55"/>
    </row>
    <row r="123" spans="1:22" ht="26.1" customHeight="1">
      <c r="A123" s="24" t="s">
        <v>350</v>
      </c>
      <c r="B123" s="29" t="s">
        <v>455</v>
      </c>
      <c r="C123" s="60" t="b">
        <v>0</v>
      </c>
      <c r="D123" s="24" t="s">
        <v>404</v>
      </c>
      <c r="E123" s="24"/>
      <c r="F123" s="24"/>
      <c r="G123" s="24"/>
      <c r="H123" s="55"/>
      <c r="I123" s="55"/>
      <c r="J123" s="55"/>
      <c r="K123" s="55"/>
      <c r="L123" s="48"/>
      <c r="M123" s="55"/>
      <c r="N123" s="55"/>
      <c r="O123" s="55"/>
      <c r="P123" s="55"/>
      <c r="Q123" s="55"/>
      <c r="R123" s="55"/>
      <c r="S123" s="55"/>
      <c r="T123" s="55"/>
      <c r="U123" s="55"/>
      <c r="V123" s="55"/>
    </row>
    <row r="124" spans="1:22" ht="26.1" customHeight="1">
      <c r="A124" s="24" t="s">
        <v>350</v>
      </c>
      <c r="B124" s="29" t="s">
        <v>456</v>
      </c>
      <c r="C124" s="60" t="b">
        <v>0</v>
      </c>
      <c r="D124" s="24" t="s">
        <v>404</v>
      </c>
      <c r="E124" s="24"/>
      <c r="F124" s="24"/>
      <c r="G124" s="24"/>
      <c r="H124" s="55"/>
      <c r="I124" s="55"/>
      <c r="J124" s="55"/>
      <c r="K124" s="55"/>
      <c r="L124" s="48"/>
      <c r="M124" s="55"/>
      <c r="N124" s="55"/>
      <c r="O124" s="55"/>
      <c r="P124" s="55"/>
      <c r="Q124" s="55"/>
      <c r="R124" s="55"/>
      <c r="S124" s="55"/>
      <c r="T124" s="55"/>
      <c r="U124" s="55"/>
      <c r="V124" s="55"/>
    </row>
    <row r="125" spans="1:22" ht="26.1" customHeight="1">
      <c r="A125" s="24" t="s">
        <v>350</v>
      </c>
      <c r="B125" s="29" t="s">
        <v>457</v>
      </c>
      <c r="C125" s="60" t="b">
        <v>0</v>
      </c>
      <c r="D125" s="24" t="s">
        <v>404</v>
      </c>
      <c r="E125" s="24"/>
      <c r="F125" s="24"/>
      <c r="G125" s="24"/>
      <c r="H125" s="55"/>
      <c r="I125" s="55"/>
      <c r="J125" s="55"/>
      <c r="K125" s="55"/>
      <c r="L125" s="48"/>
      <c r="M125" s="55"/>
      <c r="N125" s="55"/>
      <c r="O125" s="55"/>
      <c r="P125" s="55"/>
      <c r="Q125" s="55"/>
      <c r="R125" s="55"/>
      <c r="S125" s="55"/>
      <c r="T125" s="55"/>
      <c r="U125" s="55"/>
      <c r="V125" s="55"/>
    </row>
    <row r="126" spans="1:22" ht="26.1" customHeight="1">
      <c r="A126" s="24" t="s">
        <v>350</v>
      </c>
      <c r="B126" s="29" t="s">
        <v>458</v>
      </c>
      <c r="C126" s="60" t="b">
        <v>0</v>
      </c>
      <c r="D126" s="24" t="s">
        <v>404</v>
      </c>
      <c r="E126" s="24"/>
      <c r="F126" s="24"/>
      <c r="G126" s="24"/>
      <c r="H126" s="55"/>
      <c r="I126" s="55"/>
      <c r="J126" s="55"/>
      <c r="K126" s="55"/>
      <c r="L126" s="48"/>
      <c r="M126" s="55"/>
      <c r="N126" s="55"/>
      <c r="O126" s="55"/>
      <c r="P126" s="55"/>
      <c r="Q126" s="55"/>
      <c r="R126" s="55"/>
      <c r="S126" s="55"/>
      <c r="T126" s="55"/>
      <c r="U126" s="55"/>
      <c r="V126" s="55"/>
    </row>
    <row r="127" spans="1:22" ht="26.1" customHeight="1">
      <c r="A127" s="24" t="s">
        <v>350</v>
      </c>
      <c r="B127" s="29" t="s">
        <v>459</v>
      </c>
      <c r="C127" s="60" t="b">
        <v>0</v>
      </c>
      <c r="D127" s="24" t="s">
        <v>404</v>
      </c>
      <c r="E127" s="24"/>
      <c r="F127" s="24"/>
      <c r="G127" s="24"/>
      <c r="H127" s="55"/>
      <c r="I127" s="55"/>
      <c r="J127" s="55"/>
      <c r="K127" s="55"/>
      <c r="L127" s="48"/>
      <c r="M127" s="55"/>
      <c r="N127" s="55"/>
      <c r="O127" s="55"/>
      <c r="P127" s="55"/>
      <c r="Q127" s="55"/>
      <c r="R127" s="55"/>
      <c r="S127" s="55"/>
      <c r="T127" s="55"/>
      <c r="U127" s="55"/>
      <c r="V127" s="55"/>
    </row>
    <row r="128" spans="1:22" ht="26.1" customHeight="1">
      <c r="A128" s="24" t="s">
        <v>350</v>
      </c>
      <c r="B128" s="29" t="s">
        <v>460</v>
      </c>
      <c r="C128" s="60" t="b">
        <v>0</v>
      </c>
      <c r="D128" s="24" t="s">
        <v>404</v>
      </c>
      <c r="E128" s="24"/>
      <c r="F128" s="24"/>
      <c r="G128" s="24"/>
      <c r="H128" s="55"/>
      <c r="I128" s="55"/>
      <c r="J128" s="55"/>
      <c r="K128" s="55"/>
      <c r="L128" s="48"/>
      <c r="M128" s="55"/>
      <c r="N128" s="55"/>
      <c r="O128" s="55"/>
      <c r="P128" s="55"/>
      <c r="Q128" s="55"/>
      <c r="R128" s="55"/>
      <c r="S128" s="55"/>
      <c r="T128" s="55"/>
      <c r="U128" s="55"/>
      <c r="V128" s="55"/>
    </row>
    <row r="129" spans="1:22" ht="26.1" customHeight="1">
      <c r="A129" s="24" t="s">
        <v>350</v>
      </c>
      <c r="B129" s="29" t="s">
        <v>461</v>
      </c>
      <c r="C129" s="60" t="b">
        <v>0</v>
      </c>
      <c r="D129" s="24" t="s">
        <v>404</v>
      </c>
      <c r="E129" s="24"/>
      <c r="F129" s="24"/>
      <c r="G129" s="24"/>
      <c r="H129" s="55"/>
      <c r="I129" s="55"/>
      <c r="J129" s="55"/>
      <c r="K129" s="55"/>
      <c r="L129" s="48"/>
      <c r="M129" s="55"/>
      <c r="N129" s="55"/>
      <c r="O129" s="55"/>
      <c r="P129" s="55"/>
      <c r="Q129" s="55"/>
      <c r="R129" s="55"/>
      <c r="S129" s="55"/>
      <c r="T129" s="55"/>
      <c r="U129" s="55"/>
      <c r="V129" s="55"/>
    </row>
    <row r="130" spans="1:22" s="2" customFormat="1" ht="26.1" customHeight="1">
      <c r="A130" s="24" t="s">
        <v>350</v>
      </c>
      <c r="B130" s="29" t="s">
        <v>462</v>
      </c>
      <c r="C130" s="60" t="b">
        <v>0</v>
      </c>
      <c r="D130" s="24" t="s">
        <v>404</v>
      </c>
      <c r="E130" s="24"/>
      <c r="F130" s="24"/>
      <c r="G130" s="24"/>
      <c r="H130" s="55"/>
      <c r="I130" s="55"/>
      <c r="J130" s="55"/>
      <c r="K130" s="55"/>
      <c r="L130" s="55"/>
      <c r="M130" s="55"/>
      <c r="N130" s="55"/>
      <c r="O130" s="55"/>
      <c r="P130" s="55"/>
      <c r="Q130" s="55"/>
      <c r="R130" s="55"/>
      <c r="S130" s="55"/>
      <c r="T130" s="55"/>
      <c r="U130" s="55"/>
      <c r="V130" s="55"/>
    </row>
    <row r="131" spans="1:22" s="2" customFormat="1" ht="26.1" customHeight="1">
      <c r="A131" s="24" t="s">
        <v>350</v>
      </c>
      <c r="B131" s="29" t="s">
        <v>463</v>
      </c>
      <c r="C131" s="60" t="b">
        <v>0</v>
      </c>
      <c r="D131" s="24" t="s">
        <v>404</v>
      </c>
      <c r="E131" s="24"/>
      <c r="F131" s="24"/>
      <c r="G131" s="24"/>
      <c r="H131" s="55"/>
      <c r="I131" s="55"/>
      <c r="J131" s="55"/>
      <c r="K131" s="55"/>
      <c r="L131" s="55"/>
      <c r="M131" s="55"/>
      <c r="N131" s="55"/>
      <c r="O131" s="55"/>
      <c r="P131" s="55"/>
      <c r="Q131" s="55"/>
      <c r="R131" s="55"/>
      <c r="S131" s="55"/>
      <c r="T131" s="55"/>
      <c r="U131" s="55"/>
      <c r="V131" s="55"/>
    </row>
    <row r="132" spans="1:22" s="2" customFormat="1" ht="26.1" customHeight="1">
      <c r="A132" s="24" t="s">
        <v>350</v>
      </c>
      <c r="B132" s="29" t="s">
        <v>464</v>
      </c>
      <c r="C132" s="60" t="b">
        <v>0</v>
      </c>
      <c r="D132" s="24" t="s">
        <v>404</v>
      </c>
      <c r="E132" s="24"/>
      <c r="F132" s="24"/>
      <c r="G132" s="24"/>
      <c r="H132" s="55"/>
      <c r="I132" s="55"/>
      <c r="J132" s="55"/>
      <c r="K132" s="55"/>
      <c r="L132" s="55"/>
      <c r="M132" s="55"/>
      <c r="N132" s="55"/>
      <c r="O132" s="55"/>
      <c r="P132" s="55"/>
      <c r="Q132" s="55"/>
      <c r="R132" s="55"/>
      <c r="S132" s="55"/>
      <c r="T132" s="55"/>
      <c r="U132" s="55"/>
      <c r="V132" s="55"/>
    </row>
    <row r="133" spans="1:22" s="2" customFormat="1" ht="26.1" customHeight="1">
      <c r="A133" s="24" t="s">
        <v>350</v>
      </c>
      <c r="B133" s="29" t="s">
        <v>465</v>
      </c>
      <c r="C133" s="60" t="b">
        <v>0</v>
      </c>
      <c r="D133" s="24" t="s">
        <v>404</v>
      </c>
      <c r="E133" s="24"/>
      <c r="F133" s="24"/>
      <c r="G133" s="24"/>
      <c r="H133" s="55"/>
      <c r="I133" s="55"/>
      <c r="J133" s="55"/>
      <c r="K133" s="55"/>
      <c r="L133" s="55"/>
      <c r="M133" s="55"/>
      <c r="N133" s="55"/>
      <c r="O133" s="55"/>
      <c r="P133" s="55"/>
      <c r="Q133" s="55"/>
      <c r="R133" s="55"/>
      <c r="S133" s="55"/>
      <c r="T133" s="55"/>
      <c r="U133" s="55"/>
      <c r="V133" s="55"/>
    </row>
    <row r="134" spans="1:22" s="2" customFormat="1" ht="26.1" customHeight="1">
      <c r="A134" s="24" t="s">
        <v>350</v>
      </c>
      <c r="B134" s="29" t="s">
        <v>466</v>
      </c>
      <c r="C134" s="60" t="b">
        <v>0</v>
      </c>
      <c r="D134" s="24" t="s">
        <v>404</v>
      </c>
      <c r="E134" s="24"/>
      <c r="F134" s="24"/>
      <c r="G134" s="24"/>
      <c r="H134" s="55"/>
      <c r="I134" s="55"/>
      <c r="J134" s="55"/>
      <c r="K134" s="55"/>
      <c r="L134" s="55"/>
      <c r="M134" s="55"/>
      <c r="N134" s="55"/>
      <c r="O134" s="55"/>
      <c r="P134" s="55"/>
      <c r="Q134" s="55"/>
      <c r="R134" s="55"/>
      <c r="S134" s="55"/>
      <c r="T134" s="55"/>
      <c r="U134" s="55"/>
      <c r="V134" s="55"/>
    </row>
    <row r="135" spans="1:22" s="2" customFormat="1" ht="26.1" customHeight="1">
      <c r="A135" s="24" t="s">
        <v>350</v>
      </c>
      <c r="B135" s="29" t="s">
        <v>467</v>
      </c>
      <c r="C135" s="60" t="b">
        <v>0</v>
      </c>
      <c r="D135" s="24" t="s">
        <v>404</v>
      </c>
      <c r="E135" s="24"/>
      <c r="F135" s="24"/>
      <c r="G135" s="24"/>
      <c r="H135" s="55"/>
      <c r="I135" s="55"/>
      <c r="J135" s="55"/>
      <c r="K135" s="55"/>
      <c r="L135" s="55"/>
      <c r="M135" s="55"/>
      <c r="N135" s="55"/>
      <c r="O135" s="55"/>
      <c r="P135" s="55"/>
      <c r="Q135" s="55"/>
      <c r="R135" s="55"/>
      <c r="S135" s="55"/>
      <c r="T135" s="55"/>
      <c r="U135" s="55"/>
      <c r="V135" s="55"/>
    </row>
    <row r="136" spans="1:22" s="2" customFormat="1" ht="26.1" customHeight="1">
      <c r="A136" s="24" t="s">
        <v>350</v>
      </c>
      <c r="B136" s="29" t="s">
        <v>468</v>
      </c>
      <c r="C136" s="60" t="b">
        <v>0</v>
      </c>
      <c r="D136" s="24" t="s">
        <v>404</v>
      </c>
      <c r="E136" s="24"/>
      <c r="F136" s="24"/>
      <c r="G136" s="24"/>
      <c r="H136" s="55"/>
      <c r="I136" s="55"/>
      <c r="J136" s="55"/>
      <c r="K136" s="55"/>
      <c r="L136" s="55"/>
      <c r="M136" s="55"/>
      <c r="N136" s="55"/>
      <c r="O136" s="55"/>
      <c r="P136" s="55"/>
      <c r="Q136" s="55"/>
      <c r="R136" s="55"/>
      <c r="S136" s="55"/>
      <c r="T136" s="55"/>
      <c r="U136" s="55"/>
      <c r="V136" s="55"/>
    </row>
    <row r="137" spans="1:22" s="2" customFormat="1" ht="26.1" customHeight="1">
      <c r="A137" s="24" t="s">
        <v>350</v>
      </c>
      <c r="B137" s="29" t="s">
        <v>469</v>
      </c>
      <c r="C137" s="60" t="b">
        <v>0</v>
      </c>
      <c r="D137" s="24" t="s">
        <v>404</v>
      </c>
      <c r="E137" s="24"/>
      <c r="F137" s="24"/>
      <c r="G137" s="24"/>
      <c r="H137" s="55"/>
      <c r="I137" s="55"/>
      <c r="J137" s="55"/>
      <c r="K137" s="55"/>
      <c r="L137" s="55"/>
      <c r="M137" s="55"/>
      <c r="N137" s="55"/>
      <c r="O137" s="55"/>
      <c r="P137" s="55"/>
      <c r="Q137" s="55"/>
      <c r="R137" s="55"/>
      <c r="S137" s="55"/>
      <c r="T137" s="55"/>
      <c r="U137" s="55"/>
      <c r="V137" s="55"/>
    </row>
    <row r="138" spans="1:22" s="2" customFormat="1" ht="26.1" customHeight="1">
      <c r="A138" s="24" t="s">
        <v>350</v>
      </c>
      <c r="B138" s="29" t="s">
        <v>470</v>
      </c>
      <c r="C138" s="60" t="b">
        <v>0</v>
      </c>
      <c r="D138" s="24" t="s">
        <v>404</v>
      </c>
      <c r="E138" s="24"/>
      <c r="F138" s="24"/>
      <c r="G138" s="24"/>
      <c r="H138" s="55"/>
      <c r="I138" s="55"/>
      <c r="J138" s="55"/>
      <c r="K138" s="55"/>
      <c r="L138" s="55"/>
      <c r="M138" s="55"/>
      <c r="N138" s="55"/>
      <c r="O138" s="55"/>
      <c r="P138" s="55"/>
      <c r="Q138" s="55"/>
      <c r="R138" s="55"/>
      <c r="S138" s="55"/>
      <c r="T138" s="55"/>
      <c r="U138" s="55"/>
      <c r="V138" s="55"/>
    </row>
    <row r="139" spans="1:22" s="2" customFormat="1" ht="26.1" customHeight="1">
      <c r="A139" s="24" t="s">
        <v>350</v>
      </c>
      <c r="B139" s="29" t="s">
        <v>471</v>
      </c>
      <c r="C139" s="60" t="b">
        <v>0</v>
      </c>
      <c r="D139" s="24" t="s">
        <v>404</v>
      </c>
      <c r="E139" s="24"/>
      <c r="F139" s="24"/>
      <c r="G139" s="24"/>
      <c r="H139" s="55"/>
      <c r="I139" s="55"/>
      <c r="J139" s="55"/>
      <c r="K139" s="55"/>
      <c r="L139" s="55"/>
      <c r="M139" s="55"/>
      <c r="N139" s="55"/>
      <c r="O139" s="55"/>
      <c r="P139" s="55"/>
      <c r="Q139" s="55"/>
      <c r="R139" s="55"/>
      <c r="S139" s="55"/>
      <c r="T139" s="55"/>
      <c r="U139" s="55"/>
      <c r="V139" s="55"/>
    </row>
    <row r="140" spans="1:22" s="2" customFormat="1" ht="26.1" customHeight="1">
      <c r="A140" s="24" t="s">
        <v>350</v>
      </c>
      <c r="B140" s="29" t="s">
        <v>472</v>
      </c>
      <c r="C140" s="60" t="b">
        <v>0</v>
      </c>
      <c r="D140" s="24" t="s">
        <v>404</v>
      </c>
      <c r="E140" s="24"/>
      <c r="F140" s="24"/>
      <c r="G140" s="24"/>
      <c r="H140" s="55"/>
      <c r="I140" s="55"/>
      <c r="J140" s="55"/>
      <c r="K140" s="55"/>
      <c r="L140" s="55"/>
      <c r="M140" s="55"/>
      <c r="N140" s="55"/>
      <c r="O140" s="55"/>
      <c r="P140" s="55"/>
      <c r="Q140" s="55"/>
      <c r="R140" s="55"/>
      <c r="S140" s="55"/>
      <c r="T140" s="55"/>
      <c r="U140" s="55"/>
      <c r="V140" s="55"/>
    </row>
    <row r="141" spans="1:22" s="2" customFormat="1" ht="26.1" customHeight="1">
      <c r="A141" s="24" t="s">
        <v>350</v>
      </c>
      <c r="B141" s="29" t="s">
        <v>473</v>
      </c>
      <c r="C141" s="60" t="b">
        <v>0</v>
      </c>
      <c r="D141" s="24" t="s">
        <v>404</v>
      </c>
      <c r="E141" s="24"/>
      <c r="F141" s="24"/>
      <c r="G141" s="24"/>
      <c r="H141" s="55"/>
      <c r="I141" s="55"/>
      <c r="J141" s="55"/>
      <c r="K141" s="55"/>
      <c r="L141" s="55"/>
      <c r="M141" s="55"/>
      <c r="N141" s="55"/>
      <c r="O141" s="55"/>
      <c r="P141" s="55"/>
      <c r="Q141" s="55"/>
      <c r="R141" s="55"/>
      <c r="S141" s="55"/>
      <c r="T141" s="55"/>
      <c r="U141" s="55"/>
      <c r="V141" s="55"/>
    </row>
    <row r="142" spans="1:22" s="2" customFormat="1" ht="26.1" customHeight="1">
      <c r="A142" s="24" t="s">
        <v>350</v>
      </c>
      <c r="B142" s="29" t="s">
        <v>474</v>
      </c>
      <c r="C142" s="60" t="b">
        <v>0</v>
      </c>
      <c r="D142" s="24" t="s">
        <v>404</v>
      </c>
      <c r="E142" s="24"/>
      <c r="F142" s="24"/>
      <c r="G142" s="24"/>
      <c r="H142" s="55"/>
      <c r="I142" s="55"/>
      <c r="J142" s="55"/>
      <c r="K142" s="55"/>
      <c r="L142" s="55"/>
      <c r="M142" s="55"/>
      <c r="N142" s="55"/>
      <c r="O142" s="55"/>
      <c r="P142" s="55"/>
      <c r="Q142" s="55"/>
      <c r="R142" s="55"/>
      <c r="S142" s="55"/>
      <c r="T142" s="55"/>
      <c r="U142" s="55"/>
      <c r="V142" s="55"/>
    </row>
    <row r="143" spans="1:22" s="2" customFormat="1" ht="18.9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row>
    <row r="144" spans="1:22" s="2" customFormat="1" ht="26.1" customHeight="1">
      <c r="A144" s="150" t="s">
        <v>475</v>
      </c>
      <c r="B144" s="194"/>
      <c r="C144" s="194"/>
      <c r="D144" s="194"/>
      <c r="E144" s="194"/>
      <c r="F144" s="194"/>
      <c r="G144" s="194"/>
      <c r="H144" s="194"/>
      <c r="I144" s="194"/>
      <c r="J144" s="194"/>
      <c r="K144" s="194"/>
      <c r="L144" s="195"/>
      <c r="M144" s="55"/>
      <c r="N144" s="55"/>
      <c r="O144" s="55"/>
      <c r="P144" s="55"/>
      <c r="Q144" s="55"/>
      <c r="R144" s="55"/>
      <c r="S144" s="55"/>
      <c r="T144" s="55"/>
      <c r="U144" s="55"/>
      <c r="V144" s="55"/>
    </row>
    <row r="145" spans="1:22" s="2" customFormat="1" ht="26.1" customHeight="1">
      <c r="A145" s="22" t="s">
        <v>143</v>
      </c>
      <c r="B145" s="22" t="s">
        <v>476</v>
      </c>
      <c r="C145" s="22" t="s">
        <v>354</v>
      </c>
      <c r="D145" s="22" t="s">
        <v>355</v>
      </c>
      <c r="E145" s="22" t="s">
        <v>356</v>
      </c>
      <c r="F145" s="22" t="s">
        <v>357</v>
      </c>
      <c r="G145" s="22" t="s">
        <v>358</v>
      </c>
      <c r="H145" s="22"/>
      <c r="I145" s="22"/>
      <c r="J145" s="22"/>
      <c r="K145" s="22"/>
      <c r="L145" s="22"/>
      <c r="M145" s="55"/>
      <c r="N145" s="55"/>
      <c r="O145" s="55"/>
      <c r="P145" s="55"/>
      <c r="Q145" s="55"/>
      <c r="R145" s="55"/>
      <c r="S145" s="55"/>
      <c r="T145" s="55"/>
      <c r="U145" s="55"/>
      <c r="V145" s="55"/>
    </row>
    <row r="146" spans="1:22" s="2" customFormat="1" ht="26.1" customHeight="1">
      <c r="A146" s="24" t="s">
        <v>350</v>
      </c>
      <c r="B146" s="29" t="s">
        <v>477</v>
      </c>
      <c r="C146" s="60" t="b">
        <v>0</v>
      </c>
      <c r="D146" s="24" t="s">
        <v>478</v>
      </c>
      <c r="E146" s="24"/>
      <c r="F146" s="24"/>
      <c r="G146" s="24"/>
      <c r="H146" s="55"/>
      <c r="I146" s="55"/>
      <c r="J146" s="55"/>
      <c r="K146" s="55"/>
      <c r="L146" s="55"/>
      <c r="M146" s="55"/>
      <c r="N146" s="55"/>
      <c r="O146" s="55"/>
      <c r="P146" s="55"/>
      <c r="Q146" s="55"/>
      <c r="R146" s="55"/>
      <c r="S146" s="55"/>
      <c r="T146" s="55"/>
      <c r="U146" s="55"/>
      <c r="V146" s="55"/>
    </row>
    <row r="147" spans="1:22" s="2" customFormat="1" ht="26.1" customHeight="1">
      <c r="A147" s="24" t="s">
        <v>350</v>
      </c>
      <c r="B147" s="29" t="s">
        <v>479</v>
      </c>
      <c r="C147" s="60" t="b">
        <v>0</v>
      </c>
      <c r="D147" s="24" t="s">
        <v>478</v>
      </c>
      <c r="E147" s="24"/>
      <c r="F147" s="24"/>
      <c r="G147" s="24"/>
      <c r="H147" s="55"/>
      <c r="I147" s="55"/>
      <c r="J147" s="55"/>
      <c r="K147" s="55"/>
      <c r="L147" s="55"/>
      <c r="M147" s="55"/>
      <c r="N147" s="55"/>
      <c r="O147" s="55"/>
      <c r="P147" s="55"/>
      <c r="Q147" s="55"/>
      <c r="R147" s="55"/>
      <c r="S147" s="55"/>
      <c r="T147" s="55"/>
      <c r="U147" s="55"/>
      <c r="V147" s="55"/>
    </row>
    <row r="148" spans="1:22" s="2" customFormat="1" ht="26.1" customHeight="1">
      <c r="A148" s="24" t="s">
        <v>350</v>
      </c>
      <c r="B148" s="29" t="s">
        <v>480</v>
      </c>
      <c r="C148" s="60" t="b">
        <v>0</v>
      </c>
      <c r="D148" s="24" t="s">
        <v>478</v>
      </c>
      <c r="E148" s="24"/>
      <c r="F148" s="24"/>
      <c r="G148" s="24"/>
      <c r="H148" s="55"/>
      <c r="I148" s="55"/>
      <c r="J148" s="55"/>
      <c r="K148" s="55"/>
      <c r="L148" s="55"/>
      <c r="M148" s="55"/>
      <c r="N148" s="55"/>
      <c r="O148" s="55"/>
      <c r="P148" s="55"/>
      <c r="Q148" s="55"/>
      <c r="R148" s="55"/>
      <c r="S148" s="55"/>
      <c r="T148" s="55"/>
      <c r="U148" s="55"/>
      <c r="V148" s="55"/>
    </row>
    <row r="149" spans="1:22" s="2" customFormat="1" ht="26.1" customHeight="1">
      <c r="A149" s="24" t="s">
        <v>350</v>
      </c>
      <c r="B149" s="29" t="s">
        <v>481</v>
      </c>
      <c r="C149" s="60" t="b">
        <v>0</v>
      </c>
      <c r="D149" s="24" t="s">
        <v>478</v>
      </c>
      <c r="E149" s="24"/>
      <c r="F149" s="24"/>
      <c r="G149" s="24"/>
      <c r="H149" s="55"/>
      <c r="I149" s="55"/>
      <c r="J149" s="55"/>
      <c r="K149" s="55"/>
      <c r="L149" s="55"/>
      <c r="M149" s="55"/>
      <c r="N149" s="55"/>
      <c r="O149" s="55"/>
      <c r="P149" s="55"/>
      <c r="Q149" s="55"/>
      <c r="R149" s="55"/>
      <c r="S149" s="55"/>
      <c r="T149" s="55"/>
      <c r="U149" s="55"/>
      <c r="V149" s="55"/>
    </row>
    <row r="150" spans="1:22" s="2" customFormat="1" ht="26.1" customHeight="1">
      <c r="A150" s="24" t="s">
        <v>350</v>
      </c>
      <c r="B150" s="29" t="s">
        <v>482</v>
      </c>
      <c r="C150" s="60" t="b">
        <v>0</v>
      </c>
      <c r="D150" s="24" t="s">
        <v>478</v>
      </c>
      <c r="E150" s="24"/>
      <c r="F150" s="24"/>
      <c r="G150" s="24"/>
      <c r="H150" s="55"/>
      <c r="I150" s="55"/>
      <c r="J150" s="55"/>
      <c r="K150" s="55"/>
      <c r="L150" s="55"/>
      <c r="M150" s="55"/>
      <c r="N150" s="55"/>
      <c r="O150" s="55"/>
      <c r="P150" s="55"/>
      <c r="Q150" s="55"/>
      <c r="R150" s="55"/>
      <c r="S150" s="55"/>
      <c r="T150" s="55"/>
      <c r="U150" s="55"/>
      <c r="V150" s="55"/>
    </row>
    <row r="151" spans="1:22" ht="26.1" customHeight="1">
      <c r="A151" s="24" t="s">
        <v>350</v>
      </c>
      <c r="B151" s="29" t="s">
        <v>483</v>
      </c>
      <c r="C151" s="60" t="b">
        <v>0</v>
      </c>
      <c r="D151" s="24" t="s">
        <v>478</v>
      </c>
      <c r="E151" s="24"/>
      <c r="F151" s="24"/>
      <c r="G151" s="24"/>
      <c r="H151" s="55"/>
      <c r="I151" s="55"/>
      <c r="J151" s="55"/>
      <c r="K151" s="55"/>
      <c r="L151" s="48"/>
      <c r="M151" s="55"/>
      <c r="N151" s="55"/>
      <c r="O151" s="55"/>
      <c r="P151" s="55"/>
      <c r="Q151" s="55"/>
      <c r="R151" s="55"/>
      <c r="S151" s="55"/>
      <c r="T151" s="55"/>
      <c r="U151" s="55"/>
      <c r="V151" s="55"/>
    </row>
    <row r="152" spans="1:22" ht="26.1" customHeight="1">
      <c r="A152" s="24" t="s">
        <v>350</v>
      </c>
      <c r="B152" s="29" t="s">
        <v>484</v>
      </c>
      <c r="C152" s="60" t="b">
        <v>0</v>
      </c>
      <c r="D152" s="24" t="s">
        <v>478</v>
      </c>
      <c r="E152" s="24"/>
      <c r="F152" s="24"/>
      <c r="G152" s="24"/>
      <c r="H152" s="55"/>
      <c r="I152" s="55"/>
      <c r="J152" s="55"/>
      <c r="K152" s="55"/>
      <c r="L152" s="48"/>
      <c r="M152" s="55"/>
      <c r="N152" s="55"/>
      <c r="O152" s="55"/>
      <c r="P152" s="55"/>
      <c r="Q152" s="55"/>
      <c r="R152" s="55"/>
      <c r="S152" s="55"/>
      <c r="T152" s="55"/>
      <c r="U152" s="55"/>
      <c r="V152" s="55"/>
    </row>
    <row r="153" spans="1:22" ht="26.1" customHeight="1">
      <c r="A153" s="24" t="s">
        <v>350</v>
      </c>
      <c r="B153" s="29" t="s">
        <v>485</v>
      </c>
      <c r="C153" s="60" t="b">
        <v>0</v>
      </c>
      <c r="D153" s="24" t="s">
        <v>478</v>
      </c>
      <c r="E153" s="24"/>
      <c r="F153" s="24"/>
      <c r="G153" s="24"/>
      <c r="H153" s="55"/>
      <c r="I153" s="55"/>
      <c r="J153" s="55"/>
      <c r="K153" s="55"/>
      <c r="L153" s="48"/>
      <c r="M153" s="55"/>
      <c r="N153" s="55"/>
      <c r="O153" s="55"/>
      <c r="P153" s="55"/>
      <c r="Q153" s="55"/>
      <c r="R153" s="55"/>
      <c r="S153" s="55"/>
      <c r="T153" s="55"/>
      <c r="U153" s="55"/>
      <c r="V153" s="55"/>
    </row>
    <row r="154" spans="1:22" ht="26.1" customHeight="1">
      <c r="A154" s="24" t="s">
        <v>350</v>
      </c>
      <c r="B154" s="29" t="s">
        <v>486</v>
      </c>
      <c r="C154" s="60" t="b">
        <v>0</v>
      </c>
      <c r="D154" s="24" t="s">
        <v>478</v>
      </c>
      <c r="E154" s="24"/>
      <c r="F154" s="24"/>
      <c r="G154" s="24"/>
      <c r="H154" s="55"/>
      <c r="I154" s="55"/>
      <c r="J154" s="55"/>
      <c r="K154" s="55"/>
      <c r="L154" s="48"/>
      <c r="M154" s="55"/>
      <c r="N154" s="55"/>
      <c r="O154" s="55"/>
      <c r="P154" s="55"/>
      <c r="Q154" s="55"/>
      <c r="R154" s="55"/>
      <c r="S154" s="55"/>
      <c r="T154" s="55"/>
      <c r="U154" s="55"/>
      <c r="V154" s="55"/>
    </row>
    <row r="155" spans="1:22" ht="26.1" customHeight="1">
      <c r="A155" s="24" t="s">
        <v>350</v>
      </c>
      <c r="B155" s="29" t="s">
        <v>487</v>
      </c>
      <c r="C155" s="60" t="b">
        <v>0</v>
      </c>
      <c r="D155" s="24" t="s">
        <v>478</v>
      </c>
      <c r="E155" s="24"/>
      <c r="F155" s="24"/>
      <c r="G155" s="24"/>
      <c r="H155" s="55"/>
      <c r="I155" s="55"/>
      <c r="J155" s="55"/>
      <c r="K155" s="55"/>
      <c r="L155" s="48"/>
      <c r="M155" s="55"/>
      <c r="N155" s="55"/>
      <c r="O155" s="55"/>
      <c r="P155" s="55"/>
      <c r="Q155" s="55"/>
      <c r="R155" s="55"/>
      <c r="S155" s="55"/>
      <c r="T155" s="55"/>
      <c r="U155" s="55"/>
      <c r="V155" s="55"/>
    </row>
    <row r="156" spans="1:22" ht="26.1" customHeight="1">
      <c r="A156" s="24" t="s">
        <v>350</v>
      </c>
      <c r="B156" s="29" t="s">
        <v>488</v>
      </c>
      <c r="C156" s="60" t="b">
        <v>0</v>
      </c>
      <c r="D156" s="24" t="s">
        <v>478</v>
      </c>
      <c r="E156" s="24"/>
      <c r="F156" s="24"/>
      <c r="G156" s="24"/>
      <c r="H156" s="55"/>
      <c r="I156" s="55"/>
      <c r="J156" s="55"/>
      <c r="K156" s="55"/>
      <c r="L156" s="48"/>
      <c r="M156" s="55"/>
      <c r="N156" s="55"/>
      <c r="O156" s="55"/>
      <c r="P156" s="55"/>
      <c r="Q156" s="55"/>
      <c r="R156" s="55"/>
      <c r="S156" s="55"/>
      <c r="T156" s="55"/>
      <c r="U156" s="55"/>
      <c r="V156" s="55"/>
    </row>
    <row r="157" spans="1:22" ht="26.1" customHeight="1">
      <c r="A157" s="24" t="s">
        <v>350</v>
      </c>
      <c r="B157" s="29" t="s">
        <v>489</v>
      </c>
      <c r="C157" s="60" t="b">
        <v>0</v>
      </c>
      <c r="D157" s="24" t="s">
        <v>478</v>
      </c>
      <c r="E157" s="24"/>
      <c r="F157" s="24"/>
      <c r="G157" s="24"/>
      <c r="H157" s="55"/>
      <c r="I157" s="55"/>
      <c r="J157" s="55"/>
      <c r="K157" s="55"/>
      <c r="L157" s="48"/>
      <c r="M157" s="55"/>
      <c r="N157" s="55"/>
      <c r="O157" s="55"/>
      <c r="P157" s="55"/>
      <c r="Q157" s="55"/>
      <c r="R157" s="55"/>
      <c r="S157" s="55"/>
      <c r="T157" s="55"/>
      <c r="U157" s="55"/>
      <c r="V157" s="55"/>
    </row>
    <row r="158" spans="1:22" ht="18.95" customHeight="1">
      <c r="A158" s="55"/>
      <c r="B158" s="55"/>
      <c r="C158" s="55"/>
      <c r="D158" s="55"/>
      <c r="E158" s="55"/>
      <c r="F158" s="55"/>
      <c r="G158" s="55"/>
      <c r="H158" s="55"/>
      <c r="I158" s="55"/>
      <c r="J158" s="55"/>
      <c r="K158" s="55"/>
      <c r="L158" s="48"/>
      <c r="M158" s="55"/>
      <c r="N158" s="55"/>
      <c r="O158" s="55"/>
      <c r="P158" s="55"/>
      <c r="Q158" s="55"/>
      <c r="R158" s="55"/>
      <c r="S158" s="55"/>
      <c r="T158" s="55"/>
      <c r="U158" s="55"/>
      <c r="V158" s="55"/>
    </row>
    <row r="159" spans="1:22" ht="26.1" customHeight="1">
      <c r="A159" s="150" t="s">
        <v>490</v>
      </c>
      <c r="B159" s="194"/>
      <c r="C159" s="194"/>
      <c r="D159" s="194"/>
      <c r="E159" s="194"/>
      <c r="F159" s="194"/>
      <c r="G159" s="194"/>
      <c r="H159" s="194"/>
      <c r="I159" s="194"/>
      <c r="J159" s="194"/>
      <c r="K159" s="194"/>
      <c r="L159" s="195"/>
      <c r="M159" s="55"/>
      <c r="N159" s="55"/>
      <c r="O159" s="55"/>
      <c r="P159" s="55"/>
      <c r="Q159" s="55"/>
      <c r="R159" s="55"/>
      <c r="S159" s="55"/>
      <c r="T159" s="55"/>
      <c r="U159" s="55"/>
      <c r="V159" s="55"/>
    </row>
    <row r="160" spans="1:22" ht="24" customHeight="1">
      <c r="A160" s="22" t="s">
        <v>143</v>
      </c>
      <c r="B160" s="22" t="s">
        <v>491</v>
      </c>
      <c r="C160" s="22" t="s">
        <v>492</v>
      </c>
      <c r="D160" s="22" t="s">
        <v>493</v>
      </c>
      <c r="E160" s="22" t="s">
        <v>494</v>
      </c>
      <c r="F160" s="22" t="s">
        <v>495</v>
      </c>
      <c r="G160" s="22" t="s">
        <v>496</v>
      </c>
      <c r="H160" s="22" t="s">
        <v>497</v>
      </c>
      <c r="I160" s="22" t="s">
        <v>498</v>
      </c>
      <c r="J160" s="22" t="s">
        <v>499</v>
      </c>
      <c r="K160" s="22"/>
      <c r="L160" s="22"/>
      <c r="M160" s="55"/>
      <c r="N160" s="55"/>
      <c r="O160" s="55"/>
      <c r="P160" s="55"/>
      <c r="Q160" s="55"/>
      <c r="R160" s="55"/>
      <c r="S160" s="55"/>
      <c r="T160" s="55"/>
      <c r="U160" s="55"/>
      <c r="V160" s="55"/>
    </row>
    <row r="161" spans="1:22" s="2" customFormat="1" ht="33.950000000000003" customHeight="1">
      <c r="A161" s="30" t="s">
        <v>343</v>
      </c>
      <c r="B161" s="24" t="s">
        <v>500</v>
      </c>
      <c r="C161" s="60" t="b">
        <v>0</v>
      </c>
      <c r="D161" s="24" t="s">
        <v>501</v>
      </c>
      <c r="E161" s="24"/>
      <c r="F161" s="24"/>
      <c r="G161" s="24"/>
      <c r="H161" s="24"/>
      <c r="I161" s="24"/>
      <c r="J161" s="24"/>
      <c r="K161" s="55"/>
      <c r="L161" s="55"/>
      <c r="M161" s="55"/>
      <c r="N161" s="55"/>
      <c r="O161" s="55"/>
      <c r="P161" s="55"/>
      <c r="Q161" s="55"/>
      <c r="R161" s="55"/>
      <c r="S161" s="55"/>
      <c r="T161" s="55"/>
      <c r="U161" s="55"/>
      <c r="V161" s="55"/>
    </row>
    <row r="162" spans="1:22" s="2" customFormat="1" ht="33.950000000000003" customHeight="1">
      <c r="A162" s="30" t="s">
        <v>343</v>
      </c>
      <c r="B162" s="24" t="s">
        <v>502</v>
      </c>
      <c r="C162" s="60" t="b">
        <v>0</v>
      </c>
      <c r="D162" s="24" t="s">
        <v>501</v>
      </c>
      <c r="E162" s="24"/>
      <c r="F162" s="24"/>
      <c r="G162" s="24"/>
      <c r="H162" s="24"/>
      <c r="I162" s="24"/>
      <c r="J162" s="24"/>
      <c r="K162" s="55"/>
      <c r="L162" s="55"/>
      <c r="M162" s="55"/>
      <c r="N162" s="55"/>
      <c r="O162" s="55"/>
      <c r="P162" s="55"/>
      <c r="Q162" s="55"/>
      <c r="R162" s="55"/>
      <c r="S162" s="55"/>
      <c r="T162" s="55"/>
      <c r="U162" s="55"/>
      <c r="V162" s="55"/>
    </row>
    <row r="163" spans="1:22" s="2" customFormat="1" ht="33.950000000000003" customHeight="1">
      <c r="A163" s="30" t="s">
        <v>343</v>
      </c>
      <c r="B163" s="24" t="s">
        <v>503</v>
      </c>
      <c r="C163" s="60" t="b">
        <v>0</v>
      </c>
      <c r="D163" s="24" t="s">
        <v>501</v>
      </c>
      <c r="E163" s="24"/>
      <c r="F163" s="24"/>
      <c r="G163" s="24"/>
      <c r="H163" s="24"/>
      <c r="I163" s="24"/>
      <c r="J163" s="24"/>
      <c r="K163" s="55"/>
      <c r="L163" s="55"/>
      <c r="M163" s="55"/>
      <c r="N163" s="55"/>
      <c r="O163" s="55"/>
      <c r="P163" s="55"/>
      <c r="Q163" s="55"/>
      <c r="R163" s="55"/>
      <c r="S163" s="55"/>
      <c r="T163" s="55"/>
      <c r="U163" s="55"/>
      <c r="V163" s="55"/>
    </row>
    <row r="164" spans="1:22" s="2" customFormat="1" ht="33.950000000000003" customHeight="1">
      <c r="A164" s="30" t="s">
        <v>347</v>
      </c>
      <c r="B164" s="24" t="s">
        <v>504</v>
      </c>
      <c r="C164" s="60" t="b">
        <v>0</v>
      </c>
      <c r="D164" s="24" t="s">
        <v>501</v>
      </c>
      <c r="E164" s="24"/>
      <c r="F164" s="24"/>
      <c r="G164" s="24"/>
      <c r="H164" s="24"/>
      <c r="I164" s="24"/>
      <c r="J164" s="24"/>
      <c r="K164" s="55"/>
      <c r="L164" s="55"/>
      <c r="M164" s="55"/>
      <c r="N164" s="55"/>
      <c r="O164" s="55"/>
      <c r="P164" s="55"/>
      <c r="Q164" s="55"/>
      <c r="R164" s="55"/>
      <c r="S164" s="55"/>
      <c r="T164" s="55"/>
      <c r="U164" s="55"/>
      <c r="V164" s="55"/>
    </row>
    <row r="165" spans="1:22" s="2" customFormat="1" ht="26.1" customHeight="1">
      <c r="A165" s="30" t="s">
        <v>347</v>
      </c>
      <c r="B165" s="24" t="s">
        <v>505</v>
      </c>
      <c r="C165" s="60" t="b">
        <v>0</v>
      </c>
      <c r="D165" s="24" t="s">
        <v>501</v>
      </c>
      <c r="E165" s="24"/>
      <c r="F165" s="24"/>
      <c r="G165" s="24"/>
      <c r="H165" s="24"/>
      <c r="I165" s="24"/>
      <c r="J165" s="24"/>
      <c r="K165" s="55"/>
      <c r="L165" s="55"/>
      <c r="M165" s="55"/>
      <c r="N165" s="55"/>
      <c r="O165" s="55"/>
      <c r="P165" s="55"/>
      <c r="Q165" s="55"/>
      <c r="R165" s="55"/>
      <c r="S165" s="55"/>
      <c r="T165" s="55"/>
      <c r="U165" s="55"/>
      <c r="V165" s="55"/>
    </row>
    <row r="166" spans="1:22" s="2" customFormat="1" ht="33.950000000000003" customHeight="1">
      <c r="A166" s="30" t="s">
        <v>347</v>
      </c>
      <c r="B166" s="24" t="s">
        <v>506</v>
      </c>
      <c r="C166" s="60" t="b">
        <v>0</v>
      </c>
      <c r="D166" s="24" t="s">
        <v>501</v>
      </c>
      <c r="E166" s="24"/>
      <c r="F166" s="24"/>
      <c r="G166" s="24"/>
      <c r="H166" s="24"/>
      <c r="I166" s="24"/>
      <c r="J166" s="24"/>
      <c r="K166" s="55"/>
      <c r="L166" s="55"/>
      <c r="M166" s="55"/>
      <c r="N166" s="55"/>
      <c r="O166" s="55"/>
      <c r="P166" s="55"/>
      <c r="Q166" s="55"/>
      <c r="R166" s="55"/>
      <c r="S166" s="55"/>
      <c r="T166" s="55"/>
      <c r="U166" s="55"/>
      <c r="V166" s="55"/>
    </row>
    <row r="167" spans="1:22" s="2" customFormat="1" ht="33.950000000000003" customHeight="1">
      <c r="A167" s="30" t="s">
        <v>350</v>
      </c>
      <c r="B167" s="24" t="s">
        <v>507</v>
      </c>
      <c r="C167" s="60" t="b">
        <v>0</v>
      </c>
      <c r="D167" s="24" t="s">
        <v>501</v>
      </c>
      <c r="E167" s="24"/>
      <c r="F167" s="24"/>
      <c r="G167" s="24"/>
      <c r="H167" s="24"/>
      <c r="I167" s="24"/>
      <c r="J167" s="24"/>
      <c r="K167" s="55"/>
      <c r="L167" s="55"/>
      <c r="M167" s="55"/>
      <c r="N167" s="55"/>
      <c r="O167" s="55"/>
      <c r="P167" s="55"/>
      <c r="Q167" s="55"/>
      <c r="R167" s="55"/>
      <c r="S167" s="55"/>
      <c r="T167" s="55"/>
      <c r="U167" s="55"/>
      <c r="V167" s="55"/>
    </row>
    <row r="168" spans="1:22" s="2" customFormat="1" ht="33.950000000000003" customHeight="1">
      <c r="A168" s="30" t="s">
        <v>350</v>
      </c>
      <c r="B168" s="24" t="s">
        <v>508</v>
      </c>
      <c r="C168" s="60" t="b">
        <v>0</v>
      </c>
      <c r="D168" s="24" t="s">
        <v>501</v>
      </c>
      <c r="E168" s="24"/>
      <c r="F168" s="24"/>
      <c r="G168" s="24"/>
      <c r="H168" s="24"/>
      <c r="I168" s="24"/>
      <c r="J168" s="24"/>
      <c r="K168" s="55"/>
      <c r="L168" s="55"/>
      <c r="M168" s="55"/>
      <c r="N168" s="55"/>
      <c r="O168" s="55"/>
      <c r="P168" s="55"/>
      <c r="Q168" s="55"/>
      <c r="R168" s="55"/>
      <c r="S168" s="55"/>
      <c r="T168" s="55"/>
      <c r="U168" s="55"/>
      <c r="V168" s="55"/>
    </row>
    <row r="169" spans="1:22" s="2" customFormat="1" ht="26.1" customHeight="1">
      <c r="A169" s="30" t="s">
        <v>350</v>
      </c>
      <c r="B169" s="24" t="s">
        <v>509</v>
      </c>
      <c r="C169" s="60" t="b">
        <v>0</v>
      </c>
      <c r="D169" s="24" t="s">
        <v>501</v>
      </c>
      <c r="E169" s="24"/>
      <c r="F169" s="24"/>
      <c r="G169" s="24"/>
      <c r="H169" s="24"/>
      <c r="I169" s="24"/>
      <c r="J169" s="24"/>
      <c r="K169" s="55"/>
      <c r="L169" s="55"/>
      <c r="M169" s="55"/>
      <c r="N169" s="55"/>
      <c r="O169" s="55"/>
      <c r="P169" s="55"/>
      <c r="Q169" s="55"/>
      <c r="R169" s="55"/>
      <c r="S169" s="55"/>
      <c r="T169" s="55"/>
      <c r="U169" s="55"/>
      <c r="V169" s="55"/>
    </row>
    <row r="170" spans="1:22" s="2" customFormat="1" ht="18.9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row>
    <row r="171" spans="1:22" s="2" customFormat="1" ht="33.950000000000003" customHeight="1">
      <c r="A171" s="150" t="s">
        <v>510</v>
      </c>
      <c r="B171" s="194"/>
      <c r="C171" s="194"/>
      <c r="D171" s="194"/>
      <c r="E171" s="194"/>
      <c r="F171" s="194"/>
      <c r="G171" s="194"/>
      <c r="H171" s="194"/>
      <c r="I171" s="194"/>
      <c r="J171" s="194"/>
      <c r="K171" s="194"/>
      <c r="L171" s="195"/>
      <c r="M171" s="55"/>
      <c r="N171" s="55"/>
      <c r="O171" s="55"/>
      <c r="P171" s="55"/>
      <c r="Q171" s="55"/>
      <c r="R171" s="55"/>
      <c r="S171" s="55"/>
      <c r="T171" s="55"/>
      <c r="U171" s="55"/>
      <c r="V171" s="55"/>
    </row>
    <row r="172" spans="1:22" s="2" customFormat="1" ht="24" customHeight="1">
      <c r="A172" s="22" t="s">
        <v>511</v>
      </c>
      <c r="B172" s="22" t="s">
        <v>493</v>
      </c>
      <c r="C172" s="22" t="s">
        <v>512</v>
      </c>
      <c r="D172" s="22" t="s">
        <v>494</v>
      </c>
      <c r="E172" s="22" t="s">
        <v>495</v>
      </c>
      <c r="F172" s="22" t="s">
        <v>497</v>
      </c>
      <c r="G172" s="22" t="s">
        <v>498</v>
      </c>
      <c r="H172" s="22" t="s">
        <v>513</v>
      </c>
      <c r="I172" s="22"/>
      <c r="J172" s="22"/>
      <c r="K172" s="22"/>
      <c r="L172" s="22"/>
      <c r="M172" s="55"/>
      <c r="N172" s="55"/>
      <c r="O172" s="55"/>
      <c r="P172" s="55"/>
      <c r="Q172" s="55"/>
      <c r="R172" s="55"/>
      <c r="S172" s="55"/>
      <c r="T172" s="55"/>
      <c r="U172" s="55"/>
      <c r="V172" s="55"/>
    </row>
    <row r="173" spans="1:22" s="2" customFormat="1" ht="21" customHeight="1">
      <c r="A173" s="26" t="s">
        <v>514</v>
      </c>
      <c r="B173" s="27" t="s">
        <v>501</v>
      </c>
      <c r="C173" s="60" t="b">
        <v>0</v>
      </c>
      <c r="D173" s="27"/>
      <c r="E173" s="27"/>
      <c r="F173" s="27"/>
      <c r="G173" s="27"/>
      <c r="H173" s="27"/>
      <c r="I173" s="55"/>
      <c r="J173" s="55"/>
      <c r="K173" s="55"/>
      <c r="L173" s="55"/>
      <c r="M173" s="55"/>
      <c r="N173" s="55"/>
      <c r="O173" s="55"/>
      <c r="P173" s="55"/>
      <c r="Q173" s="55"/>
      <c r="R173" s="55"/>
      <c r="S173" s="55"/>
      <c r="T173" s="55"/>
      <c r="U173" s="55"/>
      <c r="V173" s="55"/>
    </row>
    <row r="174" spans="1:22" s="2" customFormat="1" ht="26.1" customHeight="1">
      <c r="A174" s="26" t="s">
        <v>515</v>
      </c>
      <c r="B174" s="27" t="s">
        <v>501</v>
      </c>
      <c r="C174" s="60" t="b">
        <v>0</v>
      </c>
      <c r="D174" s="27"/>
      <c r="E174" s="27"/>
      <c r="F174" s="27"/>
      <c r="G174" s="27"/>
      <c r="H174" s="27"/>
      <c r="I174" s="55"/>
      <c r="J174" s="55"/>
      <c r="K174" s="55"/>
      <c r="L174" s="55"/>
      <c r="M174" s="55"/>
      <c r="N174" s="55"/>
      <c r="O174" s="55"/>
      <c r="P174" s="55"/>
      <c r="Q174" s="55"/>
      <c r="R174" s="55"/>
      <c r="S174" s="55"/>
      <c r="T174" s="55"/>
      <c r="U174" s="55"/>
      <c r="V174" s="55"/>
    </row>
    <row r="175" spans="1:22" s="2" customFormat="1" ht="26.1" customHeight="1">
      <c r="A175" s="26" t="s">
        <v>516</v>
      </c>
      <c r="B175" s="27" t="s">
        <v>501</v>
      </c>
      <c r="C175" s="60" t="b">
        <v>0</v>
      </c>
      <c r="D175" s="27"/>
      <c r="E175" s="27"/>
      <c r="F175" s="27"/>
      <c r="G175" s="27"/>
      <c r="H175" s="27"/>
      <c r="I175" s="55"/>
      <c r="J175" s="55"/>
      <c r="K175" s="55"/>
      <c r="L175" s="55"/>
      <c r="M175" s="55"/>
      <c r="N175" s="55"/>
      <c r="O175" s="55"/>
      <c r="P175" s="55"/>
      <c r="Q175" s="55"/>
      <c r="R175" s="55"/>
      <c r="S175" s="55"/>
      <c r="T175" s="55"/>
      <c r="U175" s="55"/>
      <c r="V175" s="55"/>
    </row>
    <row r="176" spans="1:22" s="2" customFormat="1" ht="26.1" customHeight="1">
      <c r="A176" s="26" t="s">
        <v>517</v>
      </c>
      <c r="B176" s="27" t="s">
        <v>501</v>
      </c>
      <c r="C176" s="60" t="b">
        <v>0</v>
      </c>
      <c r="D176" s="27"/>
      <c r="E176" s="27"/>
      <c r="F176" s="27"/>
      <c r="G176" s="27"/>
      <c r="H176" s="27"/>
      <c r="I176" s="55"/>
      <c r="J176" s="55"/>
      <c r="K176" s="55"/>
      <c r="L176" s="55"/>
      <c r="M176" s="55"/>
      <c r="N176" s="55"/>
      <c r="O176" s="55"/>
      <c r="P176" s="55"/>
      <c r="Q176" s="55"/>
      <c r="R176" s="55"/>
      <c r="S176" s="55"/>
      <c r="T176" s="55"/>
      <c r="U176" s="55"/>
      <c r="V176" s="55"/>
    </row>
    <row r="177" spans="1:22" ht="21" customHeight="1">
      <c r="A177" s="26" t="s">
        <v>518</v>
      </c>
      <c r="B177" s="27" t="s">
        <v>501</v>
      </c>
      <c r="C177" s="60" t="b">
        <v>0</v>
      </c>
      <c r="D177" s="27"/>
      <c r="E177" s="27"/>
      <c r="F177" s="27"/>
      <c r="G177" s="27"/>
      <c r="H177" s="27"/>
      <c r="I177" s="55"/>
      <c r="J177" s="55"/>
      <c r="K177" s="55"/>
      <c r="L177" s="48"/>
      <c r="M177" s="55"/>
      <c r="N177" s="55"/>
      <c r="O177" s="55"/>
      <c r="P177" s="55"/>
      <c r="Q177" s="55"/>
      <c r="R177" s="55"/>
      <c r="S177" s="55"/>
      <c r="T177" s="55"/>
      <c r="U177" s="55"/>
      <c r="V177" s="55"/>
    </row>
    <row r="178" spans="1:22" ht="21" customHeight="1">
      <c r="A178" s="26" t="s">
        <v>211</v>
      </c>
      <c r="B178" s="27" t="s">
        <v>501</v>
      </c>
      <c r="C178" s="60" t="b">
        <v>0</v>
      </c>
      <c r="D178" s="27"/>
      <c r="E178" s="27"/>
      <c r="F178" s="27"/>
      <c r="G178" s="27"/>
      <c r="H178" s="27"/>
      <c r="I178" s="55"/>
      <c r="J178" s="55"/>
      <c r="K178" s="55"/>
      <c r="L178" s="48"/>
      <c r="M178" s="55"/>
      <c r="N178" s="55"/>
      <c r="O178" s="55"/>
      <c r="P178" s="55"/>
      <c r="Q178" s="55"/>
      <c r="R178" s="55"/>
      <c r="S178" s="55"/>
      <c r="T178" s="55"/>
      <c r="U178" s="55"/>
      <c r="V178" s="55"/>
    </row>
    <row r="179" spans="1:22" ht="21" customHeight="1">
      <c r="A179" s="26" t="s">
        <v>519</v>
      </c>
      <c r="B179" s="27" t="s">
        <v>501</v>
      </c>
      <c r="C179" s="60" t="b">
        <v>0</v>
      </c>
      <c r="D179" s="27"/>
      <c r="E179" s="27"/>
      <c r="F179" s="27"/>
      <c r="G179" s="27"/>
      <c r="H179" s="27"/>
      <c r="I179" s="55"/>
      <c r="J179" s="55"/>
      <c r="K179" s="55"/>
      <c r="L179" s="48"/>
      <c r="M179" s="55"/>
      <c r="N179" s="55"/>
      <c r="O179" s="55"/>
      <c r="P179" s="55"/>
      <c r="Q179" s="55"/>
      <c r="R179" s="55"/>
      <c r="S179" s="55"/>
      <c r="T179" s="55"/>
      <c r="U179" s="55"/>
      <c r="V179" s="55"/>
    </row>
    <row r="180" spans="1:22" ht="26.1" customHeight="1">
      <c r="A180" s="26" t="s">
        <v>520</v>
      </c>
      <c r="B180" s="27" t="s">
        <v>501</v>
      </c>
      <c r="C180" s="60" t="b">
        <v>0</v>
      </c>
      <c r="D180" s="27"/>
      <c r="E180" s="27"/>
      <c r="F180" s="27"/>
      <c r="G180" s="27"/>
      <c r="H180" s="27"/>
      <c r="I180" s="55"/>
      <c r="J180" s="55"/>
      <c r="K180" s="55"/>
      <c r="L180" s="48"/>
      <c r="M180" s="55"/>
      <c r="N180" s="55"/>
      <c r="O180" s="55"/>
      <c r="P180" s="55"/>
      <c r="Q180" s="55"/>
      <c r="R180" s="55"/>
      <c r="S180" s="55"/>
      <c r="T180" s="55"/>
      <c r="U180" s="55"/>
      <c r="V180" s="55"/>
    </row>
    <row r="181" spans="1:22" ht="18.95" customHeight="1">
      <c r="A181" s="55"/>
      <c r="B181" s="55"/>
      <c r="C181" s="55"/>
      <c r="D181" s="55"/>
      <c r="E181" s="55"/>
      <c r="F181" s="55"/>
      <c r="G181" s="55"/>
      <c r="H181" s="55"/>
      <c r="I181" s="55"/>
      <c r="J181" s="55"/>
      <c r="K181" s="55"/>
      <c r="L181" s="48"/>
      <c r="M181" s="55"/>
      <c r="N181" s="55"/>
      <c r="O181" s="55"/>
      <c r="P181" s="55"/>
      <c r="Q181" s="55"/>
      <c r="R181" s="55"/>
      <c r="S181" s="55"/>
      <c r="T181" s="55"/>
      <c r="U181" s="55"/>
      <c r="V181" s="55"/>
    </row>
    <row r="182" spans="1:22" ht="26.1" customHeight="1">
      <c r="A182" s="150" t="s">
        <v>521</v>
      </c>
      <c r="B182" s="194"/>
      <c r="C182" s="194"/>
      <c r="D182" s="194"/>
      <c r="E182" s="194"/>
      <c r="F182" s="194"/>
      <c r="G182" s="194"/>
      <c r="H182" s="194"/>
      <c r="I182" s="194"/>
      <c r="J182" s="194"/>
      <c r="K182" s="194"/>
      <c r="L182" s="195"/>
      <c r="M182" s="55"/>
      <c r="N182" s="55"/>
      <c r="O182" s="55"/>
      <c r="P182" s="55"/>
      <c r="Q182" s="55"/>
      <c r="R182" s="55"/>
      <c r="S182" s="55"/>
      <c r="T182" s="55"/>
      <c r="U182" s="55"/>
      <c r="V182" s="55"/>
    </row>
    <row r="183" spans="1:22" ht="26.1" customHeight="1">
      <c r="A183" s="22" t="s">
        <v>522</v>
      </c>
      <c r="B183" s="22"/>
      <c r="C183" s="22"/>
      <c r="D183" s="22"/>
      <c r="E183" s="22"/>
      <c r="F183" s="22"/>
      <c r="G183" s="22"/>
      <c r="H183" s="22"/>
      <c r="I183" s="22"/>
      <c r="J183" s="22"/>
      <c r="K183" s="22"/>
      <c r="L183" s="22"/>
      <c r="M183" s="55"/>
      <c r="N183" s="55"/>
      <c r="O183" s="55"/>
      <c r="P183" s="55"/>
      <c r="Q183" s="55"/>
      <c r="R183" s="55"/>
      <c r="S183" s="55"/>
      <c r="T183" s="55"/>
      <c r="U183" s="55"/>
      <c r="V183" s="55"/>
    </row>
    <row r="184" spans="1:22" ht="24" customHeight="1">
      <c r="A184" s="149"/>
      <c r="B184" s="194"/>
      <c r="C184" s="194"/>
      <c r="D184" s="194"/>
      <c r="E184" s="194"/>
      <c r="F184" s="194"/>
      <c r="G184" s="194"/>
      <c r="H184" s="194"/>
      <c r="I184" s="194"/>
      <c r="J184" s="194"/>
      <c r="K184" s="194"/>
      <c r="L184" s="195"/>
      <c r="M184" s="55"/>
      <c r="N184" s="55"/>
      <c r="O184" s="55"/>
      <c r="P184" s="55"/>
      <c r="Q184" s="55"/>
      <c r="R184" s="55"/>
      <c r="S184" s="55"/>
      <c r="T184" s="55"/>
      <c r="U184" s="55"/>
      <c r="V184" s="55"/>
    </row>
    <row r="185" spans="1:22" ht="24" customHeight="1">
      <c r="A185" s="149"/>
      <c r="B185" s="194"/>
      <c r="C185" s="194"/>
      <c r="D185" s="194"/>
      <c r="E185" s="194"/>
      <c r="F185" s="194"/>
      <c r="G185" s="194"/>
      <c r="H185" s="194"/>
      <c r="I185" s="194"/>
      <c r="J185" s="194"/>
      <c r="K185" s="194"/>
      <c r="L185" s="195"/>
      <c r="M185" s="55"/>
      <c r="N185" s="55"/>
      <c r="O185" s="55"/>
      <c r="P185" s="55"/>
      <c r="Q185" s="55"/>
      <c r="R185" s="55"/>
      <c r="S185" s="55"/>
      <c r="T185" s="55"/>
      <c r="U185" s="55"/>
      <c r="V185" s="55"/>
    </row>
    <row r="186" spans="1:22" s="2" customFormat="1" ht="24" customHeight="1">
      <c r="A186" s="149"/>
      <c r="B186" s="194"/>
      <c r="C186" s="194"/>
      <c r="D186" s="194"/>
      <c r="E186" s="194"/>
      <c r="F186" s="194"/>
      <c r="G186" s="194"/>
      <c r="H186" s="194"/>
      <c r="I186" s="194"/>
      <c r="J186" s="194"/>
      <c r="K186" s="194"/>
      <c r="L186" s="195"/>
      <c r="M186" s="55"/>
      <c r="N186" s="55"/>
      <c r="O186" s="55"/>
      <c r="P186" s="55"/>
      <c r="Q186" s="55"/>
      <c r="R186" s="55"/>
      <c r="S186" s="55"/>
      <c r="T186" s="55"/>
      <c r="U186" s="55"/>
      <c r="V186" s="55"/>
    </row>
    <row r="187" spans="1:22" s="2" customFormat="1" ht="24" customHeight="1">
      <c r="A187" s="149"/>
      <c r="B187" s="194"/>
      <c r="C187" s="194"/>
      <c r="D187" s="194"/>
      <c r="E187" s="194"/>
      <c r="F187" s="194"/>
      <c r="G187" s="194"/>
      <c r="H187" s="194"/>
      <c r="I187" s="194"/>
      <c r="J187" s="194"/>
      <c r="K187" s="194"/>
      <c r="L187" s="195"/>
      <c r="M187" s="55"/>
      <c r="N187" s="55"/>
      <c r="O187" s="55"/>
      <c r="P187" s="55"/>
      <c r="Q187" s="55"/>
      <c r="R187" s="55"/>
      <c r="S187" s="55"/>
      <c r="T187" s="55"/>
      <c r="U187" s="55"/>
      <c r="V187" s="55"/>
    </row>
    <row r="188" spans="1:22" s="2" customFormat="1" ht="26.1" customHeight="1">
      <c r="A188" s="22" t="s">
        <v>523</v>
      </c>
      <c r="B188" s="22" t="s">
        <v>524</v>
      </c>
      <c r="C188" s="22" t="s">
        <v>525</v>
      </c>
      <c r="D188" s="22" t="s">
        <v>494</v>
      </c>
      <c r="E188" s="22" t="s">
        <v>526</v>
      </c>
      <c r="F188" s="22" t="s">
        <v>527</v>
      </c>
      <c r="G188" s="22"/>
      <c r="H188" s="22"/>
      <c r="I188" s="22"/>
      <c r="J188" s="22"/>
      <c r="K188" s="22"/>
      <c r="L188" s="22"/>
      <c r="M188" s="55"/>
      <c r="N188" s="55"/>
      <c r="O188" s="55"/>
      <c r="P188" s="55"/>
      <c r="Q188" s="55"/>
      <c r="R188" s="55"/>
      <c r="S188" s="55"/>
      <c r="T188" s="55"/>
      <c r="U188" s="55"/>
      <c r="V188" s="55"/>
    </row>
    <row r="189" spans="1:22" s="2" customFormat="1" ht="21" customHeight="1">
      <c r="A189" s="31" t="s">
        <v>528</v>
      </c>
      <c r="B189" s="24"/>
      <c r="C189" s="24"/>
      <c r="D189" s="24"/>
      <c r="E189" s="24"/>
      <c r="F189" s="24"/>
      <c r="G189" s="55"/>
      <c r="H189" s="55"/>
      <c r="I189" s="55"/>
      <c r="J189" s="55"/>
      <c r="K189" s="55"/>
      <c r="L189" s="55"/>
      <c r="M189" s="55"/>
      <c r="N189" s="55"/>
      <c r="O189" s="55"/>
      <c r="P189" s="55"/>
      <c r="Q189" s="55"/>
      <c r="R189" s="55"/>
      <c r="S189" s="55"/>
      <c r="T189" s="55"/>
      <c r="U189" s="55"/>
      <c r="V189" s="55"/>
    </row>
    <row r="190" spans="1:22" s="2" customFormat="1" ht="21" customHeight="1">
      <c r="A190" s="31" t="s">
        <v>529</v>
      </c>
      <c r="B190" s="24"/>
      <c r="C190" s="24"/>
      <c r="D190" s="24"/>
      <c r="E190" s="24"/>
      <c r="F190" s="24"/>
      <c r="G190" s="55"/>
      <c r="H190" s="55"/>
      <c r="I190" s="55"/>
      <c r="J190" s="55"/>
      <c r="K190" s="55"/>
      <c r="L190" s="55"/>
      <c r="M190" s="55"/>
      <c r="N190" s="55"/>
      <c r="O190" s="55"/>
      <c r="P190" s="55"/>
      <c r="Q190" s="55"/>
      <c r="R190" s="55"/>
      <c r="S190" s="55"/>
      <c r="T190" s="55"/>
      <c r="U190" s="55"/>
      <c r="V190" s="55"/>
    </row>
    <row r="191" spans="1:22" s="2" customFormat="1" ht="21" customHeight="1">
      <c r="A191" s="31" t="s">
        <v>530</v>
      </c>
      <c r="B191" s="24"/>
      <c r="C191" s="24"/>
      <c r="D191" s="24"/>
      <c r="E191" s="24"/>
      <c r="F191" s="24"/>
      <c r="G191" s="55"/>
      <c r="H191" s="55"/>
      <c r="I191" s="55"/>
      <c r="J191" s="55"/>
      <c r="K191" s="55"/>
      <c r="L191" s="55"/>
      <c r="M191" s="55"/>
      <c r="N191" s="55"/>
      <c r="O191" s="55"/>
      <c r="P191" s="55"/>
      <c r="Q191" s="55"/>
      <c r="R191" s="55"/>
      <c r="S191" s="55"/>
      <c r="T191" s="55"/>
      <c r="U191" s="55"/>
      <c r="V191" s="55"/>
    </row>
    <row r="192" spans="1:22" s="2" customFormat="1" ht="18.9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row>
    <row r="193" spans="1:22" s="2" customFormat="1" ht="21" customHeight="1">
      <c r="A193" s="32" t="s">
        <v>531</v>
      </c>
      <c r="B193" s="33"/>
      <c r="C193" s="33"/>
      <c r="D193" s="33"/>
      <c r="E193" s="33"/>
      <c r="F193" s="33"/>
      <c r="G193" s="33"/>
      <c r="H193" s="32" t="s">
        <v>532</v>
      </c>
      <c r="I193" s="33"/>
      <c r="J193" s="32" t="s">
        <v>144</v>
      </c>
      <c r="K193" s="33"/>
      <c r="L193" s="33"/>
      <c r="M193" s="55"/>
      <c r="N193" s="55"/>
      <c r="O193" s="55"/>
      <c r="P193" s="55"/>
      <c r="Q193" s="55"/>
      <c r="R193" s="55"/>
      <c r="S193" s="55"/>
      <c r="T193" s="55"/>
      <c r="U193" s="55"/>
      <c r="V193" s="55"/>
    </row>
    <row r="194" spans="1:22" s="2" customFormat="1" ht="18.9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row>
    <row r="195" spans="1:22" s="2" customFormat="1" ht="18.9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row>
    <row r="196" spans="1:22" s="2" customFormat="1" ht="18.9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row>
    <row r="197" spans="1:22" s="2" customFormat="1" ht="18.9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row>
    <row r="198" spans="1:22" s="2" customFormat="1" ht="18.9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row>
    <row r="199" spans="1:22" s="2" customFormat="1" ht="18.9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row>
    <row r="200" spans="1:22" ht="18.95" customHeight="1">
      <c r="A200" s="55"/>
      <c r="B200" s="55"/>
      <c r="C200" s="55"/>
      <c r="D200" s="55"/>
      <c r="E200" s="55"/>
      <c r="F200" s="55"/>
      <c r="G200" s="55"/>
      <c r="H200" s="55"/>
      <c r="I200" s="55"/>
      <c r="J200" s="55"/>
      <c r="K200" s="55"/>
      <c r="L200" s="48"/>
      <c r="M200" s="55"/>
      <c r="N200" s="55"/>
      <c r="O200" s="55"/>
      <c r="P200" s="55"/>
      <c r="Q200" s="55"/>
      <c r="R200" s="55"/>
      <c r="S200" s="55"/>
      <c r="T200" s="55"/>
      <c r="U200" s="55"/>
      <c r="V200" s="55"/>
    </row>
    <row r="201" spans="1:22" ht="18.95" customHeight="1">
      <c r="A201" s="55"/>
      <c r="B201" s="55"/>
      <c r="C201" s="55"/>
      <c r="D201" s="55"/>
      <c r="E201" s="55"/>
      <c r="F201" s="55"/>
      <c r="G201" s="55"/>
      <c r="H201" s="55"/>
      <c r="I201" s="55"/>
      <c r="J201" s="55"/>
      <c r="K201" s="55"/>
      <c r="L201" s="48"/>
      <c r="M201" s="55"/>
      <c r="N201" s="55"/>
      <c r="O201" s="55"/>
      <c r="P201" s="55"/>
      <c r="Q201" s="55"/>
      <c r="R201" s="55"/>
      <c r="S201" s="55"/>
      <c r="T201" s="55"/>
      <c r="U201" s="55"/>
      <c r="V201" s="55"/>
    </row>
    <row r="202" spans="1:22" ht="18.95" customHeight="1">
      <c r="A202" s="55"/>
      <c r="B202" s="55"/>
      <c r="C202" s="55"/>
      <c r="D202" s="55"/>
      <c r="E202" s="55"/>
      <c r="F202" s="55"/>
      <c r="G202" s="55"/>
      <c r="H202" s="55"/>
      <c r="I202" s="55"/>
      <c r="J202" s="55"/>
      <c r="K202" s="55"/>
      <c r="L202" s="48"/>
      <c r="M202" s="55"/>
      <c r="N202" s="55"/>
      <c r="O202" s="55"/>
      <c r="P202" s="55"/>
      <c r="Q202" s="55"/>
      <c r="R202" s="55"/>
      <c r="S202" s="55"/>
      <c r="T202" s="55"/>
      <c r="U202" s="55"/>
      <c r="V202" s="55"/>
    </row>
    <row r="203" spans="1:22" ht="18.95" customHeight="1">
      <c r="A203" s="55"/>
      <c r="B203" s="55"/>
      <c r="C203" s="55"/>
      <c r="D203" s="55"/>
      <c r="E203" s="55"/>
      <c r="F203" s="55"/>
      <c r="G203" s="55"/>
      <c r="H203" s="55"/>
      <c r="I203" s="55"/>
      <c r="J203" s="55"/>
      <c r="K203" s="55"/>
      <c r="L203" s="48"/>
      <c r="M203" s="55"/>
      <c r="N203" s="55"/>
      <c r="O203" s="55"/>
      <c r="P203" s="55"/>
      <c r="Q203" s="55"/>
      <c r="R203" s="55"/>
      <c r="S203" s="55"/>
      <c r="T203" s="55"/>
      <c r="U203" s="55"/>
      <c r="V203" s="55"/>
    </row>
    <row r="204" spans="1:22" ht="18.95" customHeight="1">
      <c r="A204" s="55"/>
      <c r="B204" s="55"/>
      <c r="C204" s="55"/>
      <c r="D204" s="55"/>
      <c r="E204" s="55"/>
      <c r="F204" s="55"/>
      <c r="G204" s="55"/>
      <c r="H204" s="55"/>
      <c r="I204" s="55"/>
      <c r="J204" s="55"/>
      <c r="K204" s="55"/>
      <c r="L204" s="48"/>
      <c r="M204" s="55"/>
      <c r="N204" s="55"/>
      <c r="O204" s="55"/>
      <c r="P204" s="55"/>
      <c r="Q204" s="55"/>
      <c r="R204" s="55"/>
      <c r="S204" s="55"/>
      <c r="T204" s="55"/>
      <c r="U204" s="55"/>
      <c r="V204" s="55"/>
    </row>
    <row r="205" spans="1:22" ht="18.95" customHeight="1">
      <c r="A205" s="55"/>
      <c r="B205" s="55"/>
      <c r="C205" s="55"/>
      <c r="D205" s="55"/>
      <c r="E205" s="55"/>
      <c r="F205" s="55"/>
      <c r="G205" s="55"/>
      <c r="H205" s="55"/>
      <c r="I205" s="55"/>
      <c r="J205" s="55"/>
      <c r="K205" s="55"/>
      <c r="L205" s="48"/>
      <c r="M205" s="55"/>
      <c r="N205" s="55"/>
      <c r="O205" s="55"/>
      <c r="P205" s="55"/>
      <c r="Q205" s="55"/>
      <c r="R205" s="55"/>
      <c r="S205" s="55"/>
      <c r="T205" s="55"/>
      <c r="U205" s="55"/>
      <c r="V205" s="55"/>
    </row>
    <row r="206" spans="1:22" s="2" customFormat="1" ht="18.9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row>
    <row r="207" spans="1:22" s="2" customFormat="1" ht="18.9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row>
    <row r="208" spans="1:22" s="2" customFormat="1" ht="18.9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row>
    <row r="209" spans="1:22" s="2" customFormat="1" ht="18.9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row>
    <row r="210" spans="1:22" s="2" customFormat="1" ht="18.9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row>
    <row r="211" spans="1:22" s="2" customFormat="1" ht="18.9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row>
    <row r="212" spans="1:22" s="2" customFormat="1" ht="18.9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row>
    <row r="213" spans="1:22" s="2" customFormat="1" ht="18.9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row>
    <row r="214" spans="1:22" ht="18.95" customHeight="1">
      <c r="A214" s="55"/>
      <c r="B214" s="55"/>
      <c r="C214" s="55"/>
      <c r="D214" s="55"/>
      <c r="E214" s="55"/>
      <c r="F214" s="55"/>
      <c r="G214" s="55"/>
      <c r="H214" s="55"/>
      <c r="I214" s="55"/>
      <c r="J214" s="55"/>
      <c r="K214" s="55"/>
      <c r="L214" s="48"/>
      <c r="M214" s="55"/>
      <c r="N214" s="55"/>
      <c r="O214" s="55"/>
      <c r="P214" s="55"/>
      <c r="Q214" s="55"/>
      <c r="R214" s="55"/>
      <c r="S214" s="55"/>
      <c r="T214" s="55"/>
      <c r="U214" s="55"/>
      <c r="V214" s="55"/>
    </row>
    <row r="215" spans="1:22" ht="18.95" customHeight="1">
      <c r="A215" s="55"/>
      <c r="B215" s="55"/>
      <c r="C215" s="55"/>
      <c r="D215" s="55"/>
      <c r="E215" s="55"/>
      <c r="F215" s="55"/>
      <c r="G215" s="55"/>
      <c r="H215" s="55"/>
      <c r="I215" s="55"/>
      <c r="J215" s="55"/>
      <c r="K215" s="55"/>
      <c r="L215" s="48"/>
      <c r="M215" s="55"/>
      <c r="N215" s="55"/>
      <c r="O215" s="55"/>
      <c r="P215" s="55"/>
      <c r="Q215" s="55"/>
      <c r="R215" s="55"/>
      <c r="S215" s="55"/>
      <c r="T215" s="55"/>
      <c r="U215" s="55"/>
      <c r="V215" s="55"/>
    </row>
    <row r="216" spans="1:22" ht="18.95" customHeight="1">
      <c r="A216" s="55"/>
      <c r="B216" s="55"/>
      <c r="C216" s="55"/>
      <c r="D216" s="55"/>
      <c r="E216" s="55"/>
      <c r="F216" s="55"/>
      <c r="G216" s="55"/>
      <c r="H216" s="55"/>
      <c r="I216" s="55"/>
      <c r="J216" s="55"/>
      <c r="K216" s="55"/>
      <c r="L216" s="48"/>
      <c r="M216" s="55"/>
      <c r="N216" s="55"/>
      <c r="O216" s="55"/>
      <c r="P216" s="55"/>
      <c r="Q216" s="55"/>
      <c r="R216" s="55"/>
      <c r="S216" s="55"/>
      <c r="T216" s="55"/>
      <c r="U216" s="55"/>
      <c r="V216" s="55"/>
    </row>
    <row r="217" spans="1:22" ht="18.95" customHeight="1">
      <c r="A217" s="55"/>
      <c r="B217" s="55"/>
      <c r="C217" s="55"/>
      <c r="D217" s="55"/>
      <c r="E217" s="55"/>
      <c r="F217" s="55"/>
      <c r="G217" s="55"/>
      <c r="H217" s="55"/>
      <c r="I217" s="55"/>
      <c r="J217" s="55"/>
      <c r="K217" s="55"/>
      <c r="L217" s="48"/>
      <c r="M217" s="55"/>
      <c r="N217" s="55"/>
      <c r="O217" s="55"/>
      <c r="P217" s="55"/>
      <c r="Q217" s="55"/>
      <c r="R217" s="55"/>
      <c r="S217" s="55"/>
      <c r="T217" s="55"/>
      <c r="U217" s="55"/>
      <c r="V217" s="55"/>
    </row>
    <row r="218" spans="1:22" ht="18.95" customHeight="1">
      <c r="A218" s="55"/>
      <c r="B218" s="55"/>
      <c r="C218" s="55"/>
      <c r="D218" s="55"/>
      <c r="E218" s="55"/>
      <c r="F218" s="55"/>
      <c r="G218" s="55"/>
      <c r="H218" s="55"/>
      <c r="I218" s="55"/>
      <c r="J218" s="55"/>
      <c r="K218" s="55"/>
      <c r="L218" s="48"/>
      <c r="M218" s="55"/>
      <c r="N218" s="55"/>
      <c r="O218" s="55"/>
      <c r="P218" s="55"/>
      <c r="Q218" s="55"/>
      <c r="R218" s="55"/>
      <c r="S218" s="55"/>
      <c r="T218" s="55"/>
      <c r="U218" s="55"/>
      <c r="V218" s="55"/>
    </row>
    <row r="219" spans="1:22" ht="18.95" customHeight="1">
      <c r="A219" s="55"/>
      <c r="B219" s="55"/>
      <c r="C219" s="55"/>
      <c r="D219" s="55"/>
      <c r="E219" s="55"/>
      <c r="F219" s="55"/>
      <c r="G219" s="55"/>
      <c r="H219" s="55"/>
      <c r="I219" s="55"/>
      <c r="J219" s="55"/>
      <c r="K219" s="55"/>
      <c r="L219" s="48"/>
      <c r="M219" s="55"/>
      <c r="N219" s="55"/>
      <c r="O219" s="55"/>
      <c r="P219" s="55"/>
      <c r="Q219" s="55"/>
      <c r="R219" s="55"/>
      <c r="S219" s="55"/>
      <c r="T219" s="55"/>
      <c r="U219" s="55"/>
      <c r="V219" s="55"/>
    </row>
    <row r="220" spans="1:22" ht="18.95" customHeight="1">
      <c r="A220" s="55"/>
      <c r="B220" s="55"/>
      <c r="C220" s="55"/>
      <c r="D220" s="55"/>
      <c r="E220" s="55"/>
      <c r="F220" s="55"/>
      <c r="G220" s="55"/>
      <c r="H220" s="55"/>
      <c r="I220" s="55"/>
      <c r="J220" s="55"/>
      <c r="K220" s="55"/>
      <c r="L220" s="48"/>
      <c r="M220" s="55"/>
      <c r="N220" s="55"/>
      <c r="O220" s="55"/>
      <c r="P220" s="55"/>
      <c r="Q220" s="55"/>
      <c r="R220" s="55"/>
      <c r="S220" s="55"/>
      <c r="T220" s="55"/>
      <c r="U220" s="55"/>
      <c r="V220" s="55"/>
    </row>
    <row r="221" spans="1:22" ht="18.95" customHeight="1">
      <c r="A221" s="55"/>
      <c r="B221" s="55"/>
      <c r="C221" s="55"/>
      <c r="D221" s="55"/>
      <c r="E221" s="55"/>
      <c r="F221" s="55"/>
      <c r="G221" s="55"/>
      <c r="H221" s="55"/>
      <c r="I221" s="55"/>
      <c r="J221" s="55"/>
      <c r="K221" s="55"/>
      <c r="L221" s="48"/>
      <c r="M221" s="55"/>
      <c r="N221" s="55"/>
      <c r="O221" s="55"/>
      <c r="P221" s="55"/>
      <c r="Q221" s="55"/>
      <c r="R221" s="55"/>
      <c r="S221" s="55"/>
      <c r="T221" s="55"/>
      <c r="U221" s="55"/>
      <c r="V221" s="55"/>
    </row>
    <row r="222" spans="1:22" ht="18.95" customHeight="1">
      <c r="A222" s="55"/>
      <c r="B222" s="55"/>
      <c r="C222" s="55"/>
      <c r="D222" s="55"/>
      <c r="E222" s="55"/>
      <c r="F222" s="55"/>
      <c r="G222" s="55"/>
      <c r="H222" s="55"/>
      <c r="I222" s="55"/>
      <c r="J222" s="55"/>
      <c r="K222" s="55"/>
      <c r="L222" s="48"/>
      <c r="M222" s="55"/>
      <c r="N222" s="55"/>
      <c r="O222" s="55"/>
      <c r="P222" s="55"/>
      <c r="Q222" s="55"/>
      <c r="R222" s="55"/>
      <c r="S222" s="55"/>
      <c r="T222" s="55"/>
      <c r="U222" s="55"/>
      <c r="V222" s="55"/>
    </row>
    <row r="223" spans="1:22" s="2" customFormat="1" ht="18.9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row>
    <row r="224" spans="1:22" ht="18.95" customHeight="1">
      <c r="A224" s="55"/>
      <c r="B224" s="55"/>
      <c r="C224" s="55"/>
      <c r="D224" s="55"/>
      <c r="E224" s="55"/>
      <c r="F224" s="55"/>
      <c r="G224" s="55"/>
      <c r="H224" s="55"/>
      <c r="I224" s="55"/>
      <c r="J224" s="55"/>
      <c r="K224" s="55"/>
      <c r="L224" s="48"/>
      <c r="M224" s="55"/>
      <c r="N224" s="55"/>
      <c r="O224" s="55"/>
      <c r="P224" s="55"/>
      <c r="Q224" s="55"/>
      <c r="R224" s="55"/>
      <c r="S224" s="55"/>
      <c r="T224" s="55"/>
      <c r="U224" s="55"/>
      <c r="V224" s="55"/>
    </row>
    <row r="225" spans="1:22" ht="18.95" customHeight="1">
      <c r="A225" s="55"/>
      <c r="B225" s="55"/>
      <c r="C225" s="55"/>
      <c r="D225" s="55"/>
      <c r="E225" s="55"/>
      <c r="F225" s="55"/>
      <c r="G225" s="55"/>
      <c r="H225" s="55"/>
      <c r="I225" s="55"/>
      <c r="J225" s="55"/>
      <c r="K225" s="55"/>
      <c r="L225" s="48"/>
      <c r="M225" s="55"/>
      <c r="N225" s="55"/>
      <c r="O225" s="55"/>
      <c r="P225" s="55"/>
      <c r="Q225" s="55"/>
      <c r="R225" s="55"/>
      <c r="S225" s="55"/>
      <c r="T225" s="55"/>
      <c r="U225" s="55"/>
      <c r="V225" s="55"/>
    </row>
    <row r="226" spans="1:22" ht="18.95" customHeight="1">
      <c r="A226" s="55"/>
      <c r="B226" s="55"/>
      <c r="C226" s="55"/>
      <c r="D226" s="55"/>
      <c r="E226" s="55"/>
      <c r="F226" s="55"/>
      <c r="G226" s="55"/>
      <c r="H226" s="55"/>
      <c r="I226" s="55"/>
      <c r="J226" s="55"/>
      <c r="K226" s="55"/>
      <c r="L226" s="48"/>
      <c r="M226" s="55"/>
      <c r="N226" s="55"/>
      <c r="O226" s="55"/>
      <c r="P226" s="55"/>
      <c r="Q226" s="55"/>
      <c r="R226" s="55"/>
      <c r="S226" s="55"/>
      <c r="T226" s="55"/>
      <c r="U226" s="55"/>
      <c r="V226" s="55"/>
    </row>
    <row r="227" spans="1:22" ht="18.95" customHeight="1">
      <c r="A227" s="55"/>
      <c r="B227" s="55"/>
      <c r="C227" s="55"/>
      <c r="D227" s="55"/>
      <c r="E227" s="55"/>
      <c r="F227" s="55"/>
      <c r="G227" s="55"/>
      <c r="H227" s="55"/>
      <c r="I227" s="55"/>
      <c r="J227" s="55"/>
      <c r="K227" s="55"/>
      <c r="L227" s="48"/>
      <c r="M227" s="55"/>
      <c r="N227" s="55"/>
      <c r="O227" s="55"/>
      <c r="P227" s="55"/>
      <c r="Q227" s="55"/>
      <c r="R227" s="55"/>
      <c r="S227" s="55"/>
      <c r="T227" s="55"/>
      <c r="U227" s="55"/>
      <c r="V227" s="55"/>
    </row>
    <row r="228" spans="1:22" ht="18.95" customHeight="1">
      <c r="A228" s="55"/>
      <c r="B228" s="55"/>
      <c r="C228" s="55"/>
      <c r="D228" s="55"/>
      <c r="E228" s="55"/>
      <c r="F228" s="55"/>
      <c r="G228" s="55"/>
      <c r="H228" s="55"/>
      <c r="I228" s="55"/>
      <c r="J228" s="55"/>
      <c r="K228" s="55"/>
      <c r="L228" s="48"/>
      <c r="M228" s="55"/>
      <c r="N228" s="55"/>
      <c r="O228" s="55"/>
      <c r="P228" s="55"/>
      <c r="Q228" s="55"/>
      <c r="R228" s="55"/>
      <c r="S228" s="55"/>
      <c r="T228" s="55"/>
      <c r="U228" s="55"/>
      <c r="V228" s="55"/>
    </row>
    <row r="229" spans="1:22" ht="18.95" customHeight="1">
      <c r="A229" s="55"/>
      <c r="B229" s="55"/>
      <c r="C229" s="55"/>
      <c r="D229" s="55"/>
      <c r="E229" s="55"/>
      <c r="F229" s="55"/>
      <c r="G229" s="55"/>
      <c r="H229" s="55"/>
      <c r="I229" s="55"/>
      <c r="J229" s="55"/>
      <c r="K229" s="55"/>
      <c r="L229" s="48"/>
      <c r="M229" s="55"/>
      <c r="N229" s="55"/>
      <c r="O229" s="55"/>
      <c r="P229" s="55"/>
      <c r="Q229" s="55"/>
      <c r="R229" s="55"/>
      <c r="S229" s="55"/>
      <c r="T229" s="55"/>
      <c r="U229" s="55"/>
      <c r="V229" s="55"/>
    </row>
    <row r="230" spans="1:22" ht="18.95" customHeight="1">
      <c r="A230" s="55"/>
      <c r="B230" s="55"/>
      <c r="C230" s="55"/>
      <c r="D230" s="55"/>
      <c r="E230" s="55"/>
      <c r="F230" s="55"/>
      <c r="G230" s="55"/>
      <c r="H230" s="55"/>
      <c r="I230" s="55"/>
      <c r="J230" s="55"/>
      <c r="K230" s="55"/>
      <c r="L230" s="48"/>
      <c r="M230" s="55"/>
      <c r="N230" s="55"/>
      <c r="O230" s="55"/>
      <c r="P230" s="55"/>
      <c r="Q230" s="55"/>
      <c r="R230" s="55"/>
      <c r="S230" s="55"/>
      <c r="T230" s="55"/>
      <c r="U230" s="55"/>
      <c r="V230" s="55"/>
    </row>
    <row r="231" spans="1:22" ht="18.95" customHeight="1">
      <c r="A231" s="55"/>
      <c r="B231" s="55"/>
      <c r="C231" s="55"/>
      <c r="D231" s="55"/>
      <c r="E231" s="55"/>
      <c r="F231" s="55"/>
      <c r="G231" s="55"/>
      <c r="H231" s="55"/>
      <c r="I231" s="55"/>
      <c r="J231" s="55"/>
      <c r="K231" s="55"/>
      <c r="L231" s="48"/>
      <c r="M231" s="55"/>
      <c r="N231" s="55"/>
      <c r="O231" s="55"/>
      <c r="P231" s="55"/>
      <c r="Q231" s="55"/>
      <c r="R231" s="55"/>
      <c r="S231" s="55"/>
      <c r="T231" s="55"/>
      <c r="U231" s="55"/>
      <c r="V231" s="55"/>
    </row>
    <row r="232" spans="1:22" ht="18.95" customHeight="1">
      <c r="A232" s="55"/>
      <c r="B232" s="55"/>
      <c r="C232" s="55"/>
      <c r="D232" s="55"/>
      <c r="E232" s="55"/>
      <c r="F232" s="55"/>
      <c r="G232" s="55"/>
      <c r="H232" s="55"/>
      <c r="I232" s="55"/>
      <c r="J232" s="55"/>
      <c r="K232" s="55"/>
      <c r="L232" s="48"/>
      <c r="M232" s="55"/>
      <c r="N232" s="55"/>
      <c r="O232" s="55"/>
      <c r="P232" s="55"/>
      <c r="Q232" s="55"/>
      <c r="R232" s="55"/>
      <c r="S232" s="55"/>
      <c r="T232" s="55"/>
      <c r="U232" s="55"/>
      <c r="V232" s="55"/>
    </row>
    <row r="233" spans="1:22" ht="18.95" customHeight="1">
      <c r="A233" s="55"/>
      <c r="B233" s="55"/>
      <c r="C233" s="55"/>
      <c r="D233" s="55"/>
      <c r="E233" s="55"/>
      <c r="F233" s="55"/>
      <c r="G233" s="55"/>
      <c r="H233" s="55"/>
      <c r="I233" s="55"/>
      <c r="J233" s="55"/>
      <c r="K233" s="55"/>
      <c r="L233" s="48"/>
      <c r="M233" s="55"/>
      <c r="N233" s="55"/>
      <c r="O233" s="55"/>
      <c r="P233" s="55"/>
      <c r="Q233" s="55"/>
      <c r="R233" s="55"/>
      <c r="S233" s="55"/>
      <c r="T233" s="55"/>
      <c r="U233" s="55"/>
      <c r="V233" s="55"/>
    </row>
    <row r="234" spans="1:22" ht="18.95" customHeight="1">
      <c r="A234" s="55"/>
      <c r="B234" s="55"/>
      <c r="C234" s="55"/>
      <c r="D234" s="55"/>
      <c r="E234" s="55"/>
      <c r="F234" s="55"/>
      <c r="G234" s="55"/>
      <c r="H234" s="55"/>
      <c r="I234" s="55"/>
      <c r="J234" s="55"/>
      <c r="K234" s="55"/>
      <c r="L234" s="48"/>
      <c r="M234" s="55"/>
      <c r="N234" s="55"/>
      <c r="O234" s="55"/>
      <c r="P234" s="55"/>
      <c r="Q234" s="55"/>
      <c r="R234" s="55"/>
      <c r="S234" s="55"/>
      <c r="T234" s="55"/>
      <c r="U234" s="55"/>
      <c r="V234" s="55"/>
    </row>
    <row r="235" spans="1:22" s="2" customFormat="1" ht="18.9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row>
    <row r="236" spans="1:22" s="2" customFormat="1" ht="18.9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row>
    <row r="237" spans="1:22" s="2" customFormat="1" ht="18.9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row>
    <row r="238" spans="1:22" s="2" customFormat="1" ht="18.9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row>
    <row r="239" spans="1:22" s="2" customFormat="1" ht="18.9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row>
    <row r="240" spans="1:22" s="2" customFormat="1" ht="18.9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row>
    <row r="241" spans="1:22" s="2" customFormat="1" ht="18.9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row>
    <row r="242" spans="1:22" s="2" customFormat="1" ht="18.9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row>
    <row r="243" spans="1:22" s="2" customFormat="1" ht="18.9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row>
    <row r="244" spans="1:22" s="2" customFormat="1" ht="18.9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row>
    <row r="245" spans="1:22" s="2" customFormat="1" ht="18.9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row>
    <row r="246" spans="1:22" ht="18.95" customHeight="1">
      <c r="A246" s="55"/>
      <c r="B246" s="55"/>
      <c r="C246" s="55"/>
      <c r="D246" s="55"/>
      <c r="E246" s="55"/>
      <c r="F246" s="55"/>
      <c r="G246" s="55"/>
      <c r="H246" s="55"/>
      <c r="I246" s="55"/>
      <c r="J246" s="55"/>
      <c r="K246" s="55"/>
      <c r="L246" s="48"/>
      <c r="M246" s="55"/>
      <c r="N246" s="55"/>
      <c r="O246" s="55"/>
      <c r="P246" s="55"/>
      <c r="Q246" s="55"/>
      <c r="R246" s="55"/>
      <c r="S246" s="55"/>
      <c r="T246" s="55"/>
      <c r="U246" s="55"/>
      <c r="V246" s="55"/>
    </row>
    <row r="247" spans="1:22" ht="18.95" customHeight="1">
      <c r="A247" s="55"/>
      <c r="B247" s="55"/>
      <c r="C247" s="55"/>
      <c r="D247" s="55"/>
      <c r="E247" s="55"/>
      <c r="F247" s="55"/>
      <c r="G247" s="55"/>
      <c r="H247" s="55"/>
      <c r="I247" s="55"/>
      <c r="J247" s="55"/>
      <c r="K247" s="55"/>
      <c r="L247" s="48"/>
      <c r="M247" s="55"/>
      <c r="N247" s="55"/>
      <c r="O247" s="55"/>
      <c r="P247" s="55"/>
      <c r="Q247" s="55"/>
      <c r="R247" s="55"/>
      <c r="S247" s="55"/>
      <c r="T247" s="55"/>
      <c r="U247" s="55"/>
      <c r="V247" s="55"/>
    </row>
    <row r="248" spans="1:22" ht="18.95" customHeight="1">
      <c r="A248" s="55"/>
      <c r="B248" s="55"/>
      <c r="C248" s="55"/>
      <c r="D248" s="55"/>
      <c r="E248" s="55"/>
      <c r="F248" s="55"/>
      <c r="G248" s="55"/>
      <c r="H248" s="55"/>
      <c r="I248" s="55"/>
      <c r="J248" s="55"/>
      <c r="K248" s="55"/>
      <c r="L248" s="48"/>
      <c r="M248" s="55"/>
      <c r="N248" s="55"/>
      <c r="O248" s="55"/>
      <c r="P248" s="55"/>
      <c r="Q248" s="55"/>
      <c r="R248" s="55"/>
      <c r="S248" s="55"/>
      <c r="T248" s="55"/>
      <c r="U248" s="55"/>
      <c r="V248" s="55"/>
    </row>
    <row r="249" spans="1:22" ht="18.95" customHeight="1">
      <c r="A249" s="55"/>
      <c r="B249" s="55"/>
      <c r="C249" s="55"/>
      <c r="D249" s="55"/>
      <c r="E249" s="55"/>
      <c r="F249" s="55"/>
      <c r="G249" s="55"/>
      <c r="H249" s="55"/>
      <c r="I249" s="55"/>
      <c r="J249" s="55"/>
      <c r="K249" s="55"/>
      <c r="L249" s="48"/>
      <c r="M249" s="55"/>
      <c r="N249" s="55"/>
      <c r="O249" s="55"/>
      <c r="P249" s="55"/>
      <c r="Q249" s="55"/>
      <c r="R249" s="55"/>
      <c r="S249" s="55"/>
      <c r="T249" s="55"/>
      <c r="U249" s="55"/>
      <c r="V249" s="55"/>
    </row>
    <row r="250" spans="1:22" ht="18.95" customHeight="1">
      <c r="A250" s="55"/>
      <c r="B250" s="55"/>
      <c r="C250" s="55"/>
      <c r="D250" s="55"/>
      <c r="E250" s="55"/>
      <c r="F250" s="55"/>
      <c r="G250" s="55"/>
      <c r="H250" s="55"/>
      <c r="I250" s="55"/>
      <c r="J250" s="55"/>
      <c r="K250" s="55"/>
      <c r="L250" s="48"/>
      <c r="M250" s="55"/>
      <c r="N250" s="55"/>
      <c r="O250" s="55"/>
      <c r="P250" s="55"/>
      <c r="Q250" s="55"/>
      <c r="R250" s="55"/>
      <c r="S250" s="55"/>
      <c r="T250" s="55"/>
      <c r="U250" s="55"/>
      <c r="V250" s="55"/>
    </row>
    <row r="251" spans="1:22" ht="18.95" customHeight="1">
      <c r="A251" s="55"/>
      <c r="B251" s="55"/>
      <c r="C251" s="55"/>
      <c r="D251" s="55"/>
      <c r="E251" s="55"/>
      <c r="F251" s="55"/>
      <c r="G251" s="55"/>
      <c r="H251" s="55"/>
      <c r="I251" s="55"/>
      <c r="J251" s="55"/>
      <c r="K251" s="55"/>
      <c r="L251" s="48"/>
      <c r="M251" s="55"/>
      <c r="N251" s="55"/>
      <c r="O251" s="55"/>
      <c r="P251" s="55"/>
      <c r="Q251" s="55"/>
      <c r="R251" s="55"/>
      <c r="S251" s="55"/>
      <c r="T251" s="55"/>
      <c r="U251" s="55"/>
      <c r="V251" s="55"/>
    </row>
    <row r="252" spans="1:22" ht="18.95" customHeight="1">
      <c r="A252" s="55"/>
      <c r="B252" s="55"/>
      <c r="C252" s="55"/>
      <c r="D252" s="55"/>
      <c r="E252" s="55"/>
      <c r="F252" s="55"/>
      <c r="G252" s="55"/>
      <c r="H252" s="55"/>
      <c r="I252" s="55"/>
      <c r="J252" s="55"/>
      <c r="K252" s="55"/>
      <c r="L252" s="48"/>
      <c r="M252" s="55"/>
      <c r="N252" s="55"/>
      <c r="O252" s="55"/>
      <c r="P252" s="55"/>
      <c r="Q252" s="55"/>
      <c r="R252" s="55"/>
      <c r="S252" s="55"/>
      <c r="T252" s="55"/>
      <c r="U252" s="55"/>
      <c r="V252" s="55"/>
    </row>
    <row r="253" spans="1:22" ht="18.95" customHeight="1">
      <c r="A253" s="55"/>
      <c r="B253" s="55"/>
      <c r="C253" s="55"/>
      <c r="D253" s="55"/>
      <c r="E253" s="55"/>
      <c r="F253" s="55"/>
      <c r="G253" s="55"/>
      <c r="H253" s="55"/>
      <c r="I253" s="55"/>
      <c r="J253" s="55"/>
      <c r="K253" s="55"/>
      <c r="L253" s="48"/>
      <c r="M253" s="55"/>
      <c r="N253" s="55"/>
      <c r="O253" s="55"/>
      <c r="P253" s="55"/>
      <c r="Q253" s="55"/>
      <c r="R253" s="55"/>
      <c r="S253" s="55"/>
      <c r="T253" s="55"/>
      <c r="U253" s="55"/>
      <c r="V253" s="55"/>
    </row>
    <row r="254" spans="1:22" ht="18.95" customHeight="1">
      <c r="A254" s="55"/>
      <c r="B254" s="55"/>
      <c r="C254" s="55"/>
      <c r="D254" s="55"/>
      <c r="E254" s="55"/>
      <c r="F254" s="55"/>
      <c r="G254" s="55"/>
      <c r="H254" s="55"/>
      <c r="I254" s="55"/>
      <c r="J254" s="55"/>
      <c r="K254" s="55"/>
      <c r="L254" s="48"/>
      <c r="M254" s="55"/>
      <c r="N254" s="55"/>
      <c r="O254" s="55"/>
      <c r="P254" s="55"/>
      <c r="Q254" s="55"/>
      <c r="R254" s="55"/>
      <c r="S254" s="55"/>
      <c r="T254" s="55"/>
      <c r="U254" s="55"/>
      <c r="V254" s="55"/>
    </row>
    <row r="255" spans="1:22" ht="18.95" customHeight="1">
      <c r="A255" s="55"/>
      <c r="B255" s="55"/>
      <c r="C255" s="55"/>
      <c r="D255" s="55"/>
      <c r="E255" s="55"/>
      <c r="F255" s="55"/>
      <c r="G255" s="55"/>
      <c r="H255" s="55"/>
      <c r="I255" s="55"/>
      <c r="J255" s="55"/>
      <c r="K255" s="55"/>
      <c r="L255" s="48"/>
      <c r="M255" s="55"/>
      <c r="N255" s="55"/>
      <c r="O255" s="55"/>
      <c r="P255" s="55"/>
      <c r="Q255" s="55"/>
      <c r="R255" s="55"/>
      <c r="S255" s="55"/>
      <c r="T255" s="55"/>
      <c r="U255" s="55"/>
      <c r="V255" s="55"/>
    </row>
    <row r="256" spans="1:22" ht="18.95" customHeight="1">
      <c r="A256" s="55"/>
      <c r="B256" s="55"/>
      <c r="C256" s="55"/>
      <c r="D256" s="55"/>
      <c r="E256" s="55"/>
      <c r="F256" s="55"/>
      <c r="G256" s="55"/>
      <c r="H256" s="55"/>
      <c r="I256" s="55"/>
      <c r="J256" s="55"/>
      <c r="K256" s="55"/>
      <c r="L256" s="48"/>
      <c r="M256" s="55"/>
      <c r="N256" s="55"/>
      <c r="O256" s="55"/>
      <c r="P256" s="55"/>
      <c r="Q256" s="55"/>
      <c r="R256" s="55"/>
      <c r="S256" s="55"/>
      <c r="T256" s="55"/>
      <c r="U256" s="55"/>
      <c r="V256" s="55"/>
    </row>
    <row r="257" spans="1:22" ht="18.95" customHeight="1">
      <c r="A257" s="55"/>
      <c r="B257" s="55"/>
      <c r="C257" s="55"/>
      <c r="D257" s="55"/>
      <c r="E257" s="55"/>
      <c r="F257" s="55"/>
      <c r="G257" s="55"/>
      <c r="H257" s="55"/>
      <c r="I257" s="55"/>
      <c r="J257" s="55"/>
      <c r="K257" s="55"/>
      <c r="L257" s="48"/>
      <c r="M257" s="55"/>
      <c r="N257" s="55"/>
      <c r="O257" s="55"/>
      <c r="P257" s="55"/>
      <c r="Q257" s="55"/>
      <c r="R257" s="55"/>
      <c r="S257" s="55"/>
      <c r="T257" s="55"/>
      <c r="U257" s="55"/>
      <c r="V257" s="55"/>
    </row>
    <row r="258" spans="1:22" ht="18.95" customHeight="1">
      <c r="A258" s="55"/>
      <c r="B258" s="55"/>
      <c r="C258" s="55"/>
      <c r="D258" s="55"/>
      <c r="E258" s="55"/>
      <c r="F258" s="55"/>
      <c r="G258" s="55"/>
      <c r="H258" s="55"/>
      <c r="I258" s="55"/>
      <c r="J258" s="55"/>
      <c r="K258" s="55"/>
      <c r="L258" s="48"/>
      <c r="M258" s="55"/>
      <c r="N258" s="55"/>
      <c r="O258" s="55"/>
      <c r="P258" s="55"/>
      <c r="Q258" s="55"/>
      <c r="R258" s="55"/>
      <c r="S258" s="55"/>
      <c r="T258" s="55"/>
      <c r="U258" s="55"/>
      <c r="V258" s="55"/>
    </row>
    <row r="259" spans="1:22" ht="18.95" customHeight="1">
      <c r="A259" s="55"/>
      <c r="B259" s="55"/>
      <c r="C259" s="55"/>
      <c r="D259" s="55"/>
      <c r="E259" s="55"/>
      <c r="F259" s="55"/>
      <c r="G259" s="55"/>
      <c r="H259" s="55"/>
      <c r="I259" s="55"/>
      <c r="J259" s="55"/>
      <c r="K259" s="55"/>
      <c r="L259" s="48"/>
      <c r="M259" s="55"/>
      <c r="N259" s="55"/>
      <c r="O259" s="55"/>
      <c r="P259" s="55"/>
      <c r="Q259" s="55"/>
      <c r="R259" s="55"/>
      <c r="S259" s="55"/>
      <c r="T259" s="55"/>
      <c r="U259" s="55"/>
      <c r="V259" s="55"/>
    </row>
    <row r="260" spans="1:22" ht="18.95" customHeight="1">
      <c r="A260" s="55"/>
      <c r="B260" s="55"/>
      <c r="C260" s="55"/>
      <c r="D260" s="55"/>
      <c r="E260" s="55"/>
      <c r="F260" s="55"/>
      <c r="G260" s="55"/>
      <c r="H260" s="55"/>
      <c r="I260" s="55"/>
      <c r="J260" s="55"/>
      <c r="K260" s="55"/>
      <c r="L260" s="48"/>
      <c r="M260" s="55"/>
      <c r="N260" s="55"/>
      <c r="O260" s="55"/>
      <c r="P260" s="55"/>
      <c r="Q260" s="55"/>
      <c r="R260" s="55"/>
      <c r="S260" s="55"/>
      <c r="T260" s="55"/>
      <c r="U260" s="55"/>
      <c r="V260" s="55"/>
    </row>
    <row r="261" spans="1:22" ht="18.95" customHeight="1">
      <c r="A261" s="55"/>
      <c r="B261" s="55"/>
      <c r="C261" s="55"/>
      <c r="D261" s="55"/>
      <c r="E261" s="55"/>
      <c r="F261" s="55"/>
      <c r="G261" s="55"/>
      <c r="H261" s="55"/>
      <c r="I261" s="55"/>
      <c r="J261" s="55"/>
      <c r="K261" s="55"/>
      <c r="L261" s="48"/>
      <c r="M261" s="55"/>
      <c r="N261" s="55"/>
      <c r="O261" s="55"/>
      <c r="P261" s="55"/>
      <c r="Q261" s="55"/>
      <c r="R261" s="55"/>
      <c r="S261" s="55"/>
      <c r="T261" s="55"/>
      <c r="U261" s="55"/>
      <c r="V261" s="55"/>
    </row>
    <row r="262" spans="1:22" ht="18.95" customHeight="1">
      <c r="A262" s="55"/>
      <c r="B262" s="55"/>
      <c r="C262" s="55"/>
      <c r="D262" s="55"/>
      <c r="E262" s="55"/>
      <c r="F262" s="55"/>
      <c r="G262" s="55"/>
      <c r="H262" s="55"/>
      <c r="I262" s="55"/>
      <c r="J262" s="55"/>
      <c r="K262" s="55"/>
      <c r="L262" s="48"/>
      <c r="M262" s="55"/>
      <c r="N262" s="55"/>
      <c r="O262" s="55"/>
      <c r="P262" s="55"/>
      <c r="Q262" s="55"/>
      <c r="R262" s="55"/>
      <c r="S262" s="55"/>
      <c r="T262" s="55"/>
      <c r="U262" s="55"/>
      <c r="V262" s="55"/>
    </row>
    <row r="263" spans="1:22" ht="18.95" customHeight="1">
      <c r="A263" s="55"/>
      <c r="B263" s="55"/>
      <c r="C263" s="55"/>
      <c r="D263" s="55"/>
      <c r="E263" s="55"/>
      <c r="F263" s="55"/>
      <c r="G263" s="55"/>
      <c r="H263" s="55"/>
      <c r="I263" s="55"/>
      <c r="J263" s="55"/>
      <c r="K263" s="55"/>
      <c r="L263" s="48"/>
      <c r="M263" s="55"/>
      <c r="N263" s="55"/>
      <c r="O263" s="55"/>
      <c r="P263" s="55"/>
      <c r="Q263" s="55"/>
      <c r="R263" s="55"/>
      <c r="S263" s="55"/>
      <c r="T263" s="55"/>
      <c r="U263" s="55"/>
      <c r="V263" s="55"/>
    </row>
    <row r="264" spans="1:22" ht="18.95" customHeight="1">
      <c r="A264" s="55"/>
      <c r="B264" s="55"/>
      <c r="C264" s="55"/>
      <c r="D264" s="55"/>
      <c r="E264" s="55"/>
      <c r="F264" s="55"/>
      <c r="G264" s="55"/>
      <c r="H264" s="55"/>
      <c r="I264" s="55"/>
      <c r="J264" s="55"/>
      <c r="K264" s="55"/>
      <c r="L264" s="48"/>
      <c r="M264" s="55"/>
      <c r="N264" s="55"/>
      <c r="O264" s="55"/>
      <c r="P264" s="55"/>
      <c r="Q264" s="55"/>
      <c r="R264" s="55"/>
      <c r="S264" s="55"/>
      <c r="T264" s="55"/>
      <c r="U264" s="55"/>
      <c r="V264" s="55"/>
    </row>
    <row r="265" spans="1:22" ht="18.95" customHeight="1">
      <c r="A265" s="55"/>
      <c r="B265" s="55"/>
      <c r="C265" s="55"/>
      <c r="D265" s="55"/>
      <c r="E265" s="55"/>
      <c r="F265" s="55"/>
      <c r="G265" s="55"/>
      <c r="H265" s="55"/>
      <c r="I265" s="55"/>
      <c r="J265" s="55"/>
      <c r="K265" s="55"/>
      <c r="L265" s="48"/>
      <c r="M265" s="55"/>
      <c r="N265" s="55"/>
      <c r="O265" s="55"/>
      <c r="P265" s="55"/>
      <c r="Q265" s="55"/>
      <c r="R265" s="55"/>
      <c r="S265" s="55"/>
      <c r="T265" s="55"/>
      <c r="U265" s="55"/>
      <c r="V265" s="55"/>
    </row>
    <row r="266" spans="1:22" ht="18.95" customHeight="1">
      <c r="A266" s="55"/>
      <c r="B266" s="55"/>
      <c r="C266" s="55"/>
      <c r="D266" s="55"/>
      <c r="E266" s="55"/>
      <c r="F266" s="55"/>
      <c r="G266" s="55"/>
      <c r="H266" s="55"/>
      <c r="I266" s="55"/>
      <c r="J266" s="55"/>
      <c r="K266" s="55"/>
      <c r="L266" s="48"/>
      <c r="M266" s="55"/>
      <c r="N266" s="55"/>
      <c r="O266" s="55"/>
      <c r="P266" s="55"/>
      <c r="Q266" s="55"/>
      <c r="R266" s="55"/>
      <c r="S266" s="55"/>
      <c r="T266" s="55"/>
      <c r="U266" s="55"/>
      <c r="V266" s="55"/>
    </row>
    <row r="267" spans="1:22" s="2" customFormat="1" ht="18.9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row>
    <row r="268" spans="1:22" s="2" customFormat="1" ht="18.9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row>
    <row r="269" spans="1:22" s="2" customFormat="1" ht="18.9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row>
    <row r="270" spans="1:22" s="2" customFormat="1" ht="18.9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row>
    <row r="271" spans="1:22" s="2" customFormat="1" ht="18.9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row>
    <row r="272" spans="1:22" s="2" customFormat="1" ht="18.9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row>
    <row r="273" spans="1:22" ht="18.95" customHeight="1">
      <c r="A273" s="55"/>
      <c r="B273" s="55"/>
      <c r="C273" s="55"/>
      <c r="D273" s="55"/>
      <c r="E273" s="55"/>
      <c r="F273" s="55"/>
      <c r="G273" s="55"/>
      <c r="H273" s="55"/>
      <c r="I273" s="55"/>
      <c r="J273" s="55"/>
      <c r="K273" s="55"/>
      <c r="L273" s="48"/>
      <c r="M273" s="55"/>
      <c r="N273" s="55"/>
      <c r="O273" s="55"/>
      <c r="P273" s="55"/>
      <c r="Q273" s="55"/>
      <c r="R273" s="55"/>
      <c r="S273" s="55"/>
      <c r="T273" s="55"/>
      <c r="U273" s="55"/>
      <c r="V273" s="55"/>
    </row>
    <row r="274" spans="1:22" ht="18.95" customHeight="1">
      <c r="A274" s="55"/>
      <c r="B274" s="55"/>
      <c r="C274" s="55"/>
      <c r="D274" s="55"/>
      <c r="E274" s="55"/>
      <c r="F274" s="55"/>
      <c r="G274" s="55"/>
      <c r="H274" s="55"/>
      <c r="I274" s="55"/>
      <c r="J274" s="55"/>
      <c r="K274" s="55"/>
      <c r="L274" s="48"/>
      <c r="M274" s="55"/>
      <c r="N274" s="55"/>
      <c r="O274" s="55"/>
      <c r="P274" s="55"/>
      <c r="Q274" s="55"/>
      <c r="R274" s="55"/>
      <c r="S274" s="55"/>
      <c r="T274" s="55"/>
      <c r="U274" s="55"/>
      <c r="V274" s="55"/>
    </row>
    <row r="275" spans="1:22" ht="18.95" customHeight="1">
      <c r="A275" s="55"/>
      <c r="B275" s="55"/>
      <c r="C275" s="55"/>
      <c r="D275" s="55"/>
      <c r="E275" s="55"/>
      <c r="F275" s="55"/>
      <c r="G275" s="55"/>
      <c r="H275" s="55"/>
      <c r="I275" s="55"/>
      <c r="J275" s="55"/>
      <c r="K275" s="55"/>
      <c r="L275" s="48"/>
      <c r="M275" s="55"/>
      <c r="N275" s="55"/>
      <c r="O275" s="55"/>
      <c r="P275" s="55"/>
      <c r="Q275" s="55"/>
      <c r="R275" s="55"/>
      <c r="S275" s="55"/>
      <c r="T275" s="55"/>
      <c r="U275" s="55"/>
      <c r="V275" s="55"/>
    </row>
    <row r="276" spans="1:22" ht="18.95" customHeight="1">
      <c r="A276" s="55"/>
      <c r="B276" s="55"/>
      <c r="C276" s="55"/>
      <c r="D276" s="55"/>
      <c r="E276" s="55"/>
      <c r="F276" s="55"/>
      <c r="G276" s="55"/>
      <c r="H276" s="55"/>
      <c r="I276" s="55"/>
      <c r="J276" s="55"/>
      <c r="K276" s="55"/>
      <c r="L276" s="48"/>
      <c r="M276" s="55"/>
      <c r="N276" s="55"/>
      <c r="O276" s="55"/>
      <c r="P276" s="55"/>
      <c r="Q276" s="55"/>
      <c r="R276" s="55"/>
      <c r="S276" s="55"/>
      <c r="T276" s="55"/>
      <c r="U276" s="55"/>
      <c r="V276" s="55"/>
    </row>
    <row r="277" spans="1:22" ht="18.95" customHeight="1">
      <c r="A277" s="55"/>
      <c r="B277" s="55"/>
      <c r="C277" s="55"/>
      <c r="D277" s="55"/>
      <c r="E277" s="55"/>
      <c r="F277" s="55"/>
      <c r="G277" s="55"/>
      <c r="H277" s="55"/>
      <c r="I277" s="55"/>
      <c r="J277" s="55"/>
      <c r="K277" s="55"/>
      <c r="L277" s="48"/>
      <c r="M277" s="55"/>
      <c r="N277" s="55"/>
      <c r="O277" s="55"/>
      <c r="P277" s="55"/>
      <c r="Q277" s="55"/>
      <c r="R277" s="55"/>
      <c r="S277" s="55"/>
      <c r="T277" s="55"/>
      <c r="U277" s="55"/>
      <c r="V277" s="55"/>
    </row>
    <row r="278" spans="1:22" ht="18.95" customHeight="1">
      <c r="A278" s="55"/>
      <c r="B278" s="55"/>
      <c r="C278" s="55"/>
      <c r="D278" s="55"/>
      <c r="E278" s="55"/>
      <c r="F278" s="55"/>
      <c r="G278" s="55"/>
      <c r="H278" s="55"/>
      <c r="I278" s="55"/>
      <c r="J278" s="55"/>
      <c r="K278" s="55"/>
      <c r="L278" s="48"/>
      <c r="M278" s="55"/>
      <c r="N278" s="55"/>
      <c r="O278" s="55"/>
      <c r="P278" s="55"/>
      <c r="Q278" s="55"/>
      <c r="R278" s="55"/>
      <c r="S278" s="55"/>
      <c r="T278" s="55"/>
      <c r="U278" s="55"/>
      <c r="V278" s="55"/>
    </row>
    <row r="279" spans="1:22" ht="18.95" customHeight="1">
      <c r="A279" s="55"/>
      <c r="B279" s="55"/>
      <c r="C279" s="55"/>
      <c r="D279" s="55"/>
      <c r="E279" s="55"/>
      <c r="F279" s="55"/>
      <c r="G279" s="55"/>
      <c r="H279" s="55"/>
      <c r="I279" s="55"/>
      <c r="J279" s="55"/>
      <c r="K279" s="55"/>
      <c r="L279" s="48"/>
      <c r="M279" s="55"/>
      <c r="N279" s="55"/>
      <c r="O279" s="55"/>
      <c r="P279" s="55"/>
      <c r="Q279" s="55"/>
      <c r="R279" s="55"/>
      <c r="S279" s="55"/>
      <c r="T279" s="55"/>
      <c r="U279" s="55"/>
      <c r="V279" s="55"/>
    </row>
    <row r="280" spans="1:22" ht="18.95" customHeight="1">
      <c r="A280" s="55"/>
      <c r="B280" s="55"/>
      <c r="C280" s="55"/>
      <c r="D280" s="55"/>
      <c r="E280" s="55"/>
      <c r="F280" s="55"/>
      <c r="G280" s="55"/>
      <c r="H280" s="55"/>
      <c r="I280" s="55"/>
      <c r="J280" s="55"/>
      <c r="K280" s="55"/>
      <c r="L280" s="48"/>
      <c r="M280" s="55"/>
      <c r="N280" s="55"/>
      <c r="O280" s="55"/>
      <c r="P280" s="55"/>
      <c r="Q280" s="55"/>
      <c r="R280" s="55"/>
      <c r="S280" s="55"/>
      <c r="T280" s="55"/>
      <c r="U280" s="55"/>
      <c r="V280" s="55"/>
    </row>
    <row r="281" spans="1:22" ht="18.95" customHeight="1">
      <c r="A281" s="55"/>
      <c r="B281" s="55"/>
      <c r="C281" s="55"/>
      <c r="D281" s="55"/>
      <c r="E281" s="55"/>
      <c r="F281" s="55"/>
      <c r="G281" s="55"/>
      <c r="H281" s="55"/>
      <c r="I281" s="55"/>
      <c r="J281" s="55"/>
      <c r="K281" s="55"/>
      <c r="L281" s="48"/>
      <c r="M281" s="55"/>
      <c r="N281" s="55"/>
      <c r="O281" s="55"/>
      <c r="P281" s="55"/>
      <c r="Q281" s="55"/>
      <c r="R281" s="55"/>
      <c r="S281" s="55"/>
      <c r="T281" s="55"/>
      <c r="U281" s="55"/>
      <c r="V281" s="55"/>
    </row>
    <row r="282" spans="1:22" ht="18.95" customHeight="1">
      <c r="A282" s="55"/>
      <c r="B282" s="55"/>
      <c r="C282" s="55"/>
      <c r="D282" s="55"/>
      <c r="E282" s="55"/>
      <c r="F282" s="55"/>
      <c r="G282" s="55"/>
      <c r="H282" s="55"/>
      <c r="I282" s="55"/>
      <c r="J282" s="55"/>
      <c r="K282" s="55"/>
      <c r="L282" s="48"/>
      <c r="M282" s="55"/>
      <c r="N282" s="55"/>
      <c r="O282" s="55"/>
      <c r="P282" s="55"/>
      <c r="Q282" s="55"/>
      <c r="R282" s="55"/>
      <c r="S282" s="55"/>
      <c r="T282" s="55"/>
      <c r="U282" s="55"/>
      <c r="V282" s="55"/>
    </row>
    <row r="283" spans="1:22" ht="18.95" customHeight="1">
      <c r="A283" s="55"/>
      <c r="B283" s="55"/>
      <c r="C283" s="55"/>
      <c r="D283" s="55"/>
      <c r="E283" s="55"/>
      <c r="F283" s="55"/>
      <c r="G283" s="55"/>
      <c r="H283" s="55"/>
      <c r="I283" s="55"/>
      <c r="J283" s="55"/>
      <c r="K283" s="55"/>
      <c r="L283" s="48"/>
      <c r="M283" s="55"/>
      <c r="N283" s="55"/>
      <c r="O283" s="55"/>
      <c r="P283" s="55"/>
      <c r="Q283" s="55"/>
      <c r="R283" s="55"/>
      <c r="S283" s="55"/>
      <c r="T283" s="55"/>
      <c r="U283" s="55"/>
      <c r="V283" s="55"/>
    </row>
    <row r="284" spans="1:22" ht="18.95" customHeight="1">
      <c r="A284" s="55"/>
      <c r="B284" s="55"/>
      <c r="C284" s="55"/>
      <c r="D284" s="55"/>
      <c r="E284" s="55"/>
      <c r="F284" s="55"/>
      <c r="G284" s="55"/>
      <c r="H284" s="55"/>
      <c r="I284" s="55"/>
      <c r="J284" s="55"/>
      <c r="K284" s="55"/>
      <c r="L284" s="48"/>
      <c r="M284" s="55"/>
      <c r="N284" s="55"/>
      <c r="O284" s="55"/>
      <c r="P284" s="55"/>
      <c r="Q284" s="55"/>
      <c r="R284" s="55"/>
      <c r="S284" s="55"/>
      <c r="T284" s="55"/>
      <c r="U284" s="55"/>
      <c r="V284" s="55"/>
    </row>
    <row r="285" spans="1:22" ht="18.95" customHeight="1">
      <c r="A285" s="55"/>
      <c r="B285" s="55"/>
      <c r="C285" s="55"/>
      <c r="D285" s="55"/>
      <c r="E285" s="55"/>
      <c r="F285" s="55"/>
      <c r="G285" s="55"/>
      <c r="H285" s="55"/>
      <c r="I285" s="55"/>
      <c r="J285" s="55"/>
      <c r="K285" s="55"/>
      <c r="L285" s="48"/>
      <c r="M285" s="55"/>
      <c r="N285" s="55"/>
      <c r="O285" s="55"/>
      <c r="P285" s="55"/>
      <c r="Q285" s="55"/>
      <c r="R285" s="55"/>
      <c r="S285" s="55"/>
      <c r="T285" s="55"/>
      <c r="U285" s="55"/>
      <c r="V285" s="55"/>
    </row>
    <row r="286" spans="1:22" ht="18.95" customHeight="1">
      <c r="A286" s="55"/>
      <c r="B286" s="55"/>
      <c r="C286" s="55"/>
      <c r="D286" s="55"/>
      <c r="E286" s="55"/>
      <c r="F286" s="55"/>
      <c r="G286" s="55"/>
      <c r="H286" s="55"/>
      <c r="I286" s="55"/>
      <c r="J286" s="55"/>
      <c r="K286" s="55"/>
      <c r="L286" s="48"/>
      <c r="M286" s="55"/>
      <c r="N286" s="55"/>
      <c r="O286" s="55"/>
      <c r="P286" s="55"/>
      <c r="Q286" s="55"/>
      <c r="R286" s="55"/>
      <c r="S286" s="55"/>
      <c r="T286" s="55"/>
      <c r="U286" s="55"/>
      <c r="V286" s="55"/>
    </row>
    <row r="287" spans="1:22" ht="18.95" customHeight="1">
      <c r="A287" s="55"/>
      <c r="B287" s="55"/>
      <c r="C287" s="55"/>
      <c r="D287" s="55"/>
      <c r="E287" s="55"/>
      <c r="F287" s="55"/>
      <c r="G287" s="55"/>
      <c r="H287" s="55"/>
      <c r="I287" s="55"/>
      <c r="J287" s="55"/>
      <c r="K287" s="55"/>
      <c r="L287" s="48"/>
      <c r="M287" s="55"/>
      <c r="N287" s="55"/>
      <c r="O287" s="55"/>
      <c r="P287" s="55"/>
      <c r="Q287" s="55"/>
      <c r="R287" s="55"/>
      <c r="S287" s="55"/>
      <c r="T287" s="55"/>
      <c r="U287" s="55"/>
      <c r="V287" s="55"/>
    </row>
    <row r="288" spans="1:22" ht="18.95" customHeight="1">
      <c r="A288" s="55"/>
      <c r="B288" s="55"/>
      <c r="C288" s="55"/>
      <c r="D288" s="55"/>
      <c r="E288" s="55"/>
      <c r="F288" s="55"/>
      <c r="G288" s="55"/>
      <c r="H288" s="55"/>
      <c r="I288" s="55"/>
      <c r="J288" s="55"/>
      <c r="K288" s="55"/>
      <c r="L288" s="48"/>
      <c r="M288" s="55"/>
      <c r="N288" s="55"/>
      <c r="O288" s="55"/>
      <c r="P288" s="55"/>
      <c r="Q288" s="55"/>
      <c r="R288" s="55"/>
      <c r="S288" s="55"/>
      <c r="T288" s="55"/>
      <c r="U288" s="55"/>
      <c r="V288" s="55"/>
    </row>
    <row r="289" spans="1:22" ht="18.95" customHeight="1">
      <c r="A289" s="55"/>
      <c r="B289" s="55"/>
      <c r="C289" s="55"/>
      <c r="D289" s="55"/>
      <c r="E289" s="55"/>
      <c r="F289" s="55"/>
      <c r="G289" s="55"/>
      <c r="H289" s="55"/>
      <c r="I289" s="55"/>
      <c r="J289" s="55"/>
      <c r="K289" s="55"/>
      <c r="L289" s="48"/>
      <c r="M289" s="55"/>
      <c r="N289" s="55"/>
      <c r="O289" s="55"/>
      <c r="P289" s="55"/>
      <c r="Q289" s="55"/>
      <c r="R289" s="55"/>
      <c r="S289" s="55"/>
      <c r="T289" s="55"/>
      <c r="U289" s="55"/>
      <c r="V289" s="55"/>
    </row>
    <row r="290" spans="1:22" ht="18.95" customHeight="1">
      <c r="A290" s="55"/>
      <c r="B290" s="55"/>
      <c r="C290" s="55"/>
      <c r="D290" s="55"/>
      <c r="E290" s="55"/>
      <c r="F290" s="55"/>
      <c r="G290" s="55"/>
      <c r="H290" s="55"/>
      <c r="I290" s="55"/>
      <c r="J290" s="55"/>
      <c r="K290" s="55"/>
      <c r="L290" s="48"/>
      <c r="M290" s="55"/>
      <c r="N290" s="55"/>
      <c r="O290" s="55"/>
      <c r="P290" s="55"/>
      <c r="Q290" s="55"/>
      <c r="R290" s="55"/>
      <c r="S290" s="55"/>
      <c r="T290" s="55"/>
      <c r="U290" s="55"/>
      <c r="V290" s="55"/>
    </row>
    <row r="291" spans="1:22" ht="18.95" customHeight="1">
      <c r="A291" s="55"/>
      <c r="B291" s="55"/>
      <c r="C291" s="55"/>
      <c r="D291" s="55"/>
      <c r="E291" s="55"/>
      <c r="F291" s="55"/>
      <c r="G291" s="55"/>
      <c r="H291" s="55"/>
      <c r="I291" s="55"/>
      <c r="J291" s="55"/>
      <c r="K291" s="55"/>
      <c r="L291" s="48"/>
      <c r="M291" s="55"/>
      <c r="N291" s="55"/>
      <c r="O291" s="55"/>
      <c r="P291" s="55"/>
      <c r="Q291" s="55"/>
      <c r="R291" s="55"/>
      <c r="S291" s="55"/>
      <c r="T291" s="55"/>
      <c r="U291" s="55"/>
      <c r="V291" s="55"/>
    </row>
    <row r="292" spans="1:22" ht="18.95" customHeight="1">
      <c r="A292" s="55"/>
      <c r="B292" s="55"/>
      <c r="C292" s="55"/>
      <c r="D292" s="55"/>
      <c r="E292" s="55"/>
      <c r="F292" s="55"/>
      <c r="G292" s="55"/>
      <c r="H292" s="55"/>
      <c r="I292" s="55"/>
      <c r="J292" s="55"/>
      <c r="K292" s="55"/>
      <c r="L292" s="48"/>
      <c r="M292" s="55"/>
      <c r="N292" s="55"/>
      <c r="O292" s="55"/>
      <c r="P292" s="55"/>
      <c r="Q292" s="55"/>
      <c r="R292" s="55"/>
      <c r="S292" s="55"/>
      <c r="T292" s="55"/>
      <c r="U292" s="55"/>
      <c r="V292" s="55"/>
    </row>
    <row r="293" spans="1:22" ht="18.95" customHeight="1">
      <c r="A293" s="55"/>
      <c r="B293" s="55"/>
      <c r="C293" s="55"/>
      <c r="D293" s="55"/>
      <c r="E293" s="55"/>
      <c r="F293" s="55"/>
      <c r="G293" s="55"/>
      <c r="H293" s="55"/>
      <c r="I293" s="55"/>
      <c r="J293" s="55"/>
      <c r="K293" s="55"/>
      <c r="L293" s="48"/>
      <c r="M293" s="55"/>
      <c r="N293" s="55"/>
      <c r="O293" s="55"/>
      <c r="P293" s="55"/>
      <c r="Q293" s="55"/>
      <c r="R293" s="55"/>
      <c r="S293" s="55"/>
      <c r="T293" s="55"/>
      <c r="U293" s="55"/>
      <c r="V293" s="55"/>
    </row>
    <row r="294" spans="1:22" ht="18.95" customHeight="1">
      <c r="A294" s="55"/>
      <c r="B294" s="55"/>
      <c r="C294" s="55"/>
      <c r="D294" s="55"/>
      <c r="E294" s="55"/>
      <c r="F294" s="55"/>
      <c r="G294" s="55"/>
      <c r="H294" s="55"/>
      <c r="I294" s="55"/>
      <c r="J294" s="55"/>
      <c r="K294" s="55"/>
      <c r="L294" s="48"/>
      <c r="M294" s="55"/>
      <c r="N294" s="55"/>
      <c r="O294" s="55"/>
      <c r="P294" s="55"/>
      <c r="Q294" s="55"/>
      <c r="R294" s="55"/>
      <c r="S294" s="55"/>
      <c r="T294" s="55"/>
      <c r="U294" s="55"/>
      <c r="V294" s="55"/>
    </row>
    <row r="295" spans="1:22" ht="18.95" customHeight="1">
      <c r="A295" s="55"/>
      <c r="B295" s="55"/>
      <c r="C295" s="55"/>
      <c r="D295" s="55"/>
      <c r="E295" s="55"/>
      <c r="F295" s="55"/>
      <c r="G295" s="55"/>
      <c r="H295" s="55"/>
      <c r="I295" s="55"/>
      <c r="J295" s="55"/>
      <c r="K295" s="55"/>
      <c r="L295" s="48"/>
      <c r="M295" s="55"/>
      <c r="N295" s="55"/>
      <c r="O295" s="55"/>
      <c r="P295" s="55"/>
      <c r="Q295" s="55"/>
      <c r="R295" s="55"/>
      <c r="S295" s="55"/>
      <c r="T295" s="55"/>
      <c r="U295" s="55"/>
      <c r="V295" s="55"/>
    </row>
    <row r="296" spans="1:22" ht="18.95" customHeight="1">
      <c r="A296" s="55"/>
      <c r="B296" s="55"/>
      <c r="C296" s="55"/>
      <c r="D296" s="55"/>
      <c r="E296" s="55"/>
      <c r="F296" s="55"/>
      <c r="G296" s="55"/>
      <c r="H296" s="55"/>
      <c r="I296" s="55"/>
      <c r="J296" s="55"/>
      <c r="K296" s="55"/>
      <c r="L296" s="48"/>
      <c r="M296" s="55"/>
      <c r="N296" s="55"/>
      <c r="O296" s="55"/>
      <c r="P296" s="55"/>
      <c r="Q296" s="55"/>
      <c r="R296" s="55"/>
      <c r="S296" s="55"/>
      <c r="T296" s="55"/>
      <c r="U296" s="55"/>
      <c r="V296" s="55"/>
    </row>
    <row r="297" spans="1:22" ht="18.95" customHeight="1">
      <c r="A297" s="55"/>
      <c r="B297" s="55"/>
      <c r="C297" s="55"/>
      <c r="D297" s="55"/>
      <c r="E297" s="55"/>
      <c r="F297" s="55"/>
      <c r="G297" s="55"/>
      <c r="H297" s="55"/>
      <c r="I297" s="55"/>
      <c r="J297" s="55"/>
      <c r="K297" s="55"/>
      <c r="L297" s="48"/>
      <c r="M297" s="55"/>
      <c r="N297" s="55"/>
      <c r="O297" s="55"/>
      <c r="P297" s="55"/>
      <c r="Q297" s="55"/>
      <c r="R297" s="55"/>
      <c r="S297" s="55"/>
      <c r="T297" s="55"/>
      <c r="U297" s="55"/>
      <c r="V297" s="55"/>
    </row>
    <row r="298" spans="1:22" ht="18.95" customHeight="1">
      <c r="A298" s="55"/>
      <c r="B298" s="55"/>
      <c r="C298" s="55"/>
      <c r="D298" s="55"/>
      <c r="E298" s="55"/>
      <c r="F298" s="55"/>
      <c r="G298" s="55"/>
      <c r="H298" s="55"/>
      <c r="I298" s="55"/>
      <c r="J298" s="55"/>
      <c r="K298" s="55"/>
      <c r="L298" s="48"/>
      <c r="M298" s="55"/>
      <c r="N298" s="55"/>
      <c r="O298" s="55"/>
      <c r="P298" s="55"/>
      <c r="Q298" s="55"/>
      <c r="R298" s="55"/>
      <c r="S298" s="55"/>
      <c r="T298" s="55"/>
      <c r="U298" s="55"/>
      <c r="V298" s="55"/>
    </row>
    <row r="299" spans="1:22" ht="18.95" customHeight="1">
      <c r="A299" s="55"/>
      <c r="B299" s="55"/>
      <c r="C299" s="55"/>
      <c r="D299" s="55"/>
      <c r="E299" s="55"/>
      <c r="F299" s="55"/>
      <c r="G299" s="55"/>
      <c r="H299" s="55"/>
      <c r="I299" s="55"/>
      <c r="J299" s="55"/>
      <c r="K299" s="55"/>
      <c r="L299" s="48"/>
      <c r="M299" s="55"/>
      <c r="N299" s="55"/>
      <c r="O299" s="55"/>
      <c r="P299" s="55"/>
      <c r="Q299" s="55"/>
      <c r="R299" s="55"/>
      <c r="S299" s="55"/>
      <c r="T299" s="55"/>
      <c r="U299" s="55"/>
      <c r="V299" s="55"/>
    </row>
    <row r="300" spans="1:22" ht="18.95" customHeight="1">
      <c r="A300" s="55"/>
      <c r="B300" s="55"/>
      <c r="C300" s="55"/>
      <c r="D300" s="55"/>
      <c r="E300" s="55"/>
      <c r="F300" s="55"/>
      <c r="G300" s="55"/>
      <c r="H300" s="55"/>
      <c r="I300" s="55"/>
      <c r="J300" s="55"/>
      <c r="K300" s="55"/>
      <c r="L300" s="48"/>
      <c r="M300" s="55"/>
      <c r="N300" s="55"/>
      <c r="O300" s="55"/>
      <c r="P300" s="55"/>
      <c r="Q300" s="55"/>
      <c r="R300" s="55"/>
      <c r="S300" s="55"/>
      <c r="T300" s="55"/>
      <c r="U300" s="55"/>
      <c r="V300" s="55"/>
    </row>
    <row r="301" spans="1:22" ht="18.95" customHeight="1">
      <c r="A301" s="55"/>
      <c r="B301" s="55"/>
      <c r="C301" s="55"/>
      <c r="D301" s="55"/>
      <c r="E301" s="55"/>
      <c r="F301" s="55"/>
      <c r="G301" s="55"/>
      <c r="H301" s="55"/>
      <c r="I301" s="55"/>
      <c r="J301" s="55"/>
      <c r="K301" s="55"/>
      <c r="L301" s="48"/>
      <c r="M301" s="55"/>
      <c r="N301" s="55"/>
      <c r="O301" s="55"/>
      <c r="P301" s="55"/>
      <c r="Q301" s="55"/>
      <c r="R301" s="55"/>
      <c r="S301" s="55"/>
      <c r="T301" s="55"/>
      <c r="U301" s="55"/>
      <c r="V301" s="55"/>
    </row>
    <row r="302" spans="1:22" ht="18.95" customHeight="1">
      <c r="A302" s="55"/>
      <c r="B302" s="55"/>
      <c r="C302" s="55"/>
      <c r="D302" s="55"/>
      <c r="E302" s="55"/>
      <c r="F302" s="55"/>
      <c r="G302" s="55"/>
      <c r="H302" s="55"/>
      <c r="I302" s="55"/>
      <c r="J302" s="55"/>
      <c r="K302" s="55"/>
      <c r="L302" s="48"/>
      <c r="M302" s="55"/>
      <c r="N302" s="55"/>
      <c r="O302" s="55"/>
      <c r="P302" s="55"/>
      <c r="Q302" s="55"/>
      <c r="R302" s="55"/>
      <c r="S302" s="55"/>
      <c r="T302" s="55"/>
      <c r="U302" s="55"/>
      <c r="V302" s="55"/>
    </row>
    <row r="303" spans="1:22" ht="18.95" customHeight="1">
      <c r="A303" s="55"/>
      <c r="B303" s="55"/>
      <c r="C303" s="55"/>
      <c r="D303" s="55"/>
      <c r="E303" s="55"/>
      <c r="F303" s="55"/>
      <c r="G303" s="55"/>
      <c r="H303" s="55"/>
      <c r="I303" s="55"/>
      <c r="J303" s="55"/>
      <c r="K303" s="55"/>
      <c r="L303" s="48"/>
      <c r="M303" s="55"/>
      <c r="N303" s="55"/>
      <c r="O303" s="55"/>
      <c r="P303" s="55"/>
      <c r="Q303" s="55"/>
      <c r="R303" s="55"/>
      <c r="S303" s="55"/>
      <c r="T303" s="55"/>
      <c r="U303" s="55"/>
      <c r="V303" s="55"/>
    </row>
    <row r="304" spans="1:22" ht="18.95" customHeight="1">
      <c r="A304" s="55"/>
      <c r="B304" s="55"/>
      <c r="C304" s="55"/>
      <c r="D304" s="55"/>
      <c r="E304" s="55"/>
      <c r="F304" s="55"/>
      <c r="G304" s="55"/>
      <c r="H304" s="55"/>
      <c r="I304" s="55"/>
      <c r="J304" s="55"/>
      <c r="K304" s="55"/>
      <c r="L304" s="48"/>
      <c r="M304" s="55"/>
      <c r="N304" s="55"/>
      <c r="O304" s="55"/>
      <c r="P304" s="55"/>
      <c r="Q304" s="55"/>
      <c r="R304" s="55"/>
      <c r="S304" s="55"/>
      <c r="T304" s="55"/>
      <c r="U304" s="55"/>
      <c r="V304" s="55"/>
    </row>
    <row r="305" spans="1:22" ht="18.95" customHeight="1">
      <c r="A305" s="55"/>
      <c r="B305" s="55"/>
      <c r="C305" s="55"/>
      <c r="D305" s="55"/>
      <c r="E305" s="55"/>
      <c r="F305" s="55"/>
      <c r="G305" s="55"/>
      <c r="H305" s="55"/>
      <c r="I305" s="55"/>
      <c r="J305" s="55"/>
      <c r="K305" s="55"/>
      <c r="L305" s="48"/>
      <c r="M305" s="55"/>
      <c r="N305" s="55"/>
      <c r="O305" s="55"/>
      <c r="P305" s="55"/>
      <c r="Q305" s="55"/>
      <c r="R305" s="55"/>
      <c r="S305" s="55"/>
      <c r="T305" s="55"/>
      <c r="U305" s="55"/>
      <c r="V305" s="55"/>
    </row>
    <row r="306" spans="1:22" ht="18.95" customHeight="1">
      <c r="A306" s="55"/>
      <c r="B306" s="55"/>
      <c r="C306" s="55"/>
      <c r="D306" s="55"/>
      <c r="E306" s="55"/>
      <c r="F306" s="55"/>
      <c r="G306" s="55"/>
      <c r="H306" s="55"/>
      <c r="I306" s="55"/>
      <c r="J306" s="55"/>
      <c r="K306" s="55"/>
      <c r="L306" s="48"/>
      <c r="M306" s="55"/>
      <c r="N306" s="55"/>
      <c r="O306" s="55"/>
      <c r="P306" s="55"/>
      <c r="Q306" s="55"/>
      <c r="R306" s="55"/>
      <c r="S306" s="55"/>
      <c r="T306" s="55"/>
      <c r="U306" s="55"/>
      <c r="V306" s="55"/>
    </row>
    <row r="307" spans="1:22" ht="18.95" customHeight="1">
      <c r="A307" s="55"/>
      <c r="B307" s="55"/>
      <c r="C307" s="55"/>
      <c r="D307" s="55"/>
      <c r="E307" s="55"/>
      <c r="F307" s="55"/>
      <c r="G307" s="55"/>
      <c r="H307" s="55"/>
      <c r="I307" s="55"/>
      <c r="J307" s="55"/>
      <c r="K307" s="55"/>
      <c r="L307" s="48"/>
      <c r="M307" s="55"/>
      <c r="N307" s="55"/>
      <c r="O307" s="55"/>
      <c r="P307" s="55"/>
      <c r="Q307" s="55"/>
      <c r="R307" s="55"/>
      <c r="S307" s="55"/>
      <c r="T307" s="55"/>
      <c r="U307" s="55"/>
      <c r="V307" s="55"/>
    </row>
    <row r="308" spans="1:22" ht="18.95" customHeight="1">
      <c r="A308" s="55"/>
      <c r="B308" s="55"/>
      <c r="C308" s="55"/>
      <c r="D308" s="55"/>
      <c r="E308" s="55"/>
      <c r="F308" s="55"/>
      <c r="G308" s="55"/>
      <c r="H308" s="55"/>
      <c r="I308" s="55"/>
      <c r="J308" s="55"/>
      <c r="K308" s="55"/>
      <c r="L308" s="48"/>
      <c r="M308" s="55"/>
      <c r="N308" s="55"/>
      <c r="O308" s="55"/>
      <c r="P308" s="55"/>
      <c r="Q308" s="55"/>
      <c r="R308" s="55"/>
      <c r="S308" s="55"/>
      <c r="T308" s="55"/>
      <c r="U308" s="55"/>
      <c r="V308" s="55"/>
    </row>
    <row r="309" spans="1:22" ht="18.95" customHeight="1">
      <c r="A309" s="55"/>
      <c r="B309" s="55"/>
      <c r="C309" s="55"/>
      <c r="D309" s="55"/>
      <c r="E309" s="55"/>
      <c r="F309" s="55"/>
      <c r="G309" s="55"/>
      <c r="H309" s="55"/>
      <c r="I309" s="55"/>
      <c r="J309" s="55"/>
      <c r="K309" s="55"/>
      <c r="L309" s="48"/>
      <c r="M309" s="55"/>
      <c r="N309" s="55"/>
      <c r="O309" s="55"/>
      <c r="P309" s="55"/>
      <c r="Q309" s="55"/>
      <c r="R309" s="55"/>
      <c r="S309" s="55"/>
      <c r="T309" s="55"/>
      <c r="U309" s="55"/>
      <c r="V309" s="55"/>
    </row>
    <row r="310" spans="1:22" ht="18.95" customHeight="1">
      <c r="A310" s="55"/>
      <c r="B310" s="55"/>
      <c r="C310" s="55"/>
      <c r="D310" s="55"/>
      <c r="E310" s="55"/>
      <c r="F310" s="55"/>
      <c r="G310" s="55"/>
      <c r="H310" s="55"/>
      <c r="I310" s="55"/>
      <c r="J310" s="55"/>
      <c r="K310" s="55"/>
      <c r="L310" s="48"/>
      <c r="M310" s="55"/>
      <c r="N310" s="55"/>
      <c r="O310" s="55"/>
      <c r="P310" s="55"/>
      <c r="Q310" s="55"/>
      <c r="R310" s="55"/>
      <c r="S310" s="55"/>
      <c r="T310" s="55"/>
      <c r="U310" s="55"/>
      <c r="V310" s="55"/>
    </row>
    <row r="311" spans="1:22" ht="18.95" customHeight="1">
      <c r="A311" s="55"/>
      <c r="B311" s="55"/>
      <c r="C311" s="55"/>
      <c r="D311" s="55"/>
      <c r="E311" s="55"/>
      <c r="F311" s="55"/>
      <c r="G311" s="55"/>
      <c r="H311" s="55"/>
      <c r="I311" s="55"/>
      <c r="J311" s="55"/>
      <c r="K311" s="55"/>
      <c r="L311" s="48"/>
      <c r="M311" s="55"/>
      <c r="N311" s="55"/>
      <c r="O311" s="55"/>
      <c r="P311" s="55"/>
      <c r="Q311" s="55"/>
      <c r="R311" s="55"/>
      <c r="S311" s="55"/>
      <c r="T311" s="55"/>
      <c r="U311" s="55"/>
      <c r="V311" s="55"/>
    </row>
    <row r="312" spans="1:22" ht="18.95" customHeight="1">
      <c r="A312" s="55"/>
      <c r="B312" s="55"/>
      <c r="C312" s="55"/>
      <c r="D312" s="55"/>
      <c r="E312" s="55"/>
      <c r="F312" s="55"/>
      <c r="G312" s="55"/>
      <c r="H312" s="55"/>
      <c r="I312" s="55"/>
      <c r="J312" s="55"/>
      <c r="K312" s="55"/>
      <c r="L312" s="48"/>
      <c r="M312" s="55"/>
      <c r="N312" s="55"/>
      <c r="O312" s="55"/>
      <c r="P312" s="55"/>
      <c r="Q312" s="55"/>
      <c r="R312" s="55"/>
      <c r="S312" s="55"/>
      <c r="T312" s="55"/>
      <c r="U312" s="55"/>
      <c r="V312" s="55"/>
    </row>
    <row r="313" spans="1:22" ht="18.95" customHeight="1">
      <c r="A313" s="55"/>
      <c r="B313" s="55"/>
      <c r="C313" s="55"/>
      <c r="D313" s="55"/>
      <c r="E313" s="55"/>
      <c r="F313" s="55"/>
      <c r="G313" s="55"/>
      <c r="H313" s="55"/>
      <c r="I313" s="55"/>
      <c r="J313" s="55"/>
      <c r="K313" s="55"/>
      <c r="L313" s="48"/>
      <c r="M313" s="55"/>
      <c r="N313" s="55"/>
      <c r="O313" s="55"/>
      <c r="P313" s="55"/>
      <c r="Q313" s="55"/>
      <c r="R313" s="55"/>
      <c r="S313" s="55"/>
      <c r="T313" s="55"/>
      <c r="U313" s="55"/>
      <c r="V313" s="55"/>
    </row>
    <row r="314" spans="1:22" ht="18.95" customHeight="1">
      <c r="A314" s="55"/>
      <c r="B314" s="55"/>
      <c r="C314" s="55"/>
      <c r="D314" s="55"/>
      <c r="E314" s="55"/>
      <c r="F314" s="55"/>
      <c r="G314" s="55"/>
      <c r="H314" s="55"/>
      <c r="I314" s="55"/>
      <c r="J314" s="55"/>
      <c r="K314" s="55"/>
      <c r="L314" s="48"/>
      <c r="M314" s="55"/>
      <c r="N314" s="55"/>
      <c r="O314" s="55"/>
      <c r="P314" s="55"/>
      <c r="Q314" s="55"/>
      <c r="R314" s="55"/>
      <c r="S314" s="55"/>
      <c r="T314" s="55"/>
      <c r="U314" s="55"/>
      <c r="V314" s="55"/>
    </row>
    <row r="315" spans="1:22" ht="18.95" customHeight="1">
      <c r="A315" s="55"/>
      <c r="B315" s="55"/>
      <c r="C315" s="55"/>
      <c r="D315" s="55"/>
      <c r="E315" s="55"/>
      <c r="F315" s="55"/>
      <c r="G315" s="55"/>
      <c r="H315" s="55"/>
      <c r="I315" s="55"/>
      <c r="J315" s="55"/>
      <c r="K315" s="55"/>
      <c r="L315" s="48"/>
      <c r="M315" s="55"/>
      <c r="N315" s="55"/>
      <c r="O315" s="55"/>
      <c r="P315" s="55"/>
      <c r="Q315" s="55"/>
      <c r="R315" s="55"/>
      <c r="S315" s="55"/>
      <c r="T315" s="55"/>
      <c r="U315" s="55"/>
      <c r="V315" s="55"/>
    </row>
    <row r="316" spans="1:22" ht="18.95" customHeight="1">
      <c r="A316" s="55"/>
      <c r="B316" s="55"/>
      <c r="C316" s="55"/>
      <c r="D316" s="55"/>
      <c r="E316" s="55"/>
      <c r="F316" s="55"/>
      <c r="G316" s="55"/>
      <c r="H316" s="55"/>
      <c r="I316" s="55"/>
      <c r="J316" s="55"/>
      <c r="K316" s="55"/>
      <c r="L316" s="48"/>
      <c r="M316" s="55"/>
      <c r="N316" s="55"/>
      <c r="O316" s="55"/>
      <c r="P316" s="55"/>
      <c r="Q316" s="55"/>
      <c r="R316" s="55"/>
      <c r="S316" s="55"/>
      <c r="T316" s="55"/>
      <c r="U316" s="55"/>
      <c r="V316" s="55"/>
    </row>
    <row r="317" spans="1:22" ht="18.95" customHeight="1">
      <c r="A317" s="55"/>
      <c r="B317" s="55"/>
      <c r="C317" s="55"/>
      <c r="D317" s="55"/>
      <c r="E317" s="55"/>
      <c r="F317" s="55"/>
      <c r="G317" s="55"/>
      <c r="H317" s="55"/>
      <c r="I317" s="55"/>
      <c r="J317" s="55"/>
      <c r="K317" s="55"/>
      <c r="L317" s="48"/>
      <c r="M317" s="55"/>
      <c r="N317" s="55"/>
      <c r="O317" s="55"/>
      <c r="P317" s="55"/>
      <c r="Q317" s="55"/>
      <c r="R317" s="55"/>
      <c r="S317" s="55"/>
      <c r="T317" s="55"/>
      <c r="U317" s="55"/>
      <c r="V317" s="55"/>
    </row>
    <row r="318" spans="1:22" ht="18.95" customHeight="1">
      <c r="A318" s="55"/>
      <c r="B318" s="55"/>
      <c r="C318" s="55"/>
      <c r="D318" s="55"/>
      <c r="E318" s="55"/>
      <c r="F318" s="55"/>
      <c r="G318" s="55"/>
      <c r="H318" s="55"/>
      <c r="I318" s="55"/>
      <c r="J318" s="55"/>
      <c r="K318" s="55"/>
      <c r="L318" s="48"/>
      <c r="M318" s="55"/>
      <c r="N318" s="55"/>
      <c r="O318" s="55"/>
      <c r="P318" s="55"/>
      <c r="Q318" s="55"/>
      <c r="R318" s="55"/>
      <c r="S318" s="55"/>
      <c r="T318" s="55"/>
      <c r="U318" s="55"/>
      <c r="V318" s="55"/>
    </row>
    <row r="319" spans="1:22" ht="18.95" customHeight="1">
      <c r="A319" s="55"/>
      <c r="B319" s="55"/>
      <c r="C319" s="55"/>
      <c r="D319" s="55"/>
      <c r="E319" s="55"/>
      <c r="F319" s="55"/>
      <c r="G319" s="55"/>
      <c r="H319" s="55"/>
      <c r="I319" s="55"/>
      <c r="J319" s="55"/>
      <c r="K319" s="55"/>
      <c r="L319" s="48"/>
      <c r="M319" s="55"/>
      <c r="N319" s="55"/>
      <c r="O319" s="55"/>
      <c r="P319" s="55"/>
      <c r="Q319" s="55"/>
      <c r="R319" s="55"/>
      <c r="S319" s="55"/>
      <c r="T319" s="55"/>
      <c r="U319" s="55"/>
      <c r="V319" s="55"/>
    </row>
    <row r="320" spans="1:22" ht="18.95" customHeight="1">
      <c r="A320" s="55"/>
      <c r="B320" s="55"/>
      <c r="C320" s="55"/>
      <c r="D320" s="55"/>
      <c r="E320" s="55"/>
      <c r="F320" s="55"/>
      <c r="G320" s="55"/>
      <c r="H320" s="55"/>
      <c r="I320" s="55"/>
      <c r="J320" s="55"/>
      <c r="K320" s="55"/>
      <c r="L320" s="48"/>
      <c r="M320" s="55"/>
      <c r="N320" s="55"/>
      <c r="O320" s="55"/>
      <c r="P320" s="55"/>
      <c r="Q320" s="55"/>
      <c r="R320" s="55"/>
      <c r="S320" s="55"/>
      <c r="T320" s="55"/>
      <c r="U320" s="55"/>
      <c r="V320" s="55"/>
    </row>
    <row r="321" spans="1:22" ht="18.95" customHeight="1">
      <c r="A321" s="55"/>
      <c r="B321" s="55"/>
      <c r="C321" s="55"/>
      <c r="D321" s="55"/>
      <c r="E321" s="55"/>
      <c r="F321" s="55"/>
      <c r="G321" s="55"/>
      <c r="H321" s="55"/>
      <c r="I321" s="55"/>
      <c r="J321" s="55"/>
      <c r="K321" s="55"/>
      <c r="L321" s="48"/>
      <c r="M321" s="55"/>
      <c r="N321" s="55"/>
      <c r="O321" s="55"/>
      <c r="P321" s="55"/>
      <c r="Q321" s="55"/>
      <c r="R321" s="55"/>
      <c r="S321" s="55"/>
      <c r="T321" s="55"/>
      <c r="U321" s="55"/>
      <c r="V321" s="55"/>
    </row>
    <row r="322" spans="1:22" ht="18.95" customHeight="1">
      <c r="A322" s="55"/>
      <c r="B322" s="55"/>
      <c r="C322" s="55"/>
      <c r="D322" s="55"/>
      <c r="E322" s="55"/>
      <c r="F322" s="55"/>
      <c r="G322" s="55"/>
      <c r="H322" s="55"/>
      <c r="I322" s="55"/>
      <c r="J322" s="55"/>
      <c r="K322" s="55"/>
      <c r="L322" s="48"/>
      <c r="M322" s="55"/>
      <c r="N322" s="55"/>
      <c r="O322" s="55"/>
      <c r="P322" s="55"/>
      <c r="Q322" s="55"/>
      <c r="R322" s="55"/>
      <c r="S322" s="55"/>
      <c r="T322" s="55"/>
      <c r="U322" s="55"/>
      <c r="V322" s="55"/>
    </row>
    <row r="323" spans="1:22" ht="18.95" customHeight="1">
      <c r="A323" s="55"/>
      <c r="B323" s="55"/>
      <c r="C323" s="55"/>
      <c r="D323" s="55"/>
      <c r="E323" s="55"/>
      <c r="F323" s="55"/>
      <c r="G323" s="55"/>
      <c r="H323" s="55"/>
      <c r="I323" s="55"/>
      <c r="J323" s="55"/>
      <c r="K323" s="55"/>
      <c r="L323" s="48"/>
      <c r="M323" s="55"/>
      <c r="N323" s="55"/>
      <c r="O323" s="55"/>
      <c r="P323" s="55"/>
      <c r="Q323" s="55"/>
      <c r="R323" s="55"/>
      <c r="S323" s="55"/>
      <c r="T323" s="55"/>
      <c r="U323" s="55"/>
      <c r="V323" s="55"/>
    </row>
    <row r="324" spans="1:22" ht="18.95" customHeight="1">
      <c r="A324" s="55"/>
      <c r="B324" s="55"/>
      <c r="C324" s="55"/>
      <c r="D324" s="55"/>
      <c r="E324" s="55"/>
      <c r="F324" s="55"/>
      <c r="G324" s="55"/>
      <c r="H324" s="55"/>
      <c r="I324" s="55"/>
      <c r="J324" s="55"/>
      <c r="K324" s="55"/>
      <c r="L324" s="48"/>
      <c r="M324" s="55"/>
      <c r="N324" s="55"/>
      <c r="O324" s="55"/>
      <c r="P324" s="55"/>
      <c r="Q324" s="55"/>
      <c r="R324" s="55"/>
      <c r="S324" s="55"/>
      <c r="T324" s="55"/>
      <c r="U324" s="55"/>
      <c r="V324" s="55"/>
    </row>
    <row r="325" spans="1:22" ht="18.95" customHeight="1">
      <c r="A325" s="55"/>
      <c r="B325" s="55"/>
      <c r="C325" s="55"/>
      <c r="D325" s="55"/>
      <c r="E325" s="55"/>
      <c r="F325" s="55"/>
      <c r="G325" s="55"/>
      <c r="H325" s="55"/>
      <c r="I325" s="55"/>
      <c r="J325" s="55"/>
      <c r="K325" s="55"/>
      <c r="L325" s="48"/>
      <c r="M325" s="55"/>
      <c r="N325" s="55"/>
      <c r="O325" s="55"/>
      <c r="P325" s="55"/>
      <c r="Q325" s="55"/>
      <c r="R325" s="55"/>
      <c r="S325" s="55"/>
      <c r="T325" s="55"/>
      <c r="U325" s="55"/>
      <c r="V325" s="55"/>
    </row>
    <row r="326" spans="1:22" ht="18.95" customHeight="1">
      <c r="A326" s="55"/>
      <c r="B326" s="55"/>
      <c r="C326" s="55"/>
      <c r="D326" s="55"/>
      <c r="E326" s="55"/>
      <c r="F326" s="55"/>
      <c r="G326" s="55"/>
      <c r="H326" s="55"/>
      <c r="I326" s="55"/>
      <c r="J326" s="55"/>
      <c r="K326" s="55"/>
      <c r="L326" s="48"/>
      <c r="M326" s="55"/>
      <c r="N326" s="55"/>
      <c r="O326" s="55"/>
      <c r="P326" s="55"/>
      <c r="Q326" s="55"/>
      <c r="R326" s="55"/>
      <c r="S326" s="55"/>
      <c r="T326" s="55"/>
      <c r="U326" s="55"/>
      <c r="V326" s="55"/>
    </row>
    <row r="327" spans="1:22" ht="18.95" customHeight="1">
      <c r="A327" s="55"/>
      <c r="B327" s="55"/>
      <c r="C327" s="55"/>
      <c r="D327" s="55"/>
      <c r="E327" s="55"/>
      <c r="F327" s="55"/>
      <c r="G327" s="55"/>
      <c r="H327" s="55"/>
      <c r="I327" s="55"/>
      <c r="J327" s="55"/>
      <c r="K327" s="55"/>
      <c r="L327" s="48"/>
      <c r="M327" s="55"/>
      <c r="N327" s="55"/>
      <c r="O327" s="55"/>
      <c r="P327" s="55"/>
      <c r="Q327" s="55"/>
      <c r="R327" s="55"/>
      <c r="S327" s="55"/>
      <c r="T327" s="55"/>
      <c r="U327" s="55"/>
      <c r="V327" s="55"/>
    </row>
    <row r="328" spans="1:22" ht="18.95" customHeight="1">
      <c r="A328" s="55"/>
      <c r="B328" s="55"/>
      <c r="C328" s="55"/>
      <c r="D328" s="55"/>
      <c r="E328" s="55"/>
      <c r="F328" s="55"/>
      <c r="G328" s="55"/>
      <c r="H328" s="55"/>
      <c r="I328" s="55"/>
      <c r="J328" s="55"/>
      <c r="K328" s="55"/>
      <c r="L328" s="48"/>
      <c r="M328" s="55"/>
      <c r="N328" s="55"/>
      <c r="O328" s="55"/>
      <c r="P328" s="55"/>
      <c r="Q328" s="55"/>
      <c r="R328" s="55"/>
      <c r="S328" s="55"/>
      <c r="T328" s="55"/>
      <c r="U328" s="55"/>
      <c r="V328" s="55"/>
    </row>
    <row r="329" spans="1:22" ht="18.95" customHeight="1">
      <c r="A329" s="55"/>
      <c r="B329" s="55"/>
      <c r="C329" s="55"/>
      <c r="D329" s="55"/>
      <c r="E329" s="55"/>
      <c r="F329" s="55"/>
      <c r="G329" s="55"/>
      <c r="H329" s="55"/>
      <c r="I329" s="55"/>
      <c r="J329" s="55"/>
      <c r="K329" s="55"/>
      <c r="L329" s="48"/>
      <c r="M329" s="55"/>
      <c r="N329" s="55"/>
      <c r="O329" s="55"/>
      <c r="P329" s="55"/>
      <c r="Q329" s="55"/>
      <c r="R329" s="55"/>
      <c r="S329" s="55"/>
      <c r="T329" s="55"/>
      <c r="U329" s="55"/>
      <c r="V329" s="55"/>
    </row>
    <row r="330" spans="1:22" ht="18.95" customHeight="1">
      <c r="A330" s="55"/>
      <c r="B330" s="55"/>
      <c r="C330" s="55"/>
      <c r="D330" s="55"/>
      <c r="E330" s="55"/>
      <c r="F330" s="55"/>
      <c r="G330" s="55"/>
      <c r="H330" s="55"/>
      <c r="I330" s="55"/>
      <c r="J330" s="55"/>
      <c r="K330" s="55"/>
      <c r="L330" s="48"/>
      <c r="M330" s="55"/>
      <c r="N330" s="55"/>
      <c r="O330" s="55"/>
      <c r="P330" s="55"/>
      <c r="Q330" s="55"/>
      <c r="R330" s="55"/>
      <c r="S330" s="55"/>
      <c r="T330" s="55"/>
      <c r="U330" s="55"/>
      <c r="V330" s="55"/>
    </row>
    <row r="331" spans="1:22" ht="18.95" customHeight="1">
      <c r="A331" s="55"/>
      <c r="B331" s="55"/>
      <c r="C331" s="55"/>
      <c r="D331" s="55"/>
      <c r="E331" s="55"/>
      <c r="F331" s="55"/>
      <c r="G331" s="55"/>
      <c r="H331" s="55"/>
      <c r="I331" s="55"/>
      <c r="J331" s="55"/>
      <c r="K331" s="55"/>
      <c r="L331" s="48"/>
      <c r="M331" s="55"/>
      <c r="N331" s="55"/>
      <c r="O331" s="55"/>
      <c r="P331" s="55"/>
      <c r="Q331" s="55"/>
      <c r="R331" s="55"/>
      <c r="S331" s="55"/>
      <c r="T331" s="55"/>
      <c r="U331" s="55"/>
      <c r="V331" s="55"/>
    </row>
    <row r="332" spans="1:22" ht="18.95" customHeight="1">
      <c r="A332" s="55"/>
      <c r="B332" s="55"/>
      <c r="C332" s="55"/>
      <c r="D332" s="55"/>
      <c r="E332" s="55"/>
      <c r="F332" s="55"/>
      <c r="G332" s="55"/>
      <c r="H332" s="55"/>
      <c r="I332" s="55"/>
      <c r="J332" s="55"/>
      <c r="K332" s="55"/>
      <c r="L332" s="48"/>
      <c r="M332" s="55"/>
      <c r="N332" s="55"/>
      <c r="O332" s="55"/>
      <c r="P332" s="55"/>
      <c r="Q332" s="55"/>
      <c r="R332" s="55"/>
      <c r="S332" s="55"/>
      <c r="T332" s="55"/>
      <c r="U332" s="55"/>
      <c r="V332" s="55"/>
    </row>
    <row r="333" spans="1:22" ht="18.95" customHeight="1">
      <c r="A333" s="55"/>
      <c r="B333" s="55"/>
      <c r="C333" s="55"/>
      <c r="D333" s="55"/>
      <c r="E333" s="55"/>
      <c r="F333" s="55"/>
      <c r="G333" s="55"/>
      <c r="H333" s="55"/>
      <c r="I333" s="55"/>
      <c r="J333" s="55"/>
      <c r="K333" s="55"/>
      <c r="L333" s="48"/>
      <c r="M333" s="55"/>
      <c r="N333" s="55"/>
      <c r="O333" s="55"/>
      <c r="P333" s="55"/>
      <c r="Q333" s="55"/>
      <c r="R333" s="55"/>
      <c r="S333" s="55"/>
      <c r="T333" s="55"/>
      <c r="U333" s="55"/>
      <c r="V333" s="55"/>
    </row>
    <row r="334" spans="1:22" ht="18.95" customHeight="1">
      <c r="A334" s="55"/>
      <c r="B334" s="55"/>
      <c r="C334" s="55"/>
      <c r="D334" s="55"/>
      <c r="E334" s="55"/>
      <c r="F334" s="55"/>
      <c r="G334" s="55"/>
      <c r="H334" s="55"/>
      <c r="I334" s="55"/>
      <c r="J334" s="55"/>
      <c r="K334" s="55"/>
      <c r="L334" s="48"/>
      <c r="M334" s="55"/>
      <c r="N334" s="55"/>
      <c r="O334" s="55"/>
      <c r="P334" s="55"/>
      <c r="Q334" s="55"/>
      <c r="R334" s="55"/>
      <c r="S334" s="55"/>
      <c r="T334" s="55"/>
      <c r="U334" s="55"/>
      <c r="V334" s="55"/>
    </row>
    <row r="335" spans="1:22" ht="18.95" customHeight="1">
      <c r="A335" s="55"/>
      <c r="B335" s="55"/>
      <c r="C335" s="55"/>
      <c r="D335" s="55"/>
      <c r="E335" s="55"/>
      <c r="F335" s="55"/>
      <c r="G335" s="55"/>
      <c r="H335" s="55"/>
      <c r="I335" s="55"/>
      <c r="J335" s="55"/>
      <c r="K335" s="55"/>
      <c r="L335" s="48"/>
      <c r="M335" s="55"/>
      <c r="N335" s="55"/>
      <c r="O335" s="55"/>
      <c r="P335" s="55"/>
      <c r="Q335" s="55"/>
      <c r="R335" s="55"/>
      <c r="S335" s="55"/>
      <c r="T335" s="55"/>
      <c r="U335" s="55"/>
      <c r="V335" s="55"/>
    </row>
    <row r="336" spans="1:22" ht="18.95" customHeight="1">
      <c r="A336" s="55"/>
      <c r="B336" s="55"/>
      <c r="C336" s="55"/>
      <c r="D336" s="55"/>
      <c r="E336" s="55"/>
      <c r="F336" s="55"/>
      <c r="G336" s="55"/>
      <c r="H336" s="55"/>
      <c r="I336" s="55"/>
      <c r="J336" s="55"/>
      <c r="K336" s="55"/>
      <c r="L336" s="48"/>
      <c r="M336" s="55"/>
      <c r="N336" s="55"/>
      <c r="O336" s="55"/>
      <c r="P336" s="55"/>
      <c r="Q336" s="55"/>
      <c r="R336" s="55"/>
      <c r="S336" s="55"/>
      <c r="T336" s="55"/>
      <c r="U336" s="55"/>
      <c r="V336" s="55"/>
    </row>
    <row r="337" spans="1:22" ht="18.95" customHeight="1">
      <c r="A337" s="55"/>
      <c r="B337" s="55"/>
      <c r="C337" s="55"/>
      <c r="D337" s="55"/>
      <c r="E337" s="55"/>
      <c r="F337" s="55"/>
      <c r="G337" s="55"/>
      <c r="H337" s="55"/>
      <c r="I337" s="55"/>
      <c r="J337" s="55"/>
      <c r="K337" s="55"/>
      <c r="L337" s="48"/>
      <c r="M337" s="55"/>
      <c r="N337" s="55"/>
      <c r="O337" s="55"/>
      <c r="P337" s="55"/>
      <c r="Q337" s="55"/>
      <c r="R337" s="55"/>
      <c r="S337" s="55"/>
      <c r="T337" s="55"/>
      <c r="U337" s="55"/>
      <c r="V337" s="55"/>
    </row>
    <row r="338" spans="1:22" ht="18.95" customHeight="1">
      <c r="A338" s="55"/>
      <c r="B338" s="55"/>
      <c r="C338" s="55"/>
      <c r="D338" s="55"/>
      <c r="E338" s="55"/>
      <c r="F338" s="55"/>
      <c r="G338" s="55"/>
      <c r="H338" s="55"/>
      <c r="I338" s="55"/>
      <c r="J338" s="55"/>
      <c r="K338" s="55"/>
      <c r="L338" s="48"/>
      <c r="M338" s="55"/>
      <c r="N338" s="55"/>
      <c r="O338" s="55"/>
      <c r="P338" s="55"/>
      <c r="Q338" s="55"/>
      <c r="R338" s="55"/>
      <c r="S338" s="55"/>
      <c r="T338" s="55"/>
      <c r="U338" s="55"/>
      <c r="V338" s="55"/>
    </row>
    <row r="339" spans="1:22" ht="18.95" customHeight="1">
      <c r="A339" s="55"/>
      <c r="B339" s="55"/>
      <c r="C339" s="55"/>
      <c r="D339" s="55"/>
      <c r="E339" s="55"/>
      <c r="F339" s="55"/>
      <c r="G339" s="55"/>
      <c r="H339" s="55"/>
      <c r="I339" s="55"/>
      <c r="J339" s="55"/>
      <c r="K339" s="55"/>
      <c r="L339" s="48"/>
      <c r="M339" s="55"/>
      <c r="N339" s="55"/>
      <c r="O339" s="55"/>
      <c r="P339" s="55"/>
      <c r="Q339" s="55"/>
      <c r="R339" s="55"/>
      <c r="S339" s="55"/>
      <c r="T339" s="55"/>
      <c r="U339" s="55"/>
      <c r="V339" s="55"/>
    </row>
    <row r="340" spans="1:22" ht="18.95" customHeight="1">
      <c r="A340" s="55"/>
      <c r="B340" s="55"/>
      <c r="C340" s="55"/>
      <c r="D340" s="55"/>
      <c r="E340" s="55"/>
      <c r="F340" s="55"/>
      <c r="G340" s="55"/>
      <c r="H340" s="55"/>
      <c r="I340" s="55"/>
      <c r="J340" s="55"/>
      <c r="K340" s="55"/>
      <c r="L340" s="48"/>
      <c r="M340" s="55"/>
      <c r="N340" s="55"/>
      <c r="O340" s="55"/>
      <c r="P340" s="55"/>
      <c r="Q340" s="55"/>
      <c r="R340" s="55"/>
      <c r="S340" s="55"/>
      <c r="T340" s="55"/>
      <c r="U340" s="55"/>
      <c r="V340" s="55"/>
    </row>
    <row r="341" spans="1:22" ht="18.95" customHeight="1">
      <c r="A341" s="55"/>
      <c r="B341" s="55"/>
      <c r="C341" s="55"/>
      <c r="D341" s="55"/>
      <c r="E341" s="55"/>
      <c r="F341" s="55"/>
      <c r="G341" s="55"/>
      <c r="H341" s="55"/>
      <c r="I341" s="55"/>
      <c r="J341" s="55"/>
      <c r="K341" s="55"/>
      <c r="L341" s="48"/>
      <c r="M341" s="55"/>
      <c r="N341" s="55"/>
      <c r="O341" s="55"/>
      <c r="P341" s="55"/>
      <c r="Q341" s="55"/>
      <c r="R341" s="55"/>
      <c r="S341" s="55"/>
      <c r="T341" s="55"/>
      <c r="U341" s="55"/>
      <c r="V341" s="55"/>
    </row>
    <row r="342" spans="1:22" ht="18.95" customHeight="1">
      <c r="A342" s="55"/>
      <c r="B342" s="55"/>
      <c r="C342" s="55"/>
      <c r="D342" s="55"/>
      <c r="E342" s="55"/>
      <c r="F342" s="55"/>
      <c r="G342" s="55"/>
      <c r="H342" s="55"/>
      <c r="I342" s="55"/>
      <c r="J342" s="55"/>
      <c r="K342" s="55"/>
      <c r="L342" s="48"/>
      <c r="M342" s="55"/>
      <c r="N342" s="55"/>
      <c r="O342" s="55"/>
      <c r="P342" s="55"/>
      <c r="Q342" s="55"/>
      <c r="R342" s="55"/>
      <c r="S342" s="55"/>
      <c r="T342" s="55"/>
      <c r="U342" s="55"/>
      <c r="V342" s="55"/>
    </row>
    <row r="343" spans="1:22" ht="18.95" customHeight="1">
      <c r="A343" s="55"/>
      <c r="B343" s="55"/>
      <c r="C343" s="55"/>
      <c r="D343" s="55"/>
      <c r="E343" s="55"/>
      <c r="F343" s="55"/>
      <c r="G343" s="55"/>
      <c r="H343" s="55"/>
      <c r="I343" s="55"/>
      <c r="J343" s="55"/>
      <c r="K343" s="55"/>
      <c r="L343" s="48"/>
      <c r="M343" s="55"/>
      <c r="N343" s="55"/>
      <c r="O343" s="55"/>
      <c r="P343" s="55"/>
      <c r="Q343" s="55"/>
      <c r="R343" s="55"/>
      <c r="S343" s="55"/>
      <c r="T343" s="55"/>
      <c r="U343" s="55"/>
      <c r="V343" s="55"/>
    </row>
    <row r="344" spans="1:22" ht="18.95" customHeight="1">
      <c r="A344" s="55"/>
      <c r="B344" s="55"/>
      <c r="C344" s="55"/>
      <c r="D344" s="55"/>
      <c r="E344" s="55"/>
      <c r="F344" s="55"/>
      <c r="G344" s="55"/>
      <c r="H344" s="55"/>
      <c r="I344" s="55"/>
      <c r="J344" s="55"/>
      <c r="K344" s="55"/>
      <c r="L344" s="48"/>
      <c r="M344" s="55"/>
      <c r="N344" s="55"/>
      <c r="O344" s="55"/>
      <c r="P344" s="55"/>
      <c r="Q344" s="55"/>
      <c r="R344" s="55"/>
      <c r="S344" s="55"/>
      <c r="T344" s="55"/>
      <c r="U344" s="55"/>
      <c r="V344" s="55"/>
    </row>
    <row r="345" spans="1:22" ht="18.95" customHeight="1">
      <c r="A345" s="55"/>
      <c r="B345" s="55"/>
      <c r="C345" s="55"/>
      <c r="D345" s="55"/>
      <c r="E345" s="55"/>
      <c r="F345" s="55"/>
      <c r="G345" s="55"/>
      <c r="H345" s="55"/>
      <c r="I345" s="55"/>
      <c r="J345" s="55"/>
      <c r="K345" s="55"/>
      <c r="L345" s="48"/>
      <c r="M345" s="55"/>
      <c r="N345" s="55"/>
      <c r="O345" s="55"/>
      <c r="P345" s="55"/>
      <c r="Q345" s="55"/>
      <c r="R345" s="55"/>
      <c r="S345" s="55"/>
      <c r="T345" s="55"/>
      <c r="U345" s="55"/>
      <c r="V345" s="55"/>
    </row>
    <row r="346" spans="1:22" ht="18.95" customHeight="1">
      <c r="A346" s="55"/>
      <c r="B346" s="55"/>
      <c r="C346" s="55"/>
      <c r="D346" s="55"/>
      <c r="E346" s="55"/>
      <c r="F346" s="55"/>
      <c r="G346" s="55"/>
      <c r="H346" s="55"/>
      <c r="I346" s="55"/>
      <c r="J346" s="55"/>
      <c r="K346" s="55"/>
      <c r="L346" s="48"/>
      <c r="M346" s="55"/>
      <c r="N346" s="55"/>
      <c r="O346" s="55"/>
      <c r="P346" s="55"/>
      <c r="Q346" s="55"/>
      <c r="R346" s="55"/>
      <c r="S346" s="55"/>
      <c r="T346" s="55"/>
      <c r="U346" s="55"/>
      <c r="V346" s="55"/>
    </row>
    <row r="347" spans="1:22" ht="18.95" customHeight="1">
      <c r="A347" s="55"/>
      <c r="B347" s="55"/>
      <c r="C347" s="55"/>
      <c r="D347" s="55"/>
      <c r="E347" s="55"/>
      <c r="F347" s="55"/>
      <c r="G347" s="55"/>
      <c r="H347" s="55"/>
      <c r="I347" s="55"/>
      <c r="J347" s="55"/>
      <c r="K347" s="55"/>
      <c r="L347" s="48"/>
      <c r="M347" s="55"/>
      <c r="N347" s="55"/>
      <c r="O347" s="55"/>
      <c r="P347" s="55"/>
      <c r="Q347" s="55"/>
      <c r="R347" s="55"/>
      <c r="S347" s="55"/>
      <c r="T347" s="55"/>
      <c r="U347" s="55"/>
      <c r="V347" s="55"/>
    </row>
    <row r="348" spans="1:22" ht="18.95" customHeight="1">
      <c r="A348" s="55"/>
      <c r="B348" s="55"/>
      <c r="C348" s="55"/>
      <c r="D348" s="55"/>
      <c r="E348" s="55"/>
      <c r="F348" s="55"/>
      <c r="G348" s="55"/>
      <c r="H348" s="55"/>
      <c r="I348" s="55"/>
      <c r="J348" s="55"/>
      <c r="K348" s="55"/>
      <c r="L348" s="48"/>
      <c r="M348" s="55"/>
      <c r="N348" s="55"/>
      <c r="O348" s="55"/>
      <c r="P348" s="55"/>
      <c r="Q348" s="55"/>
      <c r="R348" s="55"/>
      <c r="S348" s="55"/>
      <c r="T348" s="55"/>
      <c r="U348" s="55"/>
      <c r="V348" s="55"/>
    </row>
    <row r="349" spans="1:22" ht="18.95" customHeight="1">
      <c r="A349" s="55"/>
      <c r="B349" s="55"/>
      <c r="C349" s="55"/>
      <c r="D349" s="55"/>
      <c r="E349" s="55"/>
      <c r="F349" s="55"/>
      <c r="G349" s="55"/>
      <c r="H349" s="55"/>
      <c r="I349" s="55"/>
      <c r="J349" s="55"/>
      <c r="K349" s="55"/>
      <c r="L349" s="48"/>
      <c r="M349" s="55"/>
      <c r="N349" s="55"/>
      <c r="O349" s="55"/>
      <c r="P349" s="55"/>
      <c r="Q349" s="55"/>
      <c r="R349" s="55"/>
      <c r="S349" s="55"/>
      <c r="T349" s="55"/>
      <c r="U349" s="55"/>
      <c r="V349" s="55"/>
    </row>
    <row r="350" spans="1:22" ht="18.95" customHeight="1">
      <c r="A350" s="55"/>
      <c r="B350" s="55"/>
      <c r="C350" s="55"/>
      <c r="D350" s="55"/>
      <c r="E350" s="55"/>
      <c r="F350" s="55"/>
      <c r="G350" s="55"/>
      <c r="H350" s="55"/>
      <c r="I350" s="55"/>
      <c r="J350" s="55"/>
      <c r="K350" s="55"/>
      <c r="L350" s="48"/>
      <c r="M350" s="55"/>
      <c r="N350" s="55"/>
      <c r="O350" s="55"/>
      <c r="P350" s="55"/>
      <c r="Q350" s="55"/>
      <c r="R350" s="55"/>
      <c r="S350" s="55"/>
      <c r="T350" s="55"/>
      <c r="U350" s="55"/>
      <c r="V350" s="55"/>
    </row>
    <row r="351" spans="1:22" ht="18.95" customHeight="1">
      <c r="A351" s="55"/>
      <c r="B351" s="55"/>
      <c r="C351" s="55"/>
      <c r="D351" s="55"/>
      <c r="E351" s="55"/>
      <c r="F351" s="55"/>
      <c r="G351" s="55"/>
      <c r="H351" s="55"/>
      <c r="I351" s="55"/>
      <c r="J351" s="55"/>
      <c r="K351" s="55"/>
      <c r="L351" s="48"/>
      <c r="M351" s="55"/>
      <c r="N351" s="55"/>
      <c r="O351" s="55"/>
      <c r="P351" s="55"/>
      <c r="Q351" s="55"/>
      <c r="R351" s="55"/>
      <c r="S351" s="55"/>
      <c r="T351" s="55"/>
      <c r="U351" s="55"/>
      <c r="V351" s="55"/>
    </row>
    <row r="352" spans="1:22" ht="18.95" customHeight="1">
      <c r="A352" s="55"/>
      <c r="B352" s="55"/>
      <c r="C352" s="55"/>
      <c r="D352" s="55"/>
      <c r="E352" s="55"/>
      <c r="F352" s="55"/>
      <c r="G352" s="55"/>
      <c r="H352" s="55"/>
      <c r="I352" s="55"/>
      <c r="J352" s="55"/>
      <c r="K352" s="55"/>
      <c r="L352" s="48"/>
      <c r="M352" s="55"/>
      <c r="N352" s="55"/>
      <c r="O352" s="55"/>
      <c r="P352" s="55"/>
      <c r="Q352" s="55"/>
      <c r="R352" s="55"/>
      <c r="S352" s="55"/>
      <c r="T352" s="55"/>
      <c r="U352" s="55"/>
      <c r="V352" s="55"/>
    </row>
    <row r="353" spans="1:22" ht="18.95" customHeight="1">
      <c r="A353" s="55"/>
      <c r="B353" s="55"/>
      <c r="C353" s="55"/>
      <c r="D353" s="55"/>
      <c r="E353" s="55"/>
      <c r="F353" s="55"/>
      <c r="G353" s="55"/>
      <c r="H353" s="55"/>
      <c r="I353" s="55"/>
      <c r="J353" s="55"/>
      <c r="K353" s="55"/>
      <c r="L353" s="48"/>
      <c r="M353" s="55"/>
      <c r="N353" s="55"/>
      <c r="O353" s="55"/>
      <c r="P353" s="55"/>
      <c r="Q353" s="55"/>
      <c r="R353" s="55"/>
      <c r="S353" s="55"/>
      <c r="T353" s="55"/>
      <c r="U353" s="55"/>
      <c r="V353" s="55"/>
    </row>
    <row r="354" spans="1:22" ht="18.95" customHeight="1">
      <c r="A354" s="55"/>
      <c r="B354" s="55"/>
      <c r="C354" s="55"/>
      <c r="D354" s="55"/>
      <c r="E354" s="55"/>
      <c r="F354" s="55"/>
      <c r="G354" s="55"/>
      <c r="H354" s="55"/>
      <c r="I354" s="55"/>
      <c r="J354" s="55"/>
      <c r="K354" s="55"/>
      <c r="L354" s="48"/>
      <c r="M354" s="55"/>
      <c r="N354" s="55"/>
      <c r="O354" s="55"/>
      <c r="P354" s="55"/>
      <c r="Q354" s="55"/>
      <c r="R354" s="55"/>
      <c r="S354" s="55"/>
      <c r="T354" s="55"/>
      <c r="U354" s="55"/>
      <c r="V354" s="55"/>
    </row>
    <row r="355" spans="1:22" ht="18.95" customHeight="1">
      <c r="A355" s="55"/>
      <c r="B355" s="55"/>
      <c r="C355" s="55"/>
      <c r="D355" s="55"/>
      <c r="E355" s="55"/>
      <c r="F355" s="55"/>
      <c r="G355" s="55"/>
      <c r="H355" s="55"/>
      <c r="I355" s="55"/>
      <c r="J355" s="55"/>
      <c r="K355" s="55"/>
      <c r="L355" s="48"/>
      <c r="M355" s="55"/>
      <c r="N355" s="55"/>
      <c r="O355" s="55"/>
      <c r="P355" s="55"/>
      <c r="Q355" s="55"/>
      <c r="R355" s="55"/>
      <c r="S355" s="55"/>
      <c r="T355" s="55"/>
      <c r="U355" s="55"/>
      <c r="V355" s="55"/>
    </row>
    <row r="356" spans="1:22" ht="18.95" customHeight="1">
      <c r="A356" s="55"/>
      <c r="B356" s="55"/>
      <c r="C356" s="55"/>
      <c r="D356" s="55"/>
      <c r="E356" s="55"/>
      <c r="F356" s="55"/>
      <c r="G356" s="55"/>
      <c r="H356" s="55"/>
      <c r="I356" s="55"/>
      <c r="J356" s="55"/>
      <c r="K356" s="55"/>
      <c r="L356" s="48"/>
      <c r="M356" s="55"/>
      <c r="N356" s="55"/>
      <c r="O356" s="55"/>
      <c r="P356" s="55"/>
      <c r="Q356" s="55"/>
      <c r="R356" s="55"/>
      <c r="S356" s="55"/>
      <c r="T356" s="55"/>
      <c r="U356" s="55"/>
      <c r="V356" s="55"/>
    </row>
    <row r="357" spans="1:22" ht="18.95" customHeight="1">
      <c r="A357" s="55"/>
      <c r="B357" s="55"/>
      <c r="C357" s="55"/>
      <c r="D357" s="55"/>
      <c r="E357" s="55"/>
      <c r="F357" s="55"/>
      <c r="G357" s="55"/>
      <c r="H357" s="55"/>
      <c r="I357" s="55"/>
      <c r="J357" s="55"/>
      <c r="K357" s="55"/>
      <c r="L357" s="48"/>
      <c r="M357" s="55"/>
      <c r="N357" s="55"/>
      <c r="O357" s="55"/>
      <c r="P357" s="55"/>
      <c r="Q357" s="55"/>
      <c r="R357" s="55"/>
      <c r="S357" s="55"/>
      <c r="T357" s="55"/>
      <c r="U357" s="55"/>
      <c r="V357" s="55"/>
    </row>
    <row r="358" spans="1:22" ht="18.95" customHeight="1">
      <c r="A358" s="55"/>
      <c r="B358" s="55"/>
      <c r="C358" s="55"/>
      <c r="D358" s="55"/>
      <c r="E358" s="55"/>
      <c r="F358" s="55"/>
      <c r="G358" s="55"/>
      <c r="H358" s="55"/>
      <c r="I358" s="55"/>
      <c r="J358" s="55"/>
      <c r="K358" s="55"/>
      <c r="L358" s="48"/>
      <c r="M358" s="55"/>
      <c r="N358" s="55"/>
      <c r="O358" s="55"/>
      <c r="P358" s="55"/>
      <c r="Q358" s="55"/>
      <c r="R358" s="55"/>
      <c r="S358" s="55"/>
      <c r="T358" s="55"/>
      <c r="U358" s="55"/>
      <c r="V358" s="55"/>
    </row>
    <row r="359" spans="1:22" ht="18.95" customHeight="1">
      <c r="A359" s="55"/>
      <c r="B359" s="55"/>
      <c r="C359" s="55"/>
      <c r="D359" s="55"/>
      <c r="E359" s="55"/>
      <c r="F359" s="55"/>
      <c r="G359" s="55"/>
      <c r="H359" s="55"/>
      <c r="I359" s="55"/>
      <c r="J359" s="55"/>
      <c r="K359" s="55"/>
      <c r="L359" s="48"/>
      <c r="M359" s="55"/>
      <c r="N359" s="55"/>
      <c r="O359" s="55"/>
      <c r="P359" s="55"/>
      <c r="Q359" s="55"/>
      <c r="R359" s="55"/>
      <c r="S359" s="55"/>
      <c r="T359" s="55"/>
      <c r="U359" s="55"/>
      <c r="V359" s="55"/>
    </row>
    <row r="360" spans="1:22" ht="18.95" customHeight="1">
      <c r="A360" s="55"/>
      <c r="B360" s="55"/>
      <c r="C360" s="55"/>
      <c r="D360" s="55"/>
      <c r="E360" s="55"/>
      <c r="F360" s="55"/>
      <c r="G360" s="55"/>
      <c r="H360" s="55"/>
      <c r="I360" s="55"/>
      <c r="J360" s="55"/>
      <c r="K360" s="55"/>
      <c r="L360" s="48"/>
      <c r="M360" s="55"/>
      <c r="N360" s="55"/>
      <c r="O360" s="55"/>
      <c r="P360" s="55"/>
      <c r="Q360" s="55"/>
      <c r="R360" s="55"/>
      <c r="S360" s="55"/>
      <c r="T360" s="55"/>
      <c r="U360" s="55"/>
      <c r="V360" s="55"/>
    </row>
    <row r="361" spans="1:22" ht="18.95" customHeight="1">
      <c r="A361" s="55"/>
      <c r="B361" s="55"/>
      <c r="C361" s="55"/>
      <c r="D361" s="55"/>
      <c r="E361" s="55"/>
      <c r="F361" s="55"/>
      <c r="G361" s="55"/>
      <c r="H361" s="55"/>
      <c r="I361" s="55"/>
      <c r="J361" s="55"/>
      <c r="K361" s="55"/>
      <c r="L361" s="48"/>
      <c r="M361" s="55"/>
      <c r="N361" s="55"/>
      <c r="O361" s="55"/>
      <c r="P361" s="55"/>
      <c r="Q361" s="55"/>
      <c r="R361" s="55"/>
      <c r="S361" s="55"/>
      <c r="T361" s="55"/>
      <c r="U361" s="55"/>
      <c r="V361" s="55"/>
    </row>
    <row r="362" spans="1:22" ht="18.95" customHeight="1">
      <c r="A362" s="55"/>
      <c r="B362" s="55"/>
      <c r="C362" s="55"/>
      <c r="D362" s="55"/>
      <c r="E362" s="55"/>
      <c r="F362" s="55"/>
      <c r="G362" s="55"/>
      <c r="H362" s="55"/>
      <c r="I362" s="55"/>
      <c r="J362" s="55"/>
      <c r="K362" s="55"/>
      <c r="L362" s="48"/>
      <c r="M362" s="55"/>
      <c r="N362" s="55"/>
      <c r="O362" s="55"/>
      <c r="P362" s="55"/>
      <c r="Q362" s="55"/>
      <c r="R362" s="55"/>
      <c r="S362" s="55"/>
      <c r="T362" s="55"/>
      <c r="U362" s="55"/>
      <c r="V362" s="55"/>
    </row>
    <row r="363" spans="1:22" ht="18.95" customHeight="1">
      <c r="A363" s="55"/>
      <c r="B363" s="55"/>
      <c r="C363" s="55"/>
      <c r="D363" s="55"/>
      <c r="E363" s="55"/>
      <c r="F363" s="55"/>
      <c r="G363" s="55"/>
      <c r="H363" s="55"/>
      <c r="I363" s="55"/>
      <c r="J363" s="55"/>
      <c r="K363" s="55"/>
      <c r="L363" s="48"/>
      <c r="M363" s="55"/>
      <c r="N363" s="55"/>
      <c r="O363" s="55"/>
      <c r="P363" s="55"/>
      <c r="Q363" s="55"/>
      <c r="R363" s="55"/>
      <c r="S363" s="55"/>
      <c r="T363" s="55"/>
      <c r="U363" s="55"/>
      <c r="V363" s="55"/>
    </row>
    <row r="364" spans="1:22" ht="18.95" customHeight="1">
      <c r="A364" s="55"/>
      <c r="B364" s="55"/>
      <c r="C364" s="55"/>
      <c r="D364" s="55"/>
      <c r="E364" s="55"/>
      <c r="F364" s="55"/>
      <c r="G364" s="55"/>
      <c r="H364" s="55"/>
      <c r="I364" s="55"/>
      <c r="J364" s="55"/>
      <c r="K364" s="55"/>
      <c r="L364" s="48"/>
      <c r="M364" s="55"/>
      <c r="N364" s="55"/>
      <c r="O364" s="55"/>
      <c r="P364" s="55"/>
      <c r="Q364" s="55"/>
      <c r="R364" s="55"/>
      <c r="S364" s="55"/>
      <c r="T364" s="55"/>
      <c r="U364" s="55"/>
      <c r="V364" s="55"/>
    </row>
    <row r="365" spans="1:22" ht="18.95" customHeight="1">
      <c r="A365" s="55"/>
      <c r="B365" s="55"/>
      <c r="C365" s="55"/>
      <c r="D365" s="55"/>
      <c r="E365" s="55"/>
      <c r="F365" s="55"/>
      <c r="G365" s="55"/>
      <c r="H365" s="55"/>
      <c r="I365" s="55"/>
      <c r="J365" s="55"/>
      <c r="K365" s="55"/>
      <c r="L365" s="48"/>
      <c r="M365" s="55"/>
      <c r="N365" s="55"/>
      <c r="O365" s="55"/>
      <c r="P365" s="55"/>
      <c r="Q365" s="55"/>
      <c r="R365" s="55"/>
      <c r="S365" s="55"/>
      <c r="T365" s="55"/>
      <c r="U365" s="55"/>
      <c r="V365" s="55"/>
    </row>
    <row r="366" spans="1:22" ht="18.95" customHeight="1">
      <c r="A366" s="55"/>
      <c r="B366" s="55"/>
      <c r="C366" s="55"/>
      <c r="D366" s="55"/>
      <c r="E366" s="55"/>
      <c r="F366" s="55"/>
      <c r="G366" s="55"/>
      <c r="H366" s="55"/>
      <c r="I366" s="55"/>
      <c r="J366" s="55"/>
      <c r="K366" s="55"/>
      <c r="L366" s="48"/>
      <c r="M366" s="55"/>
      <c r="N366" s="55"/>
      <c r="O366" s="55"/>
      <c r="P366" s="55"/>
      <c r="Q366" s="55"/>
      <c r="R366" s="55"/>
      <c r="S366" s="55"/>
      <c r="T366" s="55"/>
      <c r="U366" s="55"/>
      <c r="V366" s="55"/>
    </row>
    <row r="367" spans="1:22" ht="18.95" customHeight="1">
      <c r="A367" s="55"/>
      <c r="B367" s="55"/>
      <c r="C367" s="55"/>
      <c r="D367" s="55"/>
      <c r="E367" s="55"/>
      <c r="F367" s="55"/>
      <c r="G367" s="55"/>
      <c r="H367" s="55"/>
      <c r="I367" s="55"/>
      <c r="J367" s="55"/>
      <c r="K367" s="55"/>
      <c r="L367" s="48"/>
      <c r="M367" s="55"/>
      <c r="N367" s="55"/>
      <c r="O367" s="55"/>
      <c r="P367" s="55"/>
      <c r="Q367" s="55"/>
      <c r="R367" s="55"/>
      <c r="S367" s="55"/>
      <c r="T367" s="55"/>
      <c r="U367" s="55"/>
      <c r="V367" s="55"/>
    </row>
    <row r="368" spans="1:22" ht="18.95" customHeight="1">
      <c r="A368" s="55"/>
      <c r="B368" s="55"/>
      <c r="C368" s="55"/>
      <c r="D368" s="55"/>
      <c r="E368" s="55"/>
      <c r="F368" s="55"/>
      <c r="G368" s="55"/>
      <c r="H368" s="55"/>
      <c r="I368" s="55"/>
      <c r="J368" s="55"/>
      <c r="K368" s="55"/>
      <c r="L368" s="48"/>
      <c r="M368" s="55"/>
      <c r="N368" s="55"/>
      <c r="O368" s="55"/>
      <c r="P368" s="55"/>
      <c r="Q368" s="55"/>
      <c r="R368" s="55"/>
      <c r="S368" s="55"/>
      <c r="T368" s="55"/>
      <c r="U368" s="55"/>
      <c r="V368" s="55"/>
    </row>
    <row r="369" spans="1:22" ht="18.95" customHeight="1">
      <c r="A369" s="55"/>
      <c r="B369" s="55"/>
      <c r="C369" s="55"/>
      <c r="D369" s="55"/>
      <c r="E369" s="55"/>
      <c r="F369" s="55"/>
      <c r="G369" s="55"/>
      <c r="H369" s="55"/>
      <c r="I369" s="55"/>
      <c r="J369" s="55"/>
      <c r="K369" s="55"/>
      <c r="L369" s="48"/>
      <c r="M369" s="55"/>
      <c r="N369" s="55"/>
      <c r="O369" s="55"/>
      <c r="P369" s="55"/>
      <c r="Q369" s="55"/>
      <c r="R369" s="55"/>
      <c r="S369" s="55"/>
      <c r="T369" s="55"/>
      <c r="U369" s="55"/>
      <c r="V369" s="55"/>
    </row>
    <row r="370" spans="1:22" ht="18.95" customHeight="1">
      <c r="A370" s="55"/>
      <c r="B370" s="55"/>
      <c r="C370" s="55"/>
      <c r="D370" s="55"/>
      <c r="E370" s="55"/>
      <c r="F370" s="55"/>
      <c r="G370" s="55"/>
      <c r="H370" s="55"/>
      <c r="I370" s="55"/>
      <c r="J370" s="55"/>
      <c r="K370" s="55"/>
      <c r="L370" s="48"/>
      <c r="M370" s="55"/>
      <c r="N370" s="55"/>
      <c r="O370" s="55"/>
      <c r="P370" s="55"/>
      <c r="Q370" s="55"/>
      <c r="R370" s="55"/>
      <c r="S370" s="55"/>
      <c r="T370" s="55"/>
      <c r="U370" s="55"/>
      <c r="V370" s="55"/>
    </row>
    <row r="371" spans="1:22" ht="18.95" customHeight="1">
      <c r="A371" s="55"/>
      <c r="B371" s="55"/>
      <c r="C371" s="55"/>
      <c r="D371" s="55"/>
      <c r="E371" s="55"/>
      <c r="F371" s="55"/>
      <c r="G371" s="55"/>
      <c r="H371" s="55"/>
      <c r="I371" s="55"/>
      <c r="J371" s="55"/>
      <c r="K371" s="55"/>
      <c r="L371" s="48"/>
      <c r="M371" s="55"/>
      <c r="N371" s="55"/>
      <c r="O371" s="55"/>
      <c r="P371" s="55"/>
      <c r="Q371" s="55"/>
      <c r="R371" s="55"/>
      <c r="S371" s="55"/>
      <c r="T371" s="55"/>
      <c r="U371" s="55"/>
      <c r="V371" s="55"/>
    </row>
    <row r="372" spans="1:22" ht="18.95" customHeight="1">
      <c r="A372" s="55"/>
      <c r="B372" s="55"/>
      <c r="C372" s="55"/>
      <c r="D372" s="55"/>
      <c r="E372" s="55"/>
      <c r="F372" s="55"/>
      <c r="G372" s="55"/>
      <c r="H372" s="55"/>
      <c r="I372" s="55"/>
      <c r="J372" s="55"/>
      <c r="K372" s="55"/>
      <c r="L372" s="48"/>
      <c r="M372" s="55"/>
      <c r="N372" s="55"/>
      <c r="O372" s="55"/>
      <c r="P372" s="55"/>
      <c r="Q372" s="55"/>
      <c r="R372" s="55"/>
      <c r="S372" s="55"/>
      <c r="T372" s="55"/>
      <c r="U372" s="55"/>
      <c r="V372" s="55"/>
    </row>
    <row r="373" spans="1:22" ht="18.95" customHeight="1">
      <c r="A373" s="55"/>
      <c r="B373" s="55"/>
      <c r="C373" s="55"/>
      <c r="D373" s="55"/>
      <c r="E373" s="55"/>
      <c r="F373" s="55"/>
      <c r="G373" s="55"/>
      <c r="H373" s="55"/>
      <c r="I373" s="55"/>
      <c r="J373" s="55"/>
      <c r="K373" s="55"/>
      <c r="L373" s="48"/>
      <c r="M373" s="55"/>
      <c r="N373" s="55"/>
      <c r="O373" s="55"/>
      <c r="P373" s="55"/>
      <c r="Q373" s="55"/>
      <c r="R373" s="55"/>
      <c r="S373" s="55"/>
      <c r="T373" s="55"/>
      <c r="U373" s="55"/>
      <c r="V373" s="55"/>
    </row>
    <row r="374" spans="1:22" ht="18.95" customHeight="1">
      <c r="A374" s="55"/>
      <c r="B374" s="55"/>
      <c r="C374" s="55"/>
      <c r="D374" s="55"/>
      <c r="E374" s="55"/>
      <c r="F374" s="55"/>
      <c r="G374" s="55"/>
      <c r="H374" s="55"/>
      <c r="I374" s="55"/>
      <c r="J374" s="55"/>
      <c r="K374" s="55"/>
      <c r="L374" s="48"/>
      <c r="M374" s="55"/>
      <c r="N374" s="55"/>
      <c r="O374" s="55"/>
      <c r="P374" s="55"/>
      <c r="Q374" s="55"/>
      <c r="R374" s="55"/>
      <c r="S374" s="55"/>
      <c r="T374" s="55"/>
      <c r="U374" s="55"/>
      <c r="V374" s="55"/>
    </row>
    <row r="375" spans="1:22" ht="18.95" customHeight="1">
      <c r="A375" s="55"/>
      <c r="B375" s="55"/>
      <c r="C375" s="55"/>
      <c r="D375" s="55"/>
      <c r="E375" s="55"/>
      <c r="F375" s="55"/>
      <c r="G375" s="55"/>
      <c r="H375" s="55"/>
      <c r="I375" s="55"/>
      <c r="J375" s="55"/>
      <c r="K375" s="55"/>
      <c r="L375" s="48"/>
      <c r="M375" s="55"/>
      <c r="N375" s="55"/>
      <c r="O375" s="55"/>
      <c r="P375" s="55"/>
      <c r="Q375" s="55"/>
      <c r="R375" s="55"/>
      <c r="S375" s="55"/>
      <c r="T375" s="55"/>
      <c r="U375" s="55"/>
      <c r="V375" s="55"/>
    </row>
    <row r="376" spans="1:22" ht="18.95" customHeight="1">
      <c r="A376" s="55"/>
      <c r="B376" s="55"/>
      <c r="C376" s="55"/>
      <c r="D376" s="55"/>
      <c r="E376" s="55"/>
      <c r="F376" s="55"/>
      <c r="G376" s="55"/>
      <c r="H376" s="55"/>
      <c r="I376" s="55"/>
      <c r="J376" s="55"/>
      <c r="K376" s="55"/>
      <c r="L376" s="48"/>
      <c r="M376" s="55"/>
      <c r="N376" s="55"/>
      <c r="O376" s="55"/>
      <c r="P376" s="55"/>
      <c r="Q376" s="55"/>
      <c r="R376" s="55"/>
      <c r="S376" s="55"/>
      <c r="T376" s="55"/>
      <c r="U376" s="55"/>
      <c r="V376" s="55"/>
    </row>
    <row r="377" spans="1:22" ht="18.95" customHeight="1">
      <c r="A377" s="55"/>
      <c r="B377" s="55"/>
      <c r="C377" s="55"/>
      <c r="D377" s="55"/>
      <c r="E377" s="55"/>
      <c r="F377" s="55"/>
      <c r="G377" s="55"/>
      <c r="H377" s="55"/>
      <c r="I377" s="55"/>
      <c r="J377" s="55"/>
      <c r="K377" s="55"/>
      <c r="L377" s="48"/>
      <c r="M377" s="55"/>
      <c r="N377" s="55"/>
      <c r="O377" s="55"/>
      <c r="P377" s="55"/>
      <c r="Q377" s="55"/>
      <c r="R377" s="55"/>
      <c r="S377" s="55"/>
      <c r="T377" s="55"/>
      <c r="U377" s="55"/>
      <c r="V377" s="55"/>
    </row>
    <row r="378" spans="1:22" ht="18.95" customHeight="1">
      <c r="A378" s="55"/>
      <c r="B378" s="55"/>
      <c r="C378" s="55"/>
      <c r="D378" s="55"/>
      <c r="E378" s="55"/>
      <c r="F378" s="55"/>
      <c r="G378" s="55"/>
      <c r="H378" s="55"/>
      <c r="I378" s="55"/>
      <c r="J378" s="55"/>
      <c r="K378" s="55"/>
      <c r="L378" s="48"/>
      <c r="M378" s="55"/>
      <c r="N378" s="55"/>
      <c r="O378" s="55"/>
      <c r="P378" s="55"/>
      <c r="Q378" s="55"/>
      <c r="R378" s="55"/>
      <c r="S378" s="55"/>
      <c r="T378" s="55"/>
      <c r="U378" s="55"/>
      <c r="V378" s="55"/>
    </row>
    <row r="379" spans="1:22" ht="18.95" customHeight="1">
      <c r="A379" s="55"/>
      <c r="B379" s="55"/>
      <c r="C379" s="55"/>
      <c r="D379" s="55"/>
      <c r="E379" s="55"/>
      <c r="F379" s="55"/>
      <c r="G379" s="55"/>
      <c r="H379" s="55"/>
      <c r="I379" s="55"/>
      <c r="J379" s="55"/>
      <c r="K379" s="55"/>
      <c r="L379" s="48"/>
      <c r="M379" s="55"/>
      <c r="N379" s="55"/>
      <c r="O379" s="55"/>
      <c r="P379" s="55"/>
      <c r="Q379" s="55"/>
      <c r="R379" s="55"/>
      <c r="S379" s="55"/>
      <c r="T379" s="55"/>
      <c r="U379" s="55"/>
      <c r="V379" s="55"/>
    </row>
    <row r="380" spans="1:22" ht="18.95" customHeight="1">
      <c r="A380" s="55"/>
      <c r="B380" s="55"/>
      <c r="C380" s="55"/>
      <c r="D380" s="55"/>
      <c r="E380" s="55"/>
      <c r="F380" s="55"/>
      <c r="G380" s="55"/>
      <c r="H380" s="55"/>
      <c r="I380" s="55"/>
      <c r="J380" s="55"/>
      <c r="K380" s="55"/>
      <c r="L380" s="48"/>
      <c r="M380" s="55"/>
      <c r="N380" s="55"/>
      <c r="O380" s="55"/>
      <c r="P380" s="55"/>
      <c r="Q380" s="55"/>
      <c r="R380" s="55"/>
      <c r="S380" s="55"/>
      <c r="T380" s="55"/>
      <c r="U380" s="55"/>
      <c r="V380" s="55"/>
    </row>
    <row r="381" spans="1:22" ht="18.95" customHeight="1">
      <c r="A381" s="55"/>
      <c r="B381" s="55"/>
      <c r="C381" s="55"/>
      <c r="D381" s="55"/>
      <c r="E381" s="55"/>
      <c r="F381" s="55"/>
      <c r="G381" s="55"/>
      <c r="H381" s="55"/>
      <c r="I381" s="55"/>
      <c r="J381" s="55"/>
      <c r="K381" s="55"/>
      <c r="L381" s="48"/>
      <c r="M381" s="55"/>
      <c r="N381" s="55"/>
      <c r="O381" s="55"/>
      <c r="P381" s="55"/>
      <c r="Q381" s="55"/>
      <c r="R381" s="55"/>
      <c r="S381" s="55"/>
      <c r="T381" s="55"/>
      <c r="U381" s="55"/>
      <c r="V381" s="55"/>
    </row>
    <row r="382" spans="1:22" ht="18.95" customHeight="1">
      <c r="A382" s="55"/>
      <c r="B382" s="55"/>
      <c r="C382" s="55"/>
      <c r="D382" s="55"/>
      <c r="E382" s="55"/>
      <c r="F382" s="55"/>
      <c r="G382" s="55"/>
      <c r="H382" s="55"/>
      <c r="I382" s="55"/>
      <c r="J382" s="55"/>
      <c r="K382" s="55"/>
      <c r="L382" s="48"/>
      <c r="M382" s="55"/>
      <c r="N382" s="55"/>
      <c r="O382" s="55"/>
      <c r="P382" s="55"/>
      <c r="Q382" s="55"/>
      <c r="R382" s="55"/>
      <c r="S382" s="55"/>
      <c r="T382" s="55"/>
      <c r="U382" s="55"/>
      <c r="V382" s="55"/>
    </row>
    <row r="383" spans="1:22" ht="18.95" customHeight="1">
      <c r="A383" s="55"/>
      <c r="B383" s="55"/>
      <c r="C383" s="55"/>
      <c r="D383" s="55"/>
      <c r="E383" s="55"/>
      <c r="F383" s="55"/>
      <c r="G383" s="55"/>
      <c r="H383" s="55"/>
      <c r="I383" s="55"/>
      <c r="J383" s="55"/>
      <c r="K383" s="55"/>
      <c r="L383" s="48"/>
      <c r="M383" s="55"/>
      <c r="N383" s="55"/>
      <c r="O383" s="55"/>
      <c r="P383" s="55"/>
      <c r="Q383" s="55"/>
      <c r="R383" s="55"/>
      <c r="S383" s="55"/>
      <c r="T383" s="55"/>
      <c r="U383" s="55"/>
      <c r="V383" s="55"/>
    </row>
    <row r="384" spans="1:22" ht="18.95" customHeight="1">
      <c r="A384" s="55"/>
      <c r="B384" s="55"/>
      <c r="C384" s="55"/>
      <c r="D384" s="55"/>
      <c r="E384" s="55"/>
      <c r="F384" s="55"/>
      <c r="G384" s="55"/>
      <c r="H384" s="55"/>
      <c r="I384" s="55"/>
      <c r="J384" s="55"/>
      <c r="K384" s="55"/>
      <c r="L384" s="48"/>
      <c r="M384" s="55"/>
      <c r="N384" s="55"/>
      <c r="O384" s="55"/>
      <c r="P384" s="55"/>
      <c r="Q384" s="55"/>
      <c r="R384" s="55"/>
      <c r="S384" s="55"/>
      <c r="T384" s="55"/>
      <c r="U384" s="55"/>
      <c r="V384" s="55"/>
    </row>
    <row r="385" spans="1:22" ht="18.95" customHeight="1">
      <c r="A385" s="55"/>
      <c r="B385" s="55"/>
      <c r="C385" s="55"/>
      <c r="D385" s="55"/>
      <c r="E385" s="55"/>
      <c r="F385" s="55"/>
      <c r="G385" s="55"/>
      <c r="H385" s="55"/>
      <c r="I385" s="55"/>
      <c r="J385" s="55"/>
      <c r="K385" s="55"/>
      <c r="L385" s="48"/>
      <c r="M385" s="55"/>
      <c r="N385" s="55"/>
      <c r="O385" s="55"/>
      <c r="P385" s="55"/>
      <c r="Q385" s="55"/>
      <c r="R385" s="55"/>
      <c r="S385" s="55"/>
      <c r="T385" s="55"/>
      <c r="U385" s="55"/>
      <c r="V385" s="55"/>
    </row>
    <row r="386" spans="1:22" ht="18.95" customHeight="1">
      <c r="A386" s="55"/>
      <c r="B386" s="55"/>
      <c r="C386" s="55"/>
      <c r="D386" s="55"/>
      <c r="E386" s="55"/>
      <c r="F386" s="55"/>
      <c r="G386" s="55"/>
      <c r="H386" s="55"/>
      <c r="I386" s="55"/>
      <c r="J386" s="55"/>
      <c r="K386" s="55"/>
      <c r="L386" s="48"/>
      <c r="M386" s="55"/>
      <c r="N386" s="55"/>
      <c r="O386" s="55"/>
      <c r="P386" s="55"/>
      <c r="Q386" s="55"/>
      <c r="R386" s="55"/>
      <c r="S386" s="55"/>
      <c r="T386" s="55"/>
      <c r="U386" s="55"/>
      <c r="V386" s="55"/>
    </row>
    <row r="387" spans="1:22" ht="18.95" customHeight="1">
      <c r="A387" s="55"/>
      <c r="B387" s="55"/>
      <c r="C387" s="55"/>
      <c r="D387" s="55"/>
      <c r="E387" s="55"/>
      <c r="F387" s="55"/>
      <c r="G387" s="55"/>
      <c r="H387" s="55"/>
      <c r="I387" s="55"/>
      <c r="J387" s="55"/>
      <c r="K387" s="55"/>
      <c r="L387" s="48"/>
      <c r="M387" s="55"/>
      <c r="N387" s="55"/>
      <c r="O387" s="55"/>
      <c r="P387" s="55"/>
      <c r="Q387" s="55"/>
      <c r="R387" s="55"/>
      <c r="S387" s="55"/>
      <c r="T387" s="55"/>
      <c r="U387" s="55"/>
      <c r="V387" s="55"/>
    </row>
    <row r="388" spans="1:22" ht="18.95" customHeight="1">
      <c r="A388" s="55"/>
      <c r="B388" s="55"/>
      <c r="C388" s="55"/>
      <c r="D388" s="55"/>
      <c r="E388" s="55"/>
      <c r="F388" s="55"/>
      <c r="G388" s="55"/>
      <c r="H388" s="55"/>
      <c r="I388" s="55"/>
      <c r="J388" s="55"/>
      <c r="K388" s="55"/>
      <c r="L388" s="48"/>
      <c r="M388" s="55"/>
      <c r="N388" s="55"/>
      <c r="O388" s="55"/>
      <c r="P388" s="55"/>
      <c r="Q388" s="55"/>
      <c r="R388" s="55"/>
      <c r="S388" s="55"/>
      <c r="T388" s="55"/>
      <c r="U388" s="55"/>
      <c r="V388" s="55"/>
    </row>
    <row r="389" spans="1:22" ht="18.95" customHeight="1">
      <c r="A389" s="55"/>
      <c r="B389" s="55"/>
      <c r="C389" s="55"/>
      <c r="D389" s="55"/>
      <c r="E389" s="55"/>
      <c r="F389" s="55"/>
      <c r="G389" s="55"/>
      <c r="H389" s="55"/>
      <c r="I389" s="55"/>
      <c r="J389" s="55"/>
      <c r="K389" s="55"/>
      <c r="L389" s="48"/>
      <c r="M389" s="55"/>
      <c r="N389" s="55"/>
      <c r="O389" s="55"/>
      <c r="P389" s="55"/>
      <c r="Q389" s="55"/>
      <c r="R389" s="55"/>
      <c r="S389" s="55"/>
      <c r="T389" s="55"/>
      <c r="U389" s="55"/>
      <c r="V389" s="55"/>
    </row>
    <row r="390" spans="1:22" ht="18.95" customHeight="1">
      <c r="A390" s="55"/>
      <c r="B390" s="55"/>
      <c r="C390" s="55"/>
      <c r="D390" s="55"/>
      <c r="E390" s="55"/>
      <c r="F390" s="55"/>
      <c r="G390" s="55"/>
      <c r="H390" s="55"/>
      <c r="I390" s="55"/>
      <c r="J390" s="55"/>
      <c r="K390" s="55"/>
      <c r="L390" s="48"/>
      <c r="M390" s="55"/>
      <c r="N390" s="55"/>
      <c r="O390" s="55"/>
      <c r="P390" s="55"/>
      <c r="Q390" s="55"/>
      <c r="R390" s="55"/>
      <c r="S390" s="55"/>
      <c r="T390" s="55"/>
      <c r="U390" s="55"/>
      <c r="V390" s="55"/>
    </row>
    <row r="391" spans="1:22" ht="18.95" customHeight="1">
      <c r="A391" s="55"/>
      <c r="B391" s="55"/>
      <c r="C391" s="55"/>
      <c r="D391" s="55"/>
      <c r="E391" s="55"/>
      <c r="F391" s="55"/>
      <c r="G391" s="55"/>
      <c r="H391" s="55"/>
      <c r="I391" s="55"/>
      <c r="J391" s="55"/>
      <c r="K391" s="55"/>
      <c r="L391" s="48"/>
      <c r="M391" s="55"/>
      <c r="N391" s="55"/>
      <c r="O391" s="55"/>
      <c r="P391" s="55"/>
      <c r="Q391" s="55"/>
      <c r="R391" s="55"/>
      <c r="S391" s="55"/>
      <c r="T391" s="55"/>
      <c r="U391" s="55"/>
      <c r="V391" s="55"/>
    </row>
    <row r="392" spans="1:22" ht="18.95" customHeight="1">
      <c r="A392" s="55"/>
      <c r="B392" s="55"/>
      <c r="C392" s="55"/>
      <c r="D392" s="55"/>
      <c r="E392" s="55"/>
      <c r="F392" s="55"/>
      <c r="G392" s="55"/>
      <c r="H392" s="55"/>
      <c r="I392" s="55"/>
      <c r="J392" s="55"/>
      <c r="K392" s="55"/>
      <c r="L392" s="48"/>
      <c r="M392" s="55"/>
      <c r="N392" s="55"/>
      <c r="O392" s="55"/>
      <c r="P392" s="55"/>
      <c r="Q392" s="55"/>
      <c r="R392" s="55"/>
      <c r="S392" s="55"/>
      <c r="T392" s="55"/>
      <c r="U392" s="55"/>
      <c r="V392" s="55"/>
    </row>
    <row r="393" spans="1:22" ht="18.95" customHeight="1">
      <c r="A393" s="55"/>
      <c r="B393" s="55"/>
      <c r="C393" s="55"/>
      <c r="D393" s="55"/>
      <c r="E393" s="55"/>
      <c r="F393" s="55"/>
      <c r="G393" s="55"/>
      <c r="H393" s="55"/>
      <c r="I393" s="55"/>
      <c r="J393" s="55"/>
      <c r="K393" s="55"/>
      <c r="L393" s="48"/>
      <c r="M393" s="55"/>
      <c r="N393" s="55"/>
      <c r="O393" s="55"/>
      <c r="P393" s="55"/>
      <c r="Q393" s="55"/>
      <c r="R393" s="55"/>
      <c r="S393" s="55"/>
      <c r="T393" s="55"/>
      <c r="U393" s="55"/>
      <c r="V393" s="55"/>
    </row>
    <row r="394" spans="1:22" ht="18.95" customHeight="1">
      <c r="A394" s="55"/>
      <c r="B394" s="55"/>
      <c r="C394" s="55"/>
      <c r="D394" s="55"/>
      <c r="E394" s="55"/>
      <c r="F394" s="55"/>
      <c r="G394" s="55"/>
      <c r="H394" s="55"/>
      <c r="I394" s="55"/>
      <c r="J394" s="55"/>
      <c r="K394" s="55"/>
      <c r="L394" s="48"/>
      <c r="M394" s="55"/>
      <c r="N394" s="55"/>
      <c r="O394" s="55"/>
      <c r="P394" s="55"/>
      <c r="Q394" s="55"/>
      <c r="R394" s="55"/>
      <c r="S394" s="55"/>
      <c r="T394" s="55"/>
      <c r="U394" s="55"/>
      <c r="V394" s="55"/>
    </row>
    <row r="395" spans="1:22" ht="18.95" customHeight="1">
      <c r="A395" s="55"/>
      <c r="B395" s="55"/>
      <c r="C395" s="55"/>
      <c r="D395" s="55"/>
      <c r="E395" s="55"/>
      <c r="F395" s="55"/>
      <c r="G395" s="55"/>
      <c r="H395" s="55"/>
      <c r="I395" s="55"/>
      <c r="J395" s="55"/>
      <c r="K395" s="55"/>
      <c r="L395" s="48"/>
      <c r="M395" s="55"/>
      <c r="N395" s="55"/>
      <c r="O395" s="55"/>
      <c r="P395" s="55"/>
      <c r="Q395" s="55"/>
      <c r="R395" s="55"/>
      <c r="S395" s="55"/>
      <c r="T395" s="55"/>
      <c r="U395" s="55"/>
      <c r="V395" s="55"/>
    </row>
    <row r="396" spans="1:22" ht="18.95" customHeight="1">
      <c r="A396" s="55"/>
      <c r="B396" s="55"/>
      <c r="C396" s="55"/>
      <c r="D396" s="55"/>
      <c r="E396" s="55"/>
      <c r="F396" s="55"/>
      <c r="G396" s="55"/>
      <c r="H396" s="55"/>
      <c r="I396" s="55"/>
      <c r="J396" s="55"/>
      <c r="K396" s="55"/>
      <c r="L396" s="48"/>
      <c r="M396" s="55"/>
      <c r="N396" s="55"/>
      <c r="O396" s="55"/>
      <c r="P396" s="55"/>
      <c r="Q396" s="55"/>
      <c r="R396" s="55"/>
      <c r="S396" s="55"/>
      <c r="T396" s="55"/>
      <c r="U396" s="55"/>
      <c r="V396" s="55"/>
    </row>
    <row r="397" spans="1:22" ht="18.95" customHeight="1">
      <c r="A397" s="55"/>
      <c r="B397" s="55"/>
      <c r="C397" s="55"/>
      <c r="D397" s="55"/>
      <c r="E397" s="55"/>
      <c r="F397" s="55"/>
      <c r="G397" s="55"/>
      <c r="H397" s="55"/>
      <c r="I397" s="55"/>
      <c r="J397" s="55"/>
      <c r="K397" s="55"/>
      <c r="L397" s="48"/>
      <c r="M397" s="55"/>
      <c r="N397" s="55"/>
      <c r="O397" s="55"/>
      <c r="P397" s="55"/>
      <c r="Q397" s="55"/>
      <c r="R397" s="55"/>
      <c r="S397" s="55"/>
      <c r="T397" s="55"/>
      <c r="U397" s="55"/>
      <c r="V397" s="55"/>
    </row>
    <row r="398" spans="1:22" ht="18.95" customHeight="1">
      <c r="A398" s="55"/>
      <c r="B398" s="55"/>
      <c r="C398" s="55"/>
      <c r="D398" s="55"/>
      <c r="E398" s="55"/>
      <c r="F398" s="55"/>
      <c r="G398" s="55"/>
      <c r="H398" s="55"/>
      <c r="I398" s="55"/>
      <c r="J398" s="55"/>
      <c r="K398" s="55"/>
      <c r="L398" s="48"/>
      <c r="M398" s="55"/>
      <c r="N398" s="55"/>
      <c r="O398" s="55"/>
      <c r="P398" s="55"/>
      <c r="Q398" s="55"/>
      <c r="R398" s="55"/>
      <c r="S398" s="55"/>
      <c r="T398" s="55"/>
      <c r="U398" s="55"/>
      <c r="V398" s="55"/>
    </row>
    <row r="399" spans="1:22" ht="18.95" customHeight="1">
      <c r="A399" s="55"/>
      <c r="B399" s="55"/>
      <c r="C399" s="55"/>
      <c r="D399" s="55"/>
      <c r="E399" s="55"/>
      <c r="F399" s="55"/>
      <c r="G399" s="55"/>
      <c r="H399" s="55"/>
      <c r="I399" s="55"/>
      <c r="J399" s="55"/>
      <c r="K399" s="55"/>
      <c r="L399" s="48"/>
      <c r="M399" s="55"/>
      <c r="N399" s="55"/>
      <c r="O399" s="55"/>
      <c r="P399" s="55"/>
      <c r="Q399" s="55"/>
      <c r="R399" s="55"/>
      <c r="S399" s="55"/>
      <c r="T399" s="55"/>
      <c r="U399" s="55"/>
      <c r="V399" s="55"/>
    </row>
    <row r="400" spans="1:22" ht="18.95" customHeight="1">
      <c r="A400" s="55"/>
      <c r="B400" s="55"/>
      <c r="C400" s="55"/>
      <c r="D400" s="55"/>
      <c r="E400" s="55"/>
      <c r="F400" s="55"/>
      <c r="G400" s="55"/>
      <c r="H400" s="55"/>
      <c r="I400" s="55"/>
      <c r="J400" s="55"/>
      <c r="K400" s="55"/>
      <c r="L400" s="48"/>
      <c r="M400" s="55"/>
      <c r="N400" s="55"/>
      <c r="O400" s="55"/>
      <c r="P400" s="55"/>
      <c r="Q400" s="55"/>
      <c r="R400" s="55"/>
      <c r="S400" s="55"/>
      <c r="T400" s="55"/>
      <c r="U400" s="55"/>
      <c r="V400" s="55"/>
    </row>
    <row r="401" spans="1:22" ht="18.95" customHeight="1">
      <c r="A401" s="55"/>
      <c r="B401" s="55"/>
      <c r="C401" s="55"/>
      <c r="D401" s="55"/>
      <c r="E401" s="55"/>
      <c r="F401" s="55"/>
      <c r="G401" s="55"/>
      <c r="H401" s="55"/>
      <c r="I401" s="55"/>
      <c r="J401" s="55"/>
      <c r="K401" s="55"/>
      <c r="L401" s="48"/>
      <c r="M401" s="55"/>
      <c r="N401" s="55"/>
      <c r="O401" s="55"/>
      <c r="P401" s="55"/>
      <c r="Q401" s="55"/>
      <c r="R401" s="55"/>
      <c r="S401" s="55"/>
      <c r="T401" s="55"/>
      <c r="U401" s="55"/>
      <c r="V401" s="55"/>
    </row>
    <row r="402" spans="1:22" ht="18.95" customHeight="1">
      <c r="A402" s="55"/>
      <c r="B402" s="55"/>
      <c r="C402" s="55"/>
      <c r="D402" s="55"/>
      <c r="E402" s="55"/>
      <c r="F402" s="55"/>
      <c r="G402" s="55"/>
      <c r="H402" s="55"/>
      <c r="I402" s="55"/>
      <c r="J402" s="55"/>
      <c r="K402" s="55"/>
      <c r="L402" s="48"/>
      <c r="M402" s="55"/>
      <c r="N402" s="55"/>
      <c r="O402" s="55"/>
      <c r="P402" s="55"/>
      <c r="Q402" s="55"/>
      <c r="R402" s="55"/>
      <c r="S402" s="55"/>
      <c r="T402" s="55"/>
      <c r="U402" s="55"/>
      <c r="V402" s="55"/>
    </row>
    <row r="403" spans="1:22" ht="18.95" customHeight="1">
      <c r="A403" s="55"/>
      <c r="B403" s="55"/>
      <c r="C403" s="55"/>
      <c r="D403" s="55"/>
      <c r="E403" s="55"/>
      <c r="F403" s="55"/>
      <c r="G403" s="55"/>
      <c r="H403" s="55"/>
      <c r="I403" s="55"/>
      <c r="J403" s="55"/>
      <c r="K403" s="55"/>
      <c r="L403" s="48"/>
      <c r="M403" s="55"/>
      <c r="N403" s="55"/>
      <c r="O403" s="55"/>
      <c r="P403" s="55"/>
      <c r="Q403" s="55"/>
      <c r="R403" s="55"/>
      <c r="S403" s="55"/>
      <c r="T403" s="55"/>
      <c r="U403" s="55"/>
      <c r="V403" s="55"/>
    </row>
    <row r="404" spans="1:22" ht="18.95" customHeight="1">
      <c r="A404" s="55"/>
      <c r="B404" s="55"/>
      <c r="C404" s="55"/>
      <c r="D404" s="55"/>
      <c r="E404" s="55"/>
      <c r="F404" s="55"/>
      <c r="G404" s="55"/>
      <c r="H404" s="55"/>
      <c r="I404" s="55"/>
      <c r="J404" s="55"/>
      <c r="K404" s="55"/>
      <c r="L404" s="48"/>
      <c r="M404" s="55"/>
      <c r="N404" s="55"/>
      <c r="O404" s="55"/>
      <c r="P404" s="55"/>
      <c r="Q404" s="55"/>
      <c r="R404" s="55"/>
      <c r="S404" s="55"/>
      <c r="T404" s="55"/>
      <c r="U404" s="55"/>
      <c r="V404" s="55"/>
    </row>
    <row r="405" spans="1:22" ht="18.95" customHeight="1">
      <c r="A405" s="55"/>
      <c r="B405" s="55"/>
      <c r="C405" s="55"/>
      <c r="D405" s="55"/>
      <c r="E405" s="55"/>
      <c r="F405" s="55"/>
      <c r="G405" s="55"/>
      <c r="H405" s="55"/>
      <c r="I405" s="55"/>
      <c r="J405" s="55"/>
      <c r="K405" s="55"/>
      <c r="L405" s="48"/>
      <c r="M405" s="55"/>
      <c r="N405" s="55"/>
      <c r="O405" s="55"/>
      <c r="P405" s="55"/>
      <c r="Q405" s="55"/>
      <c r="R405" s="55"/>
      <c r="S405" s="55"/>
      <c r="T405" s="55"/>
      <c r="U405" s="55"/>
      <c r="V405" s="55"/>
    </row>
    <row r="406" spans="1:22" ht="18.95" customHeight="1">
      <c r="A406" s="55"/>
      <c r="B406" s="55"/>
      <c r="C406" s="55"/>
      <c r="D406" s="55"/>
      <c r="E406" s="55"/>
      <c r="F406" s="55"/>
      <c r="G406" s="55"/>
      <c r="H406" s="55"/>
      <c r="I406" s="55"/>
      <c r="J406" s="55"/>
      <c r="K406" s="55"/>
      <c r="L406" s="48"/>
      <c r="M406" s="55"/>
      <c r="N406" s="55"/>
      <c r="O406" s="55"/>
      <c r="P406" s="55"/>
      <c r="Q406" s="55"/>
      <c r="R406" s="55"/>
      <c r="S406" s="55"/>
      <c r="T406" s="55"/>
      <c r="U406" s="55"/>
      <c r="V406" s="55"/>
    </row>
    <row r="407" spans="1:22" ht="18.95" customHeight="1">
      <c r="A407" s="55"/>
      <c r="B407" s="55"/>
      <c r="C407" s="55"/>
      <c r="D407" s="55"/>
      <c r="E407" s="55"/>
      <c r="F407" s="55"/>
      <c r="G407" s="55"/>
      <c r="H407" s="55"/>
      <c r="I407" s="55"/>
      <c r="J407" s="55"/>
      <c r="K407" s="55"/>
      <c r="L407" s="48"/>
      <c r="M407" s="55"/>
      <c r="N407" s="55"/>
      <c r="O407" s="55"/>
      <c r="P407" s="55"/>
      <c r="Q407" s="55"/>
      <c r="R407" s="55"/>
      <c r="S407" s="55"/>
      <c r="T407" s="55"/>
      <c r="U407" s="55"/>
      <c r="V407" s="55"/>
    </row>
    <row r="408" spans="1:22" ht="18.95" customHeight="1">
      <c r="A408" s="55"/>
      <c r="B408" s="55"/>
      <c r="C408" s="55"/>
      <c r="D408" s="55"/>
      <c r="E408" s="55"/>
      <c r="F408" s="55"/>
      <c r="G408" s="55"/>
      <c r="H408" s="55"/>
      <c r="I408" s="55"/>
      <c r="J408" s="55"/>
      <c r="K408" s="55"/>
      <c r="L408" s="48"/>
      <c r="M408" s="55"/>
      <c r="N408" s="55"/>
      <c r="O408" s="55"/>
      <c r="P408" s="55"/>
      <c r="Q408" s="55"/>
      <c r="R408" s="55"/>
      <c r="S408" s="55"/>
      <c r="T408" s="55"/>
      <c r="U408" s="55"/>
      <c r="V408" s="55"/>
    </row>
    <row r="409" spans="1:22" ht="18.95" customHeight="1">
      <c r="A409" s="55"/>
      <c r="B409" s="55"/>
      <c r="C409" s="55"/>
      <c r="D409" s="55"/>
      <c r="E409" s="55"/>
      <c r="F409" s="55"/>
      <c r="G409" s="55"/>
      <c r="H409" s="55"/>
      <c r="I409" s="55"/>
      <c r="J409" s="55"/>
      <c r="K409" s="55"/>
      <c r="L409" s="48"/>
      <c r="M409" s="55"/>
      <c r="N409" s="55"/>
      <c r="O409" s="55"/>
      <c r="P409" s="55"/>
      <c r="Q409" s="55"/>
      <c r="R409" s="55"/>
      <c r="S409" s="55"/>
      <c r="T409" s="55"/>
      <c r="U409" s="55"/>
      <c r="V409" s="55"/>
    </row>
    <row r="410" spans="1:22" ht="18.95" customHeight="1">
      <c r="A410" s="55"/>
      <c r="B410" s="55"/>
      <c r="C410" s="55"/>
      <c r="D410" s="55"/>
      <c r="E410" s="55"/>
      <c r="F410" s="55"/>
      <c r="G410" s="55"/>
      <c r="H410" s="55"/>
      <c r="I410" s="55"/>
      <c r="J410" s="55"/>
      <c r="K410" s="55"/>
      <c r="L410" s="48"/>
      <c r="M410" s="55"/>
      <c r="N410" s="55"/>
      <c r="O410" s="55"/>
      <c r="P410" s="55"/>
      <c r="Q410" s="55"/>
      <c r="R410" s="55"/>
      <c r="S410" s="55"/>
      <c r="T410" s="55"/>
      <c r="U410" s="55"/>
      <c r="V410" s="55"/>
    </row>
    <row r="411" spans="1:22" ht="18.95" customHeight="1">
      <c r="A411" s="55"/>
      <c r="B411" s="55"/>
      <c r="C411" s="55"/>
      <c r="D411" s="55"/>
      <c r="E411" s="55"/>
      <c r="F411" s="55"/>
      <c r="G411" s="55"/>
      <c r="H411" s="55"/>
      <c r="I411" s="55"/>
      <c r="J411" s="55"/>
      <c r="K411" s="55"/>
      <c r="L411" s="48"/>
      <c r="M411" s="55"/>
      <c r="N411" s="55"/>
      <c r="O411" s="55"/>
      <c r="P411" s="55"/>
      <c r="Q411" s="55"/>
      <c r="R411" s="55"/>
      <c r="S411" s="55"/>
      <c r="T411" s="55"/>
      <c r="U411" s="55"/>
      <c r="V411" s="55"/>
    </row>
    <row r="412" spans="1:22" ht="18.95" customHeight="1">
      <c r="A412" s="55"/>
      <c r="B412" s="55"/>
      <c r="C412" s="55"/>
      <c r="D412" s="55"/>
      <c r="E412" s="55"/>
      <c r="F412" s="55"/>
      <c r="G412" s="55"/>
      <c r="H412" s="55"/>
      <c r="I412" s="55"/>
      <c r="J412" s="55"/>
      <c r="K412" s="55"/>
      <c r="L412" s="48"/>
      <c r="M412" s="55"/>
      <c r="N412" s="55"/>
      <c r="O412" s="55"/>
      <c r="P412" s="55"/>
      <c r="Q412" s="55"/>
      <c r="R412" s="55"/>
      <c r="S412" s="55"/>
      <c r="T412" s="55"/>
      <c r="U412" s="55"/>
      <c r="V412" s="55"/>
    </row>
    <row r="413" spans="1:22" ht="18.95" customHeight="1">
      <c r="A413" s="55"/>
      <c r="B413" s="55"/>
      <c r="C413" s="55"/>
      <c r="D413" s="55"/>
      <c r="E413" s="55"/>
      <c r="F413" s="55"/>
      <c r="G413" s="55"/>
      <c r="H413" s="55"/>
      <c r="I413" s="55"/>
      <c r="J413" s="55"/>
      <c r="K413" s="55"/>
      <c r="L413" s="48"/>
      <c r="M413" s="55"/>
      <c r="N413" s="55"/>
      <c r="O413" s="55"/>
      <c r="P413" s="55"/>
      <c r="Q413" s="55"/>
      <c r="R413" s="55"/>
      <c r="S413" s="55"/>
      <c r="T413" s="55"/>
      <c r="U413" s="55"/>
      <c r="V413" s="55"/>
    </row>
    <row r="414" spans="1:22" ht="18.95" customHeight="1">
      <c r="A414" s="55"/>
      <c r="B414" s="55"/>
      <c r="C414" s="55"/>
      <c r="D414" s="55"/>
      <c r="E414" s="55"/>
      <c r="F414" s="55"/>
      <c r="G414" s="55"/>
      <c r="H414" s="55"/>
      <c r="I414" s="55"/>
      <c r="J414" s="55"/>
      <c r="K414" s="55"/>
      <c r="L414" s="48"/>
      <c r="M414" s="55"/>
      <c r="N414" s="55"/>
      <c r="O414" s="55"/>
      <c r="P414" s="55"/>
      <c r="Q414" s="55"/>
      <c r="R414" s="55"/>
      <c r="S414" s="55"/>
      <c r="T414" s="55"/>
      <c r="U414" s="55"/>
      <c r="V414" s="55"/>
    </row>
    <row r="415" spans="1:22" ht="18.95" customHeight="1">
      <c r="A415" s="55"/>
      <c r="B415" s="55"/>
      <c r="C415" s="55"/>
      <c r="D415" s="55"/>
      <c r="E415" s="55"/>
      <c r="F415" s="55"/>
      <c r="G415" s="55"/>
      <c r="H415" s="55"/>
      <c r="I415" s="55"/>
      <c r="J415" s="55"/>
      <c r="K415" s="55"/>
      <c r="L415" s="48"/>
      <c r="M415" s="55"/>
      <c r="N415" s="55"/>
      <c r="O415" s="55"/>
      <c r="P415" s="55"/>
      <c r="Q415" s="55"/>
      <c r="R415" s="55"/>
      <c r="S415" s="55"/>
      <c r="T415" s="55"/>
      <c r="U415" s="55"/>
      <c r="V415" s="55"/>
    </row>
    <row r="416" spans="1:22" ht="18.95" customHeight="1">
      <c r="A416" s="55"/>
      <c r="B416" s="55"/>
      <c r="C416" s="55"/>
      <c r="D416" s="55"/>
      <c r="E416" s="55"/>
      <c r="F416" s="55"/>
      <c r="G416" s="55"/>
      <c r="H416" s="55"/>
      <c r="I416" s="55"/>
      <c r="J416" s="55"/>
      <c r="K416" s="55"/>
      <c r="L416" s="48"/>
      <c r="M416" s="55"/>
      <c r="N416" s="55"/>
      <c r="O416" s="55"/>
      <c r="P416" s="55"/>
      <c r="Q416" s="55"/>
      <c r="R416" s="55"/>
      <c r="S416" s="55"/>
      <c r="T416" s="55"/>
      <c r="U416" s="55"/>
      <c r="V416" s="55"/>
    </row>
    <row r="417" spans="1:22" ht="18.95" customHeight="1">
      <c r="A417" s="55"/>
      <c r="B417" s="55"/>
      <c r="C417" s="55"/>
      <c r="D417" s="55"/>
      <c r="E417" s="55"/>
      <c r="F417" s="55"/>
      <c r="G417" s="55"/>
      <c r="H417" s="55"/>
      <c r="I417" s="55"/>
      <c r="J417" s="55"/>
      <c r="K417" s="55"/>
      <c r="L417" s="48"/>
      <c r="M417" s="55"/>
      <c r="N417" s="55"/>
      <c r="O417" s="55"/>
      <c r="P417" s="55"/>
      <c r="Q417" s="55"/>
      <c r="R417" s="55"/>
      <c r="S417" s="55"/>
      <c r="T417" s="55"/>
      <c r="U417" s="55"/>
      <c r="V417" s="55"/>
    </row>
    <row r="418" spans="1:22" ht="18.95" customHeight="1">
      <c r="A418" s="55"/>
      <c r="B418" s="55"/>
      <c r="C418" s="55"/>
      <c r="D418" s="55"/>
      <c r="E418" s="55"/>
      <c r="F418" s="55"/>
      <c r="G418" s="55"/>
      <c r="H418" s="55"/>
      <c r="I418" s="55"/>
      <c r="J418" s="55"/>
      <c r="K418" s="55"/>
      <c r="L418" s="48"/>
      <c r="M418" s="55"/>
      <c r="N418" s="55"/>
      <c r="O418" s="55"/>
      <c r="P418" s="55"/>
      <c r="Q418" s="55"/>
      <c r="R418" s="55"/>
      <c r="S418" s="55"/>
      <c r="T418" s="55"/>
      <c r="U418" s="55"/>
      <c r="V418" s="55"/>
    </row>
    <row r="419" spans="1:22">
      <c r="A419" s="55"/>
      <c r="B419" s="55"/>
      <c r="C419" s="55"/>
      <c r="D419" s="55"/>
      <c r="E419" s="55"/>
      <c r="F419" s="55"/>
      <c r="G419" s="55"/>
      <c r="H419" s="55"/>
      <c r="I419" s="55"/>
      <c r="J419" s="55"/>
      <c r="K419" s="55"/>
      <c r="L419" s="48"/>
      <c r="M419" s="55"/>
      <c r="N419" s="55"/>
      <c r="O419" s="55"/>
      <c r="P419" s="55"/>
      <c r="Q419" s="55"/>
      <c r="R419" s="55"/>
      <c r="S419" s="55"/>
      <c r="T419" s="55"/>
      <c r="U419" s="55"/>
      <c r="V419" s="55"/>
    </row>
    <row r="420" spans="1:22">
      <c r="A420" s="55"/>
      <c r="B420" s="55"/>
      <c r="C420" s="55"/>
      <c r="D420" s="55"/>
      <c r="E420" s="55"/>
      <c r="F420" s="55"/>
      <c r="G420" s="55"/>
      <c r="H420" s="55"/>
      <c r="I420" s="55"/>
      <c r="J420" s="55"/>
      <c r="K420" s="55"/>
      <c r="L420" s="48"/>
      <c r="M420" s="55"/>
      <c r="N420" s="55"/>
      <c r="O420" s="55"/>
      <c r="P420" s="55"/>
      <c r="Q420" s="55"/>
      <c r="R420" s="55"/>
      <c r="S420" s="55"/>
      <c r="T420" s="55"/>
      <c r="U420" s="55"/>
      <c r="V420" s="55"/>
    </row>
  </sheetData>
  <mergeCells count="29">
    <mergeCell ref="A1:V1"/>
    <mergeCell ref="A186:L186"/>
    <mergeCell ref="A182:L182"/>
    <mergeCell ref="A3:B4"/>
    <mergeCell ref="G3:H3"/>
    <mergeCell ref="I3:J3"/>
    <mergeCell ref="A184:L184"/>
    <mergeCell ref="A85:L85"/>
    <mergeCell ref="A14:L14"/>
    <mergeCell ref="A185:L185"/>
    <mergeCell ref="E4:F4"/>
    <mergeCell ref="K4:L4"/>
    <mergeCell ref="A65:L65"/>
    <mergeCell ref="E2:F2"/>
    <mergeCell ref="A6:L6"/>
    <mergeCell ref="A159:L159"/>
    <mergeCell ref="A187:L187"/>
    <mergeCell ref="A144:L144"/>
    <mergeCell ref="G4:H4"/>
    <mergeCell ref="A35:L35"/>
    <mergeCell ref="A109:L109"/>
    <mergeCell ref="I4:J4"/>
    <mergeCell ref="A20:L20"/>
    <mergeCell ref="A171:L171"/>
    <mergeCell ref="A2:D2"/>
    <mergeCell ref="G2:L2"/>
    <mergeCell ref="C3:D3"/>
    <mergeCell ref="E3:F3"/>
    <mergeCell ref="K3:L3"/>
  </mergeCells>
  <dataValidations count="4">
    <dataValidation type="list" allowBlank="1" errorTitle="Invalid entry" error="Select a value from the list." prompt="Use the dropdown choice." sqref="D16:D18" xr:uid="{00000000-0002-0000-0300-000000000000}">
      <formula1>"Not Started,In Progress,Complete,Gap,Hold,N/A"</formula1>
    </dataValidation>
    <dataValidation type="list" allowBlank="1" errorTitle="Invalid entry" error="Select a value from the list." prompt="Use the dropdown choice." sqref="E16:E18 E189:E191" xr:uid="{00000000-0002-0000-0300-000001000000}">
      <formula1>"Proceed,Proceed with Conditions,Hold,Backtrack,N/A"</formula1>
    </dataValidation>
    <dataValidation type="list" allowBlank="1" errorTitle="Invalid entry" error="Select a value from the list." prompt="Use the dropdown choice." sqref="C173:C180 C37:C63 C67:C83 C87:C107 C111:C142 C146:C157 C161:C169 C22:C33" xr:uid="{00000000-0002-0000-0300-000002000000}">
      <formula1>"TRUE,FALSE"</formula1>
    </dataValidation>
    <dataValidation type="list" allowBlank="1" errorTitle="Invalid entry" error="Select a value from the list." prompt="Use the dropdown choice." sqref="B173:C180 D161:D169" xr:uid="{00000000-0002-0000-0300-000003000000}">
      <formula1>"Y,N,N/A"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S420"/>
  <sheetViews>
    <sheetView showGridLines="0" topLeftCell="A96" workbookViewId="0">
      <selection activeCell="F21" sqref="F21"/>
    </sheetView>
  </sheetViews>
  <sheetFormatPr defaultRowHeight="15"/>
  <cols>
    <col min="1" max="1" width="24.85546875" style="3" customWidth="1"/>
    <col min="2" max="2" width="42.42578125" style="3" customWidth="1"/>
    <col min="3" max="3" width="34" style="3" customWidth="1"/>
    <col min="4" max="4" width="23" style="3" customWidth="1"/>
    <col min="5" max="5" width="18" style="3" customWidth="1"/>
    <col min="6" max="6" width="28" style="3" customWidth="1"/>
    <col min="7" max="7" width="34" style="3" customWidth="1"/>
    <col min="8" max="8" width="24" style="3" customWidth="1"/>
    <col min="9" max="9" width="12" style="3" customWidth="1"/>
    <col min="10" max="10" width="18" style="3" customWidth="1"/>
    <col min="11" max="11" width="20" style="3" customWidth="1"/>
    <col min="12" max="12" width="22" customWidth="1"/>
    <col min="13" max="14" width="9.140625" style="3" customWidth="1"/>
    <col min="15" max="16384" width="9.140625" style="3"/>
  </cols>
  <sheetData>
    <row r="1" spans="1:19" s="55" customFormat="1">
      <c r="A1" s="152" t="s">
        <v>311</v>
      </c>
      <c r="B1" s="152"/>
      <c r="C1" s="152"/>
      <c r="D1" s="152"/>
      <c r="E1" s="152"/>
      <c r="F1" s="152"/>
      <c r="G1" s="152"/>
      <c r="H1" s="152"/>
      <c r="I1" s="152"/>
      <c r="J1" s="152"/>
      <c r="K1" s="152"/>
      <c r="L1" s="152"/>
      <c r="M1" s="152"/>
      <c r="N1" s="152"/>
      <c r="O1" s="152"/>
      <c r="P1" s="152"/>
      <c r="Q1" s="152"/>
      <c r="R1" s="152"/>
      <c r="S1" s="152"/>
    </row>
    <row r="2" spans="1:19" ht="38.1" customHeight="1">
      <c r="A2" s="146" t="s">
        <v>0</v>
      </c>
      <c r="B2" s="193"/>
      <c r="C2" s="193"/>
      <c r="D2" s="193"/>
      <c r="E2" s="146" t="s">
        <v>533</v>
      </c>
      <c r="F2" s="193"/>
      <c r="G2" s="146" t="s">
        <v>534</v>
      </c>
      <c r="H2" s="193"/>
      <c r="I2" s="193"/>
      <c r="J2" s="193"/>
      <c r="K2" s="193"/>
      <c r="L2" s="193"/>
      <c r="M2" s="55"/>
      <c r="N2" s="55"/>
      <c r="O2" s="55"/>
      <c r="P2" s="55"/>
      <c r="Q2" s="55"/>
      <c r="R2" s="55"/>
      <c r="S2" s="55"/>
    </row>
    <row r="3" spans="1:19" ht="30" customHeight="1">
      <c r="A3" s="153" t="s">
        <v>535</v>
      </c>
      <c r="B3" s="193"/>
      <c r="C3" s="147" t="s">
        <v>536</v>
      </c>
      <c r="D3" s="193"/>
      <c r="E3" s="148" t="s">
        <v>537</v>
      </c>
      <c r="F3" s="193"/>
      <c r="G3" s="148" t="s">
        <v>538</v>
      </c>
      <c r="H3" s="193"/>
      <c r="I3" s="148" t="s">
        <v>539</v>
      </c>
      <c r="J3" s="193"/>
      <c r="K3" s="148" t="s">
        <v>540</v>
      </c>
      <c r="L3" s="193"/>
      <c r="M3" s="55"/>
      <c r="N3" s="55"/>
      <c r="O3" s="55"/>
      <c r="P3" s="55"/>
      <c r="Q3" s="55"/>
      <c r="R3" s="55"/>
      <c r="S3" s="55"/>
    </row>
    <row r="4" spans="1:19" s="2" customFormat="1" ht="24" customHeight="1">
      <c r="A4" s="193"/>
      <c r="B4" s="193"/>
      <c r="C4" s="54"/>
      <c r="D4" s="54"/>
      <c r="E4" s="151" t="s">
        <v>541</v>
      </c>
      <c r="F4" s="193"/>
      <c r="G4" s="151" t="s">
        <v>320</v>
      </c>
      <c r="H4" s="193"/>
      <c r="I4" s="151" t="s">
        <v>320</v>
      </c>
      <c r="J4" s="193"/>
      <c r="K4" s="151" t="s">
        <v>320</v>
      </c>
      <c r="L4" s="193"/>
      <c r="M4" s="55"/>
      <c r="N4" s="55"/>
      <c r="O4" s="55"/>
      <c r="P4" s="55"/>
      <c r="Q4" s="55"/>
      <c r="R4" s="55"/>
      <c r="S4" s="55"/>
    </row>
    <row r="5" spans="1:19" s="2" customFormat="1" ht="18.95" customHeight="1">
      <c r="A5" s="55"/>
      <c r="B5" s="55"/>
      <c r="C5" s="55"/>
      <c r="D5" s="55"/>
      <c r="E5" s="55"/>
      <c r="F5" s="55"/>
      <c r="G5" s="55"/>
      <c r="H5" s="55"/>
      <c r="I5" s="55"/>
      <c r="J5" s="55"/>
      <c r="K5" s="55"/>
      <c r="L5" s="55"/>
      <c r="M5" s="55"/>
      <c r="N5" s="55"/>
      <c r="O5" s="55"/>
      <c r="P5" s="55"/>
      <c r="Q5" s="55"/>
      <c r="R5" s="55"/>
      <c r="S5" s="55"/>
    </row>
    <row r="6" spans="1:19" s="2" customFormat="1" ht="26.1" customHeight="1">
      <c r="A6" s="150" t="s">
        <v>321</v>
      </c>
      <c r="B6" s="194"/>
      <c r="C6" s="194"/>
      <c r="D6" s="194"/>
      <c r="E6" s="194"/>
      <c r="F6" s="194"/>
      <c r="G6" s="194"/>
      <c r="H6" s="194"/>
      <c r="I6" s="194"/>
      <c r="J6" s="194"/>
      <c r="K6" s="194"/>
      <c r="L6" s="195"/>
      <c r="M6" s="55"/>
      <c r="N6" s="55"/>
      <c r="O6" s="55"/>
      <c r="P6" s="55"/>
      <c r="Q6" s="55"/>
      <c r="R6" s="55"/>
      <c r="S6" s="55"/>
    </row>
    <row r="7" spans="1:19" s="2" customFormat="1" ht="24" customHeight="1">
      <c r="A7" s="22" t="s">
        <v>322</v>
      </c>
      <c r="B7" s="22" t="s">
        <v>323</v>
      </c>
      <c r="C7" s="22" t="s">
        <v>324</v>
      </c>
      <c r="D7" s="22" t="s">
        <v>322</v>
      </c>
      <c r="E7" s="22" t="s">
        <v>323</v>
      </c>
      <c r="F7" s="22" t="s">
        <v>324</v>
      </c>
      <c r="G7" s="22"/>
      <c r="H7" s="22"/>
      <c r="I7" s="22"/>
      <c r="J7" s="22"/>
      <c r="K7" s="22"/>
      <c r="L7" s="22"/>
      <c r="M7" s="55"/>
      <c r="N7" s="55"/>
      <c r="O7" s="55"/>
      <c r="P7" s="55"/>
      <c r="Q7" s="55"/>
      <c r="R7" s="55"/>
      <c r="S7" s="55"/>
    </row>
    <row r="8" spans="1:19" s="4" customFormat="1" ht="21" customHeight="1">
      <c r="A8" s="23" t="s">
        <v>325</v>
      </c>
      <c r="B8" s="24"/>
      <c r="C8" s="24"/>
      <c r="D8" s="23" t="s">
        <v>326</v>
      </c>
      <c r="E8" s="24"/>
      <c r="F8" s="24"/>
      <c r="G8" s="48"/>
      <c r="H8" s="48"/>
      <c r="I8" s="48"/>
      <c r="J8" s="48"/>
      <c r="K8" s="48"/>
      <c r="L8" s="48"/>
      <c r="M8" s="107"/>
      <c r="N8" s="107"/>
      <c r="O8" s="107"/>
      <c r="P8" s="107"/>
      <c r="Q8" s="107"/>
      <c r="R8" s="107"/>
      <c r="S8" s="107"/>
    </row>
    <row r="9" spans="1:19" s="4" customFormat="1" ht="21" customHeight="1">
      <c r="A9" s="23" t="s">
        <v>327</v>
      </c>
      <c r="B9" s="24"/>
      <c r="C9" s="24"/>
      <c r="D9" s="23" t="s">
        <v>328</v>
      </c>
      <c r="E9" s="24"/>
      <c r="F9" s="24"/>
      <c r="G9" s="48"/>
      <c r="H9" s="48"/>
      <c r="I9" s="48"/>
      <c r="J9" s="48"/>
      <c r="K9" s="48"/>
      <c r="L9" s="48"/>
      <c r="M9" s="107"/>
      <c r="N9" s="107"/>
      <c r="O9" s="107"/>
      <c r="P9" s="107"/>
      <c r="Q9" s="107"/>
      <c r="R9" s="107"/>
      <c r="S9" s="107"/>
    </row>
    <row r="10" spans="1:19" s="4" customFormat="1" ht="21" customHeight="1">
      <c r="A10" s="23" t="s">
        <v>329</v>
      </c>
      <c r="B10" s="24"/>
      <c r="C10" s="24"/>
      <c r="D10" s="23" t="s">
        <v>330</v>
      </c>
      <c r="E10" s="24"/>
      <c r="F10" s="24"/>
      <c r="G10" s="48"/>
      <c r="H10" s="48"/>
      <c r="I10" s="48"/>
      <c r="J10" s="48"/>
      <c r="K10" s="48"/>
      <c r="L10" s="48"/>
      <c r="M10" s="107"/>
      <c r="N10" s="107"/>
      <c r="O10" s="107"/>
      <c r="P10" s="107"/>
      <c r="Q10" s="107"/>
      <c r="R10" s="107"/>
      <c r="S10" s="107"/>
    </row>
    <row r="11" spans="1:19" ht="21" customHeight="1">
      <c r="A11" s="23" t="s">
        <v>331</v>
      </c>
      <c r="B11" s="24"/>
      <c r="C11" s="24"/>
      <c r="D11" s="23" t="s">
        <v>332</v>
      </c>
      <c r="E11" s="24"/>
      <c r="F11" s="24"/>
      <c r="G11" s="48"/>
      <c r="H11" s="48"/>
      <c r="I11" s="48"/>
      <c r="J11" s="48"/>
      <c r="K11" s="48"/>
      <c r="L11" s="48"/>
      <c r="M11" s="55"/>
      <c r="N11" s="55"/>
      <c r="O11" s="55"/>
      <c r="P11" s="55"/>
      <c r="Q11" s="55"/>
      <c r="R11" s="55"/>
      <c r="S11" s="55"/>
    </row>
    <row r="12" spans="1:19" ht="21" customHeight="1">
      <c r="A12" s="23" t="s">
        <v>333</v>
      </c>
      <c r="B12" s="24"/>
      <c r="C12" s="24"/>
      <c r="D12" s="23" t="s">
        <v>334</v>
      </c>
      <c r="E12" s="24"/>
      <c r="F12" s="24"/>
      <c r="G12" s="48"/>
      <c r="H12" s="48"/>
      <c r="I12" s="48"/>
      <c r="J12" s="48"/>
      <c r="K12" s="48"/>
      <c r="L12" s="48"/>
      <c r="M12" s="55"/>
      <c r="N12" s="55"/>
      <c r="O12" s="55"/>
      <c r="P12" s="55"/>
      <c r="Q12" s="55"/>
      <c r="R12" s="55"/>
      <c r="S12" s="55"/>
    </row>
    <row r="13" spans="1:19" s="2" customFormat="1" ht="18.95" customHeight="1">
      <c r="A13" s="55"/>
      <c r="B13" s="55"/>
      <c r="C13" s="55"/>
      <c r="D13" s="55"/>
      <c r="E13" s="55"/>
      <c r="F13" s="55"/>
      <c r="G13" s="55"/>
      <c r="H13" s="55"/>
      <c r="I13" s="55"/>
      <c r="J13" s="55"/>
      <c r="K13" s="55"/>
      <c r="L13" s="55"/>
      <c r="M13" s="55"/>
      <c r="N13" s="55"/>
      <c r="O13" s="55"/>
      <c r="P13" s="55"/>
      <c r="Q13" s="55"/>
      <c r="R13" s="55"/>
      <c r="S13" s="55"/>
    </row>
    <row r="14" spans="1:19" s="2" customFormat="1" ht="33.950000000000003" customHeight="1">
      <c r="A14" s="150" t="s">
        <v>335</v>
      </c>
      <c r="B14" s="194"/>
      <c r="C14" s="194"/>
      <c r="D14" s="194"/>
      <c r="E14" s="194"/>
      <c r="F14" s="194"/>
      <c r="G14" s="194"/>
      <c r="H14" s="194"/>
      <c r="I14" s="194"/>
      <c r="J14" s="194"/>
      <c r="K14" s="194"/>
      <c r="L14" s="195"/>
      <c r="M14" s="55"/>
      <c r="N14" s="55"/>
      <c r="O14" s="55"/>
      <c r="P14" s="55"/>
      <c r="Q14" s="55"/>
      <c r="R14" s="55"/>
      <c r="S14" s="55"/>
    </row>
    <row r="15" spans="1:19" s="2" customFormat="1" ht="26.1" customHeight="1">
      <c r="A15" s="22" t="s">
        <v>143</v>
      </c>
      <c r="B15" s="22" t="s">
        <v>336</v>
      </c>
      <c r="C15" s="22" t="s">
        <v>337</v>
      </c>
      <c r="D15" s="22" t="s">
        <v>338</v>
      </c>
      <c r="E15" s="22" t="s">
        <v>339</v>
      </c>
      <c r="F15" s="22" t="s">
        <v>144</v>
      </c>
      <c r="G15" s="22" t="s">
        <v>340</v>
      </c>
      <c r="H15" s="22" t="s">
        <v>341</v>
      </c>
      <c r="I15" s="22" t="s">
        <v>342</v>
      </c>
      <c r="J15" s="22"/>
      <c r="K15" s="22"/>
      <c r="L15" s="22"/>
      <c r="M15" s="55"/>
      <c r="N15" s="55"/>
      <c r="O15" s="55"/>
      <c r="P15" s="55"/>
      <c r="Q15" s="55"/>
      <c r="R15" s="55"/>
      <c r="S15" s="55"/>
    </row>
    <row r="16" spans="1:19" s="2" customFormat="1" ht="44.1" customHeight="1">
      <c r="A16" s="25" t="s">
        <v>169</v>
      </c>
      <c r="B16" s="26" t="s">
        <v>542</v>
      </c>
      <c r="C16" s="27" t="s">
        <v>543</v>
      </c>
      <c r="D16" s="27" t="s">
        <v>152</v>
      </c>
      <c r="E16" s="27"/>
      <c r="F16" s="27"/>
      <c r="G16" s="27"/>
      <c r="H16" s="28" t="s">
        <v>544</v>
      </c>
      <c r="I16" s="27"/>
      <c r="J16" s="55"/>
      <c r="K16" s="55"/>
      <c r="L16" s="55"/>
      <c r="M16" s="55"/>
      <c r="N16" s="55"/>
      <c r="O16" s="55"/>
      <c r="P16" s="55"/>
      <c r="Q16" s="55"/>
      <c r="R16" s="55"/>
      <c r="S16" s="55"/>
    </row>
    <row r="17" spans="1:19" s="2" customFormat="1" ht="44.1" customHeight="1">
      <c r="A17" s="25" t="s">
        <v>150</v>
      </c>
      <c r="B17" s="26" t="s">
        <v>545</v>
      </c>
      <c r="C17" s="27" t="s">
        <v>546</v>
      </c>
      <c r="D17" s="27" t="s">
        <v>152</v>
      </c>
      <c r="E17" s="27"/>
      <c r="F17" s="27"/>
      <c r="G17" s="27"/>
      <c r="H17" s="28" t="s">
        <v>547</v>
      </c>
      <c r="I17" s="27"/>
      <c r="J17" s="55"/>
      <c r="K17" s="55"/>
      <c r="L17" s="55"/>
      <c r="M17" s="55"/>
      <c r="N17" s="55"/>
      <c r="O17" s="55"/>
      <c r="P17" s="55"/>
      <c r="Q17" s="55"/>
      <c r="R17" s="55"/>
      <c r="S17" s="55"/>
    </row>
    <row r="18" spans="1:19" s="2" customFormat="1" ht="33.950000000000003" customHeight="1">
      <c r="A18" s="25" t="s">
        <v>157</v>
      </c>
      <c r="B18" s="26" t="s">
        <v>548</v>
      </c>
      <c r="C18" s="27" t="s">
        <v>549</v>
      </c>
      <c r="D18" s="27" t="s">
        <v>152</v>
      </c>
      <c r="E18" s="27"/>
      <c r="F18" s="27"/>
      <c r="G18" s="27"/>
      <c r="H18" s="28" t="s">
        <v>550</v>
      </c>
      <c r="I18" s="27"/>
      <c r="J18" s="55"/>
      <c r="K18" s="55"/>
      <c r="L18" s="55"/>
      <c r="M18" s="55"/>
      <c r="N18" s="55"/>
      <c r="O18" s="55"/>
      <c r="P18" s="55"/>
      <c r="Q18" s="55"/>
      <c r="R18" s="55"/>
      <c r="S18" s="55"/>
    </row>
    <row r="19" spans="1:19" ht="18.95" customHeight="1">
      <c r="A19" s="55"/>
      <c r="B19" s="55"/>
      <c r="C19" s="55"/>
      <c r="D19" s="55"/>
      <c r="E19" s="55"/>
      <c r="F19" s="55"/>
      <c r="G19" s="55"/>
      <c r="H19" s="55"/>
      <c r="I19" s="55"/>
      <c r="J19" s="55"/>
      <c r="K19" s="55"/>
      <c r="L19" s="48"/>
      <c r="M19" s="55"/>
      <c r="N19" s="55"/>
      <c r="O19" s="55"/>
      <c r="P19" s="55"/>
      <c r="Q19" s="55"/>
      <c r="R19" s="55"/>
      <c r="S19" s="55"/>
    </row>
    <row r="20" spans="1:19" ht="54" customHeight="1">
      <c r="A20" s="154" t="s">
        <v>551</v>
      </c>
      <c r="B20" s="194"/>
      <c r="C20" s="194"/>
      <c r="D20" s="194"/>
      <c r="E20" s="194"/>
      <c r="F20" s="194"/>
      <c r="G20" s="194"/>
      <c r="H20" s="194"/>
      <c r="I20" s="194"/>
      <c r="J20" s="194"/>
      <c r="K20" s="194"/>
      <c r="L20" s="195"/>
      <c r="M20" s="55"/>
      <c r="N20" s="55"/>
      <c r="O20" s="55"/>
      <c r="P20" s="55"/>
      <c r="Q20" s="55"/>
      <c r="R20" s="55"/>
      <c r="S20" s="55"/>
    </row>
    <row r="21" spans="1:19" s="2" customFormat="1" ht="26.1" customHeight="1">
      <c r="A21" s="150" t="s">
        <v>552</v>
      </c>
      <c r="B21" s="194"/>
      <c r="C21" s="194"/>
      <c r="D21" s="194"/>
      <c r="E21" s="194"/>
      <c r="F21" s="194"/>
      <c r="G21" s="194"/>
      <c r="H21" s="194"/>
      <c r="I21" s="194"/>
      <c r="J21" s="194"/>
      <c r="K21" s="194"/>
      <c r="L21" s="195"/>
      <c r="M21" s="55"/>
      <c r="N21" s="55"/>
      <c r="O21" s="55"/>
      <c r="P21" s="55"/>
      <c r="Q21" s="55"/>
      <c r="R21" s="55"/>
      <c r="S21" s="55"/>
    </row>
    <row r="22" spans="1:19" ht="26.1" customHeight="1">
      <c r="A22" s="22" t="s">
        <v>143</v>
      </c>
      <c r="B22" s="22" t="s">
        <v>553</v>
      </c>
      <c r="C22" s="22" t="s">
        <v>354</v>
      </c>
      <c r="D22" s="22" t="s">
        <v>355</v>
      </c>
      <c r="E22" s="22" t="s">
        <v>356</v>
      </c>
      <c r="F22" s="22" t="s">
        <v>357</v>
      </c>
      <c r="G22" s="22" t="s">
        <v>358</v>
      </c>
      <c r="H22" s="22"/>
      <c r="I22" s="22"/>
      <c r="J22" s="22"/>
      <c r="K22" s="22"/>
      <c r="L22" s="22"/>
      <c r="M22" s="55"/>
      <c r="N22" s="55"/>
      <c r="O22" s="55"/>
      <c r="P22" s="55"/>
      <c r="Q22" s="55"/>
      <c r="R22" s="55"/>
      <c r="S22" s="55"/>
    </row>
    <row r="23" spans="1:19" ht="21" customHeight="1">
      <c r="A23" s="24" t="s">
        <v>169</v>
      </c>
      <c r="B23" s="29" t="s">
        <v>554</v>
      </c>
      <c r="C23" s="60" t="b">
        <v>0</v>
      </c>
      <c r="D23" s="24" t="s">
        <v>555</v>
      </c>
      <c r="E23" s="24"/>
      <c r="F23" s="24"/>
      <c r="G23" s="24"/>
      <c r="H23" s="55"/>
      <c r="I23" s="55"/>
      <c r="J23" s="55"/>
      <c r="K23" s="55"/>
      <c r="L23" s="48"/>
      <c r="M23" s="55"/>
      <c r="N23" s="55"/>
      <c r="O23" s="55"/>
      <c r="P23" s="55"/>
      <c r="Q23" s="55"/>
      <c r="R23" s="55"/>
      <c r="S23" s="55"/>
    </row>
    <row r="24" spans="1:19" ht="21" customHeight="1">
      <c r="A24" s="24" t="s">
        <v>169</v>
      </c>
      <c r="B24" s="29" t="s">
        <v>556</v>
      </c>
      <c r="C24" s="60" t="b">
        <v>0</v>
      </c>
      <c r="D24" s="24" t="s">
        <v>555</v>
      </c>
      <c r="E24" s="24"/>
      <c r="F24" s="24"/>
      <c r="G24" s="24"/>
      <c r="H24" s="55"/>
      <c r="I24" s="55"/>
      <c r="J24" s="55"/>
      <c r="K24" s="55"/>
      <c r="L24" s="48"/>
      <c r="M24" s="55"/>
      <c r="N24" s="55"/>
      <c r="O24" s="55"/>
      <c r="P24" s="55"/>
      <c r="Q24" s="55"/>
      <c r="R24" s="55"/>
      <c r="S24" s="55"/>
    </row>
    <row r="25" spans="1:19" ht="21" customHeight="1">
      <c r="A25" s="24" t="s">
        <v>169</v>
      </c>
      <c r="B25" s="29" t="s">
        <v>557</v>
      </c>
      <c r="C25" s="60" t="b">
        <v>0</v>
      </c>
      <c r="D25" s="24" t="s">
        <v>555</v>
      </c>
      <c r="E25" s="24"/>
      <c r="F25" s="24"/>
      <c r="G25" s="24"/>
      <c r="H25" s="55"/>
      <c r="I25" s="55"/>
      <c r="J25" s="55"/>
      <c r="K25" s="55"/>
      <c r="L25" s="48"/>
      <c r="M25" s="55"/>
      <c r="N25" s="55"/>
      <c r="O25" s="55"/>
      <c r="P25" s="55"/>
      <c r="Q25" s="55"/>
      <c r="R25" s="55"/>
      <c r="S25" s="55"/>
    </row>
    <row r="26" spans="1:19" ht="21" customHeight="1">
      <c r="A26" s="24" t="s">
        <v>169</v>
      </c>
      <c r="B26" s="29" t="s">
        <v>558</v>
      </c>
      <c r="C26" s="60" t="b">
        <v>0</v>
      </c>
      <c r="D26" s="24" t="s">
        <v>555</v>
      </c>
      <c r="E26" s="24"/>
      <c r="F26" s="24"/>
      <c r="G26" s="24"/>
      <c r="H26" s="55"/>
      <c r="I26" s="55"/>
      <c r="J26" s="55"/>
      <c r="K26" s="55"/>
      <c r="L26" s="48"/>
      <c r="M26" s="55"/>
      <c r="N26" s="55"/>
      <c r="O26" s="55"/>
      <c r="P26" s="55"/>
      <c r="Q26" s="55"/>
      <c r="R26" s="55"/>
      <c r="S26" s="55"/>
    </row>
    <row r="27" spans="1:19" s="2" customFormat="1" ht="26.1" customHeight="1">
      <c r="A27" s="24" t="s">
        <v>169</v>
      </c>
      <c r="B27" s="29" t="s">
        <v>559</v>
      </c>
      <c r="C27" s="60" t="b">
        <v>0</v>
      </c>
      <c r="D27" s="24" t="s">
        <v>555</v>
      </c>
      <c r="E27" s="24"/>
      <c r="F27" s="24"/>
      <c r="G27" s="24"/>
      <c r="H27" s="55"/>
      <c r="I27" s="55"/>
      <c r="J27" s="55"/>
      <c r="K27" s="55"/>
      <c r="L27" s="55"/>
      <c r="M27" s="55"/>
      <c r="N27" s="55"/>
      <c r="O27" s="55"/>
      <c r="P27" s="55"/>
      <c r="Q27" s="55"/>
      <c r="R27" s="55"/>
      <c r="S27" s="55"/>
    </row>
    <row r="28" spans="1:19" s="2" customFormat="1" ht="21" customHeight="1">
      <c r="A28" s="24" t="s">
        <v>169</v>
      </c>
      <c r="B28" s="29" t="s">
        <v>560</v>
      </c>
      <c r="C28" s="60" t="b">
        <v>0</v>
      </c>
      <c r="D28" s="24" t="s">
        <v>555</v>
      </c>
      <c r="E28" s="24"/>
      <c r="F28" s="24"/>
      <c r="G28" s="24"/>
      <c r="H28" s="55"/>
      <c r="I28" s="55"/>
      <c r="J28" s="55"/>
      <c r="K28" s="55"/>
      <c r="L28" s="55"/>
      <c r="M28" s="55"/>
      <c r="N28" s="55"/>
      <c r="O28" s="55"/>
      <c r="P28" s="55"/>
      <c r="Q28" s="55"/>
      <c r="R28" s="55"/>
      <c r="S28" s="55"/>
    </row>
    <row r="29" spans="1:19" s="2" customFormat="1" ht="21" customHeight="1">
      <c r="A29" s="24" t="s">
        <v>169</v>
      </c>
      <c r="B29" s="29" t="s">
        <v>561</v>
      </c>
      <c r="C29" s="60" t="b">
        <v>0</v>
      </c>
      <c r="D29" s="24" t="s">
        <v>555</v>
      </c>
      <c r="E29" s="24"/>
      <c r="F29" s="24"/>
      <c r="G29" s="24"/>
      <c r="H29" s="55"/>
      <c r="I29" s="55"/>
      <c r="J29" s="55"/>
      <c r="K29" s="55"/>
      <c r="L29" s="55"/>
      <c r="M29" s="55"/>
      <c r="N29" s="55"/>
      <c r="O29" s="55"/>
      <c r="P29" s="55"/>
      <c r="Q29" s="55"/>
      <c r="R29" s="55"/>
      <c r="S29" s="55"/>
    </row>
    <row r="30" spans="1:19" s="2" customFormat="1" ht="26.1" customHeight="1">
      <c r="A30" s="24" t="s">
        <v>169</v>
      </c>
      <c r="B30" s="29" t="s">
        <v>562</v>
      </c>
      <c r="C30" s="60" t="b">
        <v>0</v>
      </c>
      <c r="D30" s="24" t="s">
        <v>555</v>
      </c>
      <c r="E30" s="24"/>
      <c r="F30" s="24"/>
      <c r="G30" s="24"/>
      <c r="H30" s="55"/>
      <c r="I30" s="55"/>
      <c r="J30" s="55"/>
      <c r="K30" s="55"/>
      <c r="L30" s="55"/>
      <c r="M30" s="55"/>
      <c r="N30" s="55"/>
      <c r="O30" s="55"/>
      <c r="P30" s="55"/>
      <c r="Q30" s="55"/>
      <c r="R30" s="55"/>
      <c r="S30" s="55"/>
    </row>
    <row r="31" spans="1:19" s="2" customFormat="1" ht="26.1" customHeight="1">
      <c r="A31" s="24" t="s">
        <v>169</v>
      </c>
      <c r="B31" s="29" t="s">
        <v>563</v>
      </c>
      <c r="C31" s="60" t="b">
        <v>0</v>
      </c>
      <c r="D31" s="24" t="s">
        <v>555</v>
      </c>
      <c r="E31" s="24"/>
      <c r="F31" s="24"/>
      <c r="G31" s="24"/>
      <c r="H31" s="55"/>
      <c r="I31" s="55"/>
      <c r="J31" s="55"/>
      <c r="K31" s="55"/>
      <c r="L31" s="55"/>
      <c r="M31" s="55"/>
      <c r="N31" s="55"/>
      <c r="O31" s="55"/>
      <c r="P31" s="55"/>
      <c r="Q31" s="55"/>
      <c r="R31" s="55"/>
      <c r="S31" s="55"/>
    </row>
    <row r="32" spans="1:19" s="2" customFormat="1" ht="21" customHeight="1">
      <c r="A32" s="24" t="s">
        <v>169</v>
      </c>
      <c r="B32" s="29" t="s">
        <v>564</v>
      </c>
      <c r="C32" s="60" t="b">
        <v>0</v>
      </c>
      <c r="D32" s="24" t="s">
        <v>555</v>
      </c>
      <c r="E32" s="24"/>
      <c r="F32" s="24"/>
      <c r="G32" s="24"/>
      <c r="H32" s="55"/>
      <c r="I32" s="55"/>
      <c r="J32" s="55"/>
      <c r="K32" s="55"/>
      <c r="L32" s="55"/>
      <c r="M32" s="55"/>
      <c r="N32" s="55"/>
      <c r="O32" s="55"/>
      <c r="P32" s="55"/>
      <c r="Q32" s="55"/>
      <c r="R32" s="55"/>
      <c r="S32" s="55"/>
    </row>
    <row r="33" spans="1:19" s="2" customFormat="1" ht="21" customHeight="1">
      <c r="A33" s="24" t="s">
        <v>169</v>
      </c>
      <c r="B33" s="29" t="s">
        <v>565</v>
      </c>
      <c r="C33" s="60" t="b">
        <v>0</v>
      </c>
      <c r="D33" s="24" t="s">
        <v>555</v>
      </c>
      <c r="E33" s="24"/>
      <c r="F33" s="24"/>
      <c r="G33" s="24"/>
      <c r="H33" s="55"/>
      <c r="I33" s="55"/>
      <c r="J33" s="55"/>
      <c r="K33" s="55"/>
      <c r="L33" s="55"/>
      <c r="M33" s="55"/>
      <c r="N33" s="55"/>
      <c r="O33" s="55"/>
      <c r="P33" s="55"/>
      <c r="Q33" s="55"/>
      <c r="R33" s="55"/>
      <c r="S33" s="55"/>
    </row>
    <row r="34" spans="1:19" s="2" customFormat="1" ht="21" customHeight="1">
      <c r="A34" s="24" t="s">
        <v>169</v>
      </c>
      <c r="B34" s="29" t="s">
        <v>566</v>
      </c>
      <c r="C34" s="60" t="b">
        <v>0</v>
      </c>
      <c r="D34" s="24" t="s">
        <v>555</v>
      </c>
      <c r="E34" s="24"/>
      <c r="F34" s="24"/>
      <c r="G34" s="24"/>
      <c r="H34" s="55"/>
      <c r="I34" s="55"/>
      <c r="J34" s="55"/>
      <c r="K34" s="55"/>
      <c r="L34" s="55"/>
      <c r="M34" s="55"/>
      <c r="N34" s="55"/>
      <c r="O34" s="55"/>
      <c r="P34" s="55"/>
      <c r="Q34" s="55"/>
      <c r="R34" s="55"/>
      <c r="S34" s="55"/>
    </row>
    <row r="35" spans="1:19" ht="21" customHeight="1">
      <c r="A35" s="24" t="s">
        <v>169</v>
      </c>
      <c r="B35" s="29" t="s">
        <v>567</v>
      </c>
      <c r="C35" s="60" t="b">
        <v>0</v>
      </c>
      <c r="D35" s="24" t="s">
        <v>555</v>
      </c>
      <c r="E35" s="24"/>
      <c r="F35" s="24"/>
      <c r="G35" s="24"/>
      <c r="H35" s="55"/>
      <c r="I35" s="55"/>
      <c r="J35" s="55"/>
      <c r="K35" s="55"/>
      <c r="L35" s="48"/>
      <c r="M35" s="55"/>
      <c r="N35" s="55"/>
      <c r="O35" s="55"/>
      <c r="P35" s="55"/>
      <c r="Q35" s="55"/>
      <c r="R35" s="55"/>
      <c r="S35" s="55"/>
    </row>
    <row r="36" spans="1:19" ht="21" customHeight="1">
      <c r="A36" s="24" t="s">
        <v>169</v>
      </c>
      <c r="B36" s="29" t="s">
        <v>568</v>
      </c>
      <c r="C36" s="60" t="b">
        <v>0</v>
      </c>
      <c r="D36" s="24" t="s">
        <v>555</v>
      </c>
      <c r="E36" s="24"/>
      <c r="F36" s="24"/>
      <c r="G36" s="24"/>
      <c r="H36" s="55"/>
      <c r="I36" s="55"/>
      <c r="J36" s="55"/>
      <c r="K36" s="55"/>
      <c r="L36" s="48"/>
      <c r="M36" s="55"/>
      <c r="N36" s="55"/>
      <c r="O36" s="55"/>
      <c r="P36" s="55"/>
      <c r="Q36" s="55"/>
      <c r="R36" s="55"/>
      <c r="S36" s="55"/>
    </row>
    <row r="37" spans="1:19" s="2" customFormat="1" ht="26.1" customHeight="1">
      <c r="A37" s="24" t="s">
        <v>169</v>
      </c>
      <c r="B37" s="29" t="s">
        <v>569</v>
      </c>
      <c r="C37" s="60" t="b">
        <v>0</v>
      </c>
      <c r="D37" s="24" t="s">
        <v>555</v>
      </c>
      <c r="E37" s="24"/>
      <c r="F37" s="24"/>
      <c r="G37" s="24"/>
      <c r="H37" s="55"/>
      <c r="I37" s="55"/>
      <c r="J37" s="55"/>
      <c r="K37" s="55"/>
      <c r="L37" s="55"/>
      <c r="M37" s="55"/>
      <c r="N37" s="55"/>
      <c r="O37" s="55"/>
      <c r="P37" s="55"/>
      <c r="Q37" s="55"/>
      <c r="R37" s="55"/>
      <c r="S37" s="55"/>
    </row>
    <row r="38" spans="1:19" ht="26.1" customHeight="1">
      <c r="A38" s="24" t="s">
        <v>169</v>
      </c>
      <c r="B38" s="29" t="s">
        <v>570</v>
      </c>
      <c r="C38" s="60" t="b">
        <v>0</v>
      </c>
      <c r="D38" s="24" t="s">
        <v>555</v>
      </c>
      <c r="E38" s="24"/>
      <c r="F38" s="24"/>
      <c r="G38" s="24"/>
      <c r="H38" s="55"/>
      <c r="I38" s="55"/>
      <c r="J38" s="55"/>
      <c r="K38" s="55"/>
      <c r="L38" s="48"/>
      <c r="M38" s="55"/>
      <c r="N38" s="55"/>
      <c r="O38" s="55"/>
      <c r="P38" s="55"/>
      <c r="Q38" s="55"/>
      <c r="R38" s="55"/>
      <c r="S38" s="55"/>
    </row>
    <row r="39" spans="1:19" ht="26.1" customHeight="1">
      <c r="A39" s="24" t="s">
        <v>169</v>
      </c>
      <c r="B39" s="29" t="s">
        <v>571</v>
      </c>
      <c r="C39" s="60" t="b">
        <v>0</v>
      </c>
      <c r="D39" s="24" t="s">
        <v>555</v>
      </c>
      <c r="E39" s="24"/>
      <c r="F39" s="24"/>
      <c r="G39" s="24"/>
      <c r="H39" s="55"/>
      <c r="I39" s="55"/>
      <c r="J39" s="55"/>
      <c r="K39" s="55"/>
      <c r="L39" s="48"/>
      <c r="M39" s="55"/>
      <c r="N39" s="55"/>
      <c r="O39" s="55"/>
      <c r="P39" s="55"/>
      <c r="Q39" s="55"/>
      <c r="R39" s="55"/>
      <c r="S39" s="55"/>
    </row>
    <row r="40" spans="1:19" ht="26.1" customHeight="1">
      <c r="A40" s="24" t="s">
        <v>169</v>
      </c>
      <c r="B40" s="29" t="s">
        <v>572</v>
      </c>
      <c r="C40" s="60" t="b">
        <v>0</v>
      </c>
      <c r="D40" s="24" t="s">
        <v>555</v>
      </c>
      <c r="E40" s="24"/>
      <c r="F40" s="24"/>
      <c r="G40" s="24"/>
      <c r="H40" s="55"/>
      <c r="I40" s="55"/>
      <c r="J40" s="55"/>
      <c r="K40" s="55"/>
      <c r="L40" s="48"/>
      <c r="M40" s="55"/>
      <c r="N40" s="55"/>
      <c r="O40" s="55"/>
      <c r="P40" s="55"/>
      <c r="Q40" s="55"/>
      <c r="R40" s="55"/>
      <c r="S40" s="55"/>
    </row>
    <row r="41" spans="1:19" ht="26.1" customHeight="1">
      <c r="A41" s="24" t="s">
        <v>169</v>
      </c>
      <c r="B41" s="29" t="s">
        <v>573</v>
      </c>
      <c r="C41" s="60" t="b">
        <v>0</v>
      </c>
      <c r="D41" s="24" t="s">
        <v>555</v>
      </c>
      <c r="E41" s="24"/>
      <c r="F41" s="24"/>
      <c r="G41" s="24"/>
      <c r="H41" s="55"/>
      <c r="I41" s="55"/>
      <c r="J41" s="55"/>
      <c r="K41" s="55"/>
      <c r="L41" s="48"/>
      <c r="M41" s="55"/>
      <c r="N41" s="55"/>
      <c r="O41" s="55"/>
      <c r="P41" s="55"/>
      <c r="Q41" s="55"/>
      <c r="R41" s="55"/>
      <c r="S41" s="55"/>
    </row>
    <row r="42" spans="1:19" ht="26.1" customHeight="1">
      <c r="A42" s="24" t="s">
        <v>169</v>
      </c>
      <c r="B42" s="29" t="s">
        <v>474</v>
      </c>
      <c r="C42" s="60" t="b">
        <v>0</v>
      </c>
      <c r="D42" s="24" t="s">
        <v>555</v>
      </c>
      <c r="E42" s="24"/>
      <c r="F42" s="24"/>
      <c r="G42" s="24"/>
      <c r="H42" s="55"/>
      <c r="I42" s="55"/>
      <c r="J42" s="55"/>
      <c r="K42" s="55"/>
      <c r="L42" s="48"/>
      <c r="M42" s="55"/>
      <c r="N42" s="55"/>
      <c r="O42" s="55"/>
      <c r="P42" s="55"/>
      <c r="Q42" s="55"/>
      <c r="R42" s="55"/>
      <c r="S42" s="55"/>
    </row>
    <row r="43" spans="1:19" ht="18.95" customHeight="1">
      <c r="A43" s="55"/>
      <c r="B43" s="55"/>
      <c r="C43" s="55"/>
      <c r="D43" s="55"/>
      <c r="E43" s="55"/>
      <c r="F43" s="55"/>
      <c r="G43" s="55"/>
      <c r="H43" s="55"/>
      <c r="I43" s="55"/>
      <c r="J43" s="55"/>
      <c r="K43" s="55"/>
      <c r="L43" s="48"/>
      <c r="M43" s="55"/>
      <c r="N43" s="55"/>
      <c r="O43" s="55"/>
      <c r="P43" s="55"/>
      <c r="Q43" s="55"/>
      <c r="R43" s="55"/>
      <c r="S43" s="55"/>
    </row>
    <row r="44" spans="1:19" ht="26.1" customHeight="1">
      <c r="A44" s="150" t="s">
        <v>574</v>
      </c>
      <c r="B44" s="194"/>
      <c r="C44" s="194"/>
      <c r="D44" s="194"/>
      <c r="E44" s="194"/>
      <c r="F44" s="194"/>
      <c r="G44" s="194"/>
      <c r="H44" s="194"/>
      <c r="I44" s="194"/>
      <c r="J44" s="194"/>
      <c r="K44" s="194"/>
      <c r="L44" s="195"/>
      <c r="M44" s="55"/>
      <c r="N44" s="55"/>
      <c r="O44" s="55"/>
      <c r="P44" s="55"/>
      <c r="Q44" s="55"/>
      <c r="R44" s="55"/>
      <c r="S44" s="55"/>
    </row>
    <row r="45" spans="1:19" ht="26.1" customHeight="1">
      <c r="A45" s="22" t="s">
        <v>143</v>
      </c>
      <c r="B45" s="22" t="s">
        <v>575</v>
      </c>
      <c r="C45" s="22" t="s">
        <v>576</v>
      </c>
      <c r="D45" s="22" t="s">
        <v>577</v>
      </c>
      <c r="E45" s="22" t="s">
        <v>144</v>
      </c>
      <c r="F45" s="22" t="s">
        <v>145</v>
      </c>
      <c r="G45" s="22" t="s">
        <v>578</v>
      </c>
      <c r="H45" s="22" t="s">
        <v>499</v>
      </c>
      <c r="I45" s="22"/>
      <c r="J45" s="22"/>
      <c r="K45" s="22"/>
      <c r="L45" s="22"/>
      <c r="M45" s="55"/>
      <c r="N45" s="55"/>
      <c r="O45" s="55"/>
      <c r="P45" s="55"/>
      <c r="Q45" s="55"/>
      <c r="R45" s="55"/>
      <c r="S45" s="55"/>
    </row>
    <row r="46" spans="1:19" ht="33.950000000000003" customHeight="1">
      <c r="A46" s="25" t="s">
        <v>150</v>
      </c>
      <c r="B46" s="26" t="s">
        <v>579</v>
      </c>
      <c r="C46" s="27" t="s">
        <v>580</v>
      </c>
      <c r="D46" s="27" t="s">
        <v>581</v>
      </c>
      <c r="E46" s="27" t="s">
        <v>233</v>
      </c>
      <c r="F46" s="27" t="s">
        <v>152</v>
      </c>
      <c r="G46" s="27"/>
      <c r="H46" s="27"/>
      <c r="I46" s="55"/>
      <c r="J46" s="55"/>
      <c r="K46" s="55"/>
      <c r="L46" s="48"/>
      <c r="M46" s="55"/>
      <c r="N46" s="55"/>
      <c r="O46" s="55"/>
      <c r="P46" s="55"/>
      <c r="Q46" s="55"/>
      <c r="R46" s="55"/>
      <c r="S46" s="55"/>
    </row>
    <row r="47" spans="1:19" s="2" customFormat="1" ht="33.950000000000003" customHeight="1">
      <c r="A47" s="25" t="s">
        <v>150</v>
      </c>
      <c r="B47" s="26" t="s">
        <v>582</v>
      </c>
      <c r="C47" s="27" t="s">
        <v>583</v>
      </c>
      <c r="D47" s="27" t="s">
        <v>584</v>
      </c>
      <c r="E47" s="27" t="s">
        <v>585</v>
      </c>
      <c r="F47" s="27" t="s">
        <v>152</v>
      </c>
      <c r="G47" s="27"/>
      <c r="H47" s="27"/>
      <c r="I47" s="55"/>
      <c r="J47" s="55"/>
      <c r="K47" s="55"/>
      <c r="L47" s="55"/>
      <c r="M47" s="55"/>
      <c r="N47" s="55"/>
      <c r="O47" s="55"/>
      <c r="P47" s="55"/>
      <c r="Q47" s="55"/>
      <c r="R47" s="55"/>
      <c r="S47" s="55"/>
    </row>
    <row r="48" spans="1:19" s="2" customFormat="1" ht="33.950000000000003" customHeight="1">
      <c r="A48" s="25" t="s">
        <v>150</v>
      </c>
      <c r="B48" s="26" t="s">
        <v>586</v>
      </c>
      <c r="C48" s="27" t="s">
        <v>587</v>
      </c>
      <c r="D48" s="27" t="s">
        <v>588</v>
      </c>
      <c r="E48" s="27" t="s">
        <v>585</v>
      </c>
      <c r="F48" s="27" t="s">
        <v>152</v>
      </c>
      <c r="G48" s="27"/>
      <c r="H48" s="27"/>
      <c r="I48" s="55"/>
      <c r="J48" s="55"/>
      <c r="K48" s="55"/>
      <c r="L48" s="55"/>
      <c r="M48" s="55"/>
      <c r="N48" s="55"/>
      <c r="O48" s="55"/>
      <c r="P48" s="55"/>
      <c r="Q48" s="55"/>
      <c r="R48" s="55"/>
      <c r="S48" s="55"/>
    </row>
    <row r="49" spans="1:19" s="2" customFormat="1" ht="33.950000000000003" customHeight="1">
      <c r="A49" s="25" t="s">
        <v>150</v>
      </c>
      <c r="B49" s="26" t="s">
        <v>589</v>
      </c>
      <c r="C49" s="27" t="s">
        <v>590</v>
      </c>
      <c r="D49" s="27" t="s">
        <v>591</v>
      </c>
      <c r="E49" s="27" t="s">
        <v>197</v>
      </c>
      <c r="F49" s="27" t="s">
        <v>152</v>
      </c>
      <c r="G49" s="27"/>
      <c r="H49" s="27"/>
      <c r="I49" s="55"/>
      <c r="J49" s="55"/>
      <c r="K49" s="55"/>
      <c r="L49" s="55"/>
      <c r="M49" s="55"/>
      <c r="N49" s="55"/>
      <c r="O49" s="55"/>
      <c r="P49" s="55"/>
      <c r="Q49" s="55"/>
      <c r="R49" s="55"/>
      <c r="S49" s="55"/>
    </row>
    <row r="50" spans="1:19" s="2" customFormat="1" ht="33.950000000000003" customHeight="1">
      <c r="A50" s="25" t="s">
        <v>150</v>
      </c>
      <c r="B50" s="26" t="s">
        <v>592</v>
      </c>
      <c r="C50" s="27" t="s">
        <v>593</v>
      </c>
      <c r="D50" s="27" t="s">
        <v>594</v>
      </c>
      <c r="E50" s="27" t="s">
        <v>595</v>
      </c>
      <c r="F50" s="27" t="s">
        <v>152</v>
      </c>
      <c r="G50" s="27"/>
      <c r="H50" s="27"/>
      <c r="I50" s="55"/>
      <c r="J50" s="55"/>
      <c r="K50" s="55"/>
      <c r="L50" s="55"/>
      <c r="M50" s="55"/>
      <c r="N50" s="55"/>
      <c r="O50" s="55"/>
      <c r="P50" s="55"/>
      <c r="Q50" s="55"/>
      <c r="R50" s="55"/>
      <c r="S50" s="55"/>
    </row>
    <row r="51" spans="1:19" s="2" customFormat="1" ht="33.950000000000003" customHeight="1">
      <c r="A51" s="25" t="s">
        <v>150</v>
      </c>
      <c r="B51" s="26" t="s">
        <v>596</v>
      </c>
      <c r="C51" s="27" t="s">
        <v>597</v>
      </c>
      <c r="D51" s="27" t="s">
        <v>598</v>
      </c>
      <c r="E51" s="27" t="s">
        <v>233</v>
      </c>
      <c r="F51" s="27" t="s">
        <v>152</v>
      </c>
      <c r="G51" s="27"/>
      <c r="H51" s="27"/>
      <c r="I51" s="55"/>
      <c r="J51" s="55"/>
      <c r="K51" s="55"/>
      <c r="L51" s="55"/>
      <c r="M51" s="55"/>
      <c r="N51" s="55"/>
      <c r="O51" s="55"/>
      <c r="P51" s="55"/>
      <c r="Q51" s="55"/>
      <c r="R51" s="55"/>
      <c r="S51" s="55"/>
    </row>
    <row r="52" spans="1:19" s="2" customFormat="1" ht="33.950000000000003" customHeight="1">
      <c r="A52" s="25" t="s">
        <v>150</v>
      </c>
      <c r="B52" s="26" t="s">
        <v>599</v>
      </c>
      <c r="C52" s="27" t="s">
        <v>600</v>
      </c>
      <c r="D52" s="27" t="s">
        <v>601</v>
      </c>
      <c r="E52" s="27" t="s">
        <v>197</v>
      </c>
      <c r="F52" s="27" t="s">
        <v>152</v>
      </c>
      <c r="G52" s="27"/>
      <c r="H52" s="27"/>
      <c r="I52" s="55"/>
      <c r="J52" s="55"/>
      <c r="K52" s="55"/>
      <c r="L52" s="55"/>
      <c r="M52" s="55"/>
      <c r="N52" s="55"/>
      <c r="O52" s="55"/>
      <c r="P52" s="55"/>
      <c r="Q52" s="55"/>
      <c r="R52" s="55"/>
      <c r="S52" s="55"/>
    </row>
    <row r="53" spans="1:19" s="2" customFormat="1" ht="33.950000000000003" customHeight="1">
      <c r="A53" s="25" t="s">
        <v>150</v>
      </c>
      <c r="B53" s="26" t="s">
        <v>602</v>
      </c>
      <c r="C53" s="27" t="s">
        <v>603</v>
      </c>
      <c r="D53" s="27" t="s">
        <v>604</v>
      </c>
      <c r="E53" s="27" t="s">
        <v>605</v>
      </c>
      <c r="F53" s="27" t="s">
        <v>152</v>
      </c>
      <c r="G53" s="27"/>
      <c r="H53" s="27"/>
      <c r="I53" s="55"/>
      <c r="J53" s="55"/>
      <c r="K53" s="55"/>
      <c r="L53" s="55"/>
      <c r="M53" s="55"/>
      <c r="N53" s="55"/>
      <c r="O53" s="55"/>
      <c r="P53" s="55"/>
      <c r="Q53" s="55"/>
      <c r="R53" s="55"/>
      <c r="S53" s="55"/>
    </row>
    <row r="54" spans="1:19" s="2" customFormat="1" ht="18.95" customHeight="1">
      <c r="A54" s="55"/>
      <c r="B54" s="55"/>
      <c r="C54" s="55"/>
      <c r="D54" s="55"/>
      <c r="E54" s="55"/>
      <c r="F54" s="55"/>
      <c r="G54" s="55"/>
      <c r="H54" s="55"/>
      <c r="I54" s="55"/>
      <c r="J54" s="55"/>
      <c r="K54" s="55"/>
      <c r="L54" s="55"/>
      <c r="M54" s="55"/>
      <c r="N54" s="55"/>
      <c r="O54" s="55"/>
      <c r="P54" s="55"/>
      <c r="Q54" s="55"/>
      <c r="R54" s="55"/>
      <c r="S54" s="55"/>
    </row>
    <row r="55" spans="1:19" s="2" customFormat="1" ht="26.1" customHeight="1">
      <c r="A55" s="150" t="s">
        <v>606</v>
      </c>
      <c r="B55" s="194"/>
      <c r="C55" s="194"/>
      <c r="D55" s="194"/>
      <c r="E55" s="194"/>
      <c r="F55" s="194"/>
      <c r="G55" s="194"/>
      <c r="H55" s="194"/>
      <c r="I55" s="194"/>
      <c r="J55" s="194"/>
      <c r="K55" s="194"/>
      <c r="L55" s="195"/>
      <c r="M55" s="55"/>
      <c r="N55" s="55"/>
      <c r="O55" s="55"/>
      <c r="P55" s="55"/>
      <c r="Q55" s="55"/>
      <c r="R55" s="55"/>
      <c r="S55" s="55"/>
    </row>
    <row r="56" spans="1:19" s="2" customFormat="1" ht="26.1" customHeight="1">
      <c r="A56" s="22" t="s">
        <v>143</v>
      </c>
      <c r="B56" s="22" t="s">
        <v>575</v>
      </c>
      <c r="C56" s="22" t="s">
        <v>576</v>
      </c>
      <c r="D56" s="22" t="s">
        <v>577</v>
      </c>
      <c r="E56" s="22" t="s">
        <v>144</v>
      </c>
      <c r="F56" s="22" t="s">
        <v>145</v>
      </c>
      <c r="G56" s="22" t="s">
        <v>578</v>
      </c>
      <c r="H56" s="22" t="s">
        <v>499</v>
      </c>
      <c r="I56" s="22"/>
      <c r="J56" s="22"/>
      <c r="K56" s="22"/>
      <c r="L56" s="22"/>
      <c r="M56" s="55"/>
      <c r="N56" s="55"/>
      <c r="O56" s="55"/>
      <c r="P56" s="55"/>
      <c r="Q56" s="55"/>
      <c r="R56" s="55"/>
      <c r="S56" s="55"/>
    </row>
    <row r="57" spans="1:19" s="2" customFormat="1" ht="33.950000000000003" customHeight="1">
      <c r="A57" s="25" t="s">
        <v>150</v>
      </c>
      <c r="B57" s="26" t="s">
        <v>607</v>
      </c>
      <c r="C57" s="27" t="s">
        <v>608</v>
      </c>
      <c r="D57" s="27" t="s">
        <v>609</v>
      </c>
      <c r="E57" s="27" t="s">
        <v>186</v>
      </c>
      <c r="F57" s="27" t="s">
        <v>152</v>
      </c>
      <c r="G57" s="27"/>
      <c r="H57" s="27"/>
      <c r="I57" s="55"/>
      <c r="J57" s="55"/>
      <c r="K57" s="55"/>
      <c r="L57" s="55"/>
      <c r="M57" s="55"/>
      <c r="N57" s="55"/>
      <c r="O57" s="55"/>
      <c r="P57" s="55"/>
      <c r="Q57" s="55"/>
      <c r="R57" s="55"/>
      <c r="S57" s="55"/>
    </row>
    <row r="58" spans="1:19" s="2" customFormat="1" ht="33.950000000000003" customHeight="1">
      <c r="A58" s="25" t="s">
        <v>150</v>
      </c>
      <c r="B58" s="26" t="s">
        <v>610</v>
      </c>
      <c r="C58" s="27" t="s">
        <v>611</v>
      </c>
      <c r="D58" s="27" t="s">
        <v>612</v>
      </c>
      <c r="E58" s="27" t="s">
        <v>613</v>
      </c>
      <c r="F58" s="27" t="s">
        <v>152</v>
      </c>
      <c r="G58" s="27"/>
      <c r="H58" s="27"/>
      <c r="I58" s="55"/>
      <c r="J58" s="55"/>
      <c r="K58" s="55"/>
      <c r="L58" s="55"/>
      <c r="M58" s="55"/>
      <c r="N58" s="55"/>
      <c r="O58" s="55"/>
      <c r="P58" s="55"/>
      <c r="Q58" s="55"/>
      <c r="R58" s="55"/>
      <c r="S58" s="55"/>
    </row>
    <row r="59" spans="1:19" s="2" customFormat="1" ht="33.950000000000003" customHeight="1">
      <c r="A59" s="25" t="s">
        <v>150</v>
      </c>
      <c r="B59" s="26" t="s">
        <v>614</v>
      </c>
      <c r="C59" s="27" t="s">
        <v>615</v>
      </c>
      <c r="D59" s="27" t="s">
        <v>616</v>
      </c>
      <c r="E59" s="27" t="s">
        <v>613</v>
      </c>
      <c r="F59" s="27" t="s">
        <v>152</v>
      </c>
      <c r="G59" s="27"/>
      <c r="H59" s="27"/>
      <c r="I59" s="55"/>
      <c r="J59" s="55"/>
      <c r="K59" s="55"/>
      <c r="L59" s="55"/>
      <c r="M59" s="55"/>
      <c r="N59" s="55"/>
      <c r="O59" s="55"/>
      <c r="P59" s="55"/>
      <c r="Q59" s="55"/>
      <c r="R59" s="55"/>
      <c r="S59" s="55"/>
    </row>
    <row r="60" spans="1:19" s="2" customFormat="1" ht="33.950000000000003" customHeight="1">
      <c r="A60" s="25" t="s">
        <v>150</v>
      </c>
      <c r="B60" s="26" t="s">
        <v>617</v>
      </c>
      <c r="C60" s="27" t="s">
        <v>618</v>
      </c>
      <c r="D60" s="27" t="s">
        <v>619</v>
      </c>
      <c r="E60" s="27" t="s">
        <v>605</v>
      </c>
      <c r="F60" s="27" t="s">
        <v>152</v>
      </c>
      <c r="G60" s="27"/>
      <c r="H60" s="27"/>
      <c r="I60" s="55"/>
      <c r="J60" s="55"/>
      <c r="K60" s="55"/>
      <c r="L60" s="55"/>
      <c r="M60" s="55"/>
      <c r="N60" s="55"/>
      <c r="O60" s="55"/>
      <c r="P60" s="55"/>
      <c r="Q60" s="55"/>
      <c r="R60" s="55"/>
      <c r="S60" s="55"/>
    </row>
    <row r="61" spans="1:19" s="2" customFormat="1" ht="33.950000000000003" customHeight="1">
      <c r="A61" s="25" t="s">
        <v>150</v>
      </c>
      <c r="B61" s="26" t="s">
        <v>620</v>
      </c>
      <c r="C61" s="27" t="s">
        <v>621</v>
      </c>
      <c r="D61" s="27" t="s">
        <v>622</v>
      </c>
      <c r="E61" s="27" t="s">
        <v>211</v>
      </c>
      <c r="F61" s="27" t="s">
        <v>152</v>
      </c>
      <c r="G61" s="27"/>
      <c r="H61" s="27"/>
      <c r="I61" s="55"/>
      <c r="J61" s="55"/>
      <c r="K61" s="55"/>
      <c r="L61" s="55"/>
      <c r="M61" s="55"/>
      <c r="N61" s="55"/>
      <c r="O61" s="55"/>
      <c r="P61" s="55"/>
      <c r="Q61" s="55"/>
      <c r="R61" s="55"/>
      <c r="S61" s="55"/>
    </row>
    <row r="62" spans="1:19" s="2" customFormat="1" ht="18.95" customHeight="1">
      <c r="A62" s="55"/>
      <c r="B62" s="55"/>
      <c r="C62" s="55"/>
      <c r="D62" s="55"/>
      <c r="E62" s="55"/>
      <c r="F62" s="55"/>
      <c r="G62" s="55"/>
      <c r="H62" s="55"/>
      <c r="I62" s="55"/>
      <c r="J62" s="55"/>
      <c r="K62" s="55"/>
      <c r="L62" s="55"/>
      <c r="M62" s="55"/>
      <c r="N62" s="55"/>
      <c r="O62" s="55"/>
      <c r="P62" s="55"/>
      <c r="Q62" s="55"/>
      <c r="R62" s="55"/>
      <c r="S62" s="55"/>
    </row>
    <row r="63" spans="1:19" s="2" customFormat="1" ht="26.1" customHeight="1">
      <c r="A63" s="150" t="s">
        <v>623</v>
      </c>
      <c r="B63" s="194"/>
      <c r="C63" s="194"/>
      <c r="D63" s="194"/>
      <c r="E63" s="194"/>
      <c r="F63" s="194"/>
      <c r="G63" s="194"/>
      <c r="H63" s="194"/>
      <c r="I63" s="194"/>
      <c r="J63" s="194"/>
      <c r="K63" s="194"/>
      <c r="L63" s="195"/>
      <c r="M63" s="55"/>
      <c r="N63" s="55"/>
      <c r="O63" s="55"/>
      <c r="P63" s="55"/>
      <c r="Q63" s="55"/>
      <c r="R63" s="55"/>
      <c r="S63" s="55"/>
    </row>
    <row r="64" spans="1:19" s="2" customFormat="1" ht="26.1" customHeight="1">
      <c r="A64" s="22" t="s">
        <v>143</v>
      </c>
      <c r="B64" s="22" t="s">
        <v>624</v>
      </c>
      <c r="C64" s="22" t="s">
        <v>354</v>
      </c>
      <c r="D64" s="22" t="s">
        <v>355</v>
      </c>
      <c r="E64" s="22" t="s">
        <v>356</v>
      </c>
      <c r="F64" s="22" t="s">
        <v>357</v>
      </c>
      <c r="G64" s="22" t="s">
        <v>358</v>
      </c>
      <c r="H64" s="22"/>
      <c r="I64" s="22"/>
      <c r="J64" s="22"/>
      <c r="K64" s="22"/>
      <c r="L64" s="22"/>
      <c r="M64" s="55"/>
      <c r="N64" s="55"/>
      <c r="O64" s="55"/>
      <c r="P64" s="55"/>
      <c r="Q64" s="55"/>
      <c r="R64" s="55"/>
      <c r="S64" s="55"/>
    </row>
    <row r="65" spans="1:19" ht="21" customHeight="1">
      <c r="A65" s="24" t="s">
        <v>150</v>
      </c>
      <c r="B65" s="29" t="s">
        <v>625</v>
      </c>
      <c r="C65" s="60" t="b">
        <v>0</v>
      </c>
      <c r="D65" s="24" t="s">
        <v>585</v>
      </c>
      <c r="E65" s="24"/>
      <c r="F65" s="24"/>
      <c r="G65" s="24"/>
      <c r="H65" s="55"/>
      <c r="I65" s="55"/>
      <c r="J65" s="55"/>
      <c r="K65" s="55"/>
      <c r="L65" s="48"/>
      <c r="M65" s="55"/>
      <c r="N65" s="55"/>
      <c r="O65" s="55"/>
      <c r="P65" s="55"/>
      <c r="Q65" s="55"/>
      <c r="R65" s="55"/>
      <c r="S65" s="55"/>
    </row>
    <row r="66" spans="1:19" ht="21" customHeight="1">
      <c r="A66" s="24" t="s">
        <v>150</v>
      </c>
      <c r="B66" s="29" t="s">
        <v>626</v>
      </c>
      <c r="C66" s="60" t="b">
        <v>0</v>
      </c>
      <c r="D66" s="24" t="s">
        <v>585</v>
      </c>
      <c r="E66" s="24"/>
      <c r="F66" s="24"/>
      <c r="G66" s="24"/>
      <c r="H66" s="55"/>
      <c r="I66" s="55"/>
      <c r="J66" s="55"/>
      <c r="K66" s="55"/>
      <c r="L66" s="48"/>
      <c r="M66" s="55"/>
      <c r="N66" s="55"/>
      <c r="O66" s="55"/>
      <c r="P66" s="55"/>
      <c r="Q66" s="55"/>
      <c r="R66" s="55"/>
      <c r="S66" s="55"/>
    </row>
    <row r="67" spans="1:19" s="2" customFormat="1" ht="21" customHeight="1">
      <c r="A67" s="24" t="s">
        <v>150</v>
      </c>
      <c r="B67" s="29" t="s">
        <v>627</v>
      </c>
      <c r="C67" s="60" t="b">
        <v>0</v>
      </c>
      <c r="D67" s="24" t="s">
        <v>585</v>
      </c>
      <c r="E67" s="24"/>
      <c r="F67" s="24"/>
      <c r="G67" s="24"/>
      <c r="H67" s="55"/>
      <c r="I67" s="55"/>
      <c r="J67" s="55"/>
      <c r="K67" s="55"/>
      <c r="L67" s="55"/>
      <c r="M67" s="55"/>
      <c r="N67" s="55"/>
      <c r="O67" s="55"/>
      <c r="P67" s="55"/>
      <c r="Q67" s="55"/>
      <c r="R67" s="55"/>
      <c r="S67" s="55"/>
    </row>
    <row r="68" spans="1:19" ht="21" customHeight="1">
      <c r="A68" s="24" t="s">
        <v>150</v>
      </c>
      <c r="B68" s="29" t="s">
        <v>628</v>
      </c>
      <c r="C68" s="60" t="b">
        <v>0</v>
      </c>
      <c r="D68" s="24" t="s">
        <v>585</v>
      </c>
      <c r="E68" s="24"/>
      <c r="F68" s="24"/>
      <c r="G68" s="24"/>
      <c r="H68" s="55"/>
      <c r="I68" s="55"/>
      <c r="J68" s="55"/>
      <c r="K68" s="55"/>
      <c r="L68" s="48"/>
      <c r="M68" s="55"/>
      <c r="N68" s="55"/>
      <c r="O68" s="55"/>
      <c r="P68" s="55"/>
      <c r="Q68" s="55"/>
      <c r="R68" s="55"/>
      <c r="S68" s="55"/>
    </row>
    <row r="69" spans="1:19" ht="21" customHeight="1">
      <c r="A69" s="24" t="s">
        <v>150</v>
      </c>
      <c r="B69" s="29" t="s">
        <v>629</v>
      </c>
      <c r="C69" s="60" t="b">
        <v>0</v>
      </c>
      <c r="D69" s="24" t="s">
        <v>585</v>
      </c>
      <c r="E69" s="24"/>
      <c r="F69" s="24"/>
      <c r="G69" s="24"/>
      <c r="H69" s="55"/>
      <c r="I69" s="55"/>
      <c r="J69" s="55"/>
      <c r="K69" s="55"/>
      <c r="L69" s="48"/>
      <c r="M69" s="55"/>
      <c r="N69" s="55"/>
      <c r="O69" s="55"/>
      <c r="P69" s="55"/>
      <c r="Q69" s="55"/>
      <c r="R69" s="55"/>
      <c r="S69" s="55"/>
    </row>
    <row r="70" spans="1:19" ht="21" customHeight="1">
      <c r="A70" s="24" t="s">
        <v>150</v>
      </c>
      <c r="B70" s="29" t="s">
        <v>630</v>
      </c>
      <c r="C70" s="60" t="b">
        <v>0</v>
      </c>
      <c r="D70" s="24" t="s">
        <v>585</v>
      </c>
      <c r="E70" s="24"/>
      <c r="F70" s="24"/>
      <c r="G70" s="24"/>
      <c r="H70" s="55"/>
      <c r="I70" s="55"/>
      <c r="J70" s="55"/>
      <c r="K70" s="55"/>
      <c r="L70" s="48"/>
      <c r="M70" s="55"/>
      <c r="N70" s="55"/>
      <c r="O70" s="55"/>
      <c r="P70" s="55"/>
      <c r="Q70" s="55"/>
      <c r="R70" s="55"/>
      <c r="S70" s="55"/>
    </row>
    <row r="71" spans="1:19" ht="21" customHeight="1">
      <c r="A71" s="24" t="s">
        <v>150</v>
      </c>
      <c r="B71" s="29" t="s">
        <v>631</v>
      </c>
      <c r="C71" s="60" t="b">
        <v>0</v>
      </c>
      <c r="D71" s="24" t="s">
        <v>585</v>
      </c>
      <c r="E71" s="24"/>
      <c r="F71" s="24"/>
      <c r="G71" s="24"/>
      <c r="H71" s="55"/>
      <c r="I71" s="55"/>
      <c r="J71" s="55"/>
      <c r="K71" s="55"/>
      <c r="L71" s="48"/>
      <c r="M71" s="55"/>
      <c r="N71" s="55"/>
      <c r="O71" s="55"/>
      <c r="P71" s="55"/>
      <c r="Q71" s="55"/>
      <c r="R71" s="55"/>
      <c r="S71" s="55"/>
    </row>
    <row r="72" spans="1:19" ht="21" customHeight="1">
      <c r="A72" s="24" t="s">
        <v>150</v>
      </c>
      <c r="B72" s="29" t="s">
        <v>632</v>
      </c>
      <c r="C72" s="60" t="b">
        <v>0</v>
      </c>
      <c r="D72" s="24" t="s">
        <v>585</v>
      </c>
      <c r="E72" s="24"/>
      <c r="F72" s="24"/>
      <c r="G72" s="24"/>
      <c r="H72" s="55"/>
      <c r="I72" s="55"/>
      <c r="J72" s="55"/>
      <c r="K72" s="55"/>
      <c r="L72" s="48"/>
      <c r="M72" s="55"/>
      <c r="N72" s="55"/>
      <c r="O72" s="55"/>
      <c r="P72" s="55"/>
      <c r="Q72" s="55"/>
      <c r="R72" s="55"/>
      <c r="S72" s="55"/>
    </row>
    <row r="73" spans="1:19" ht="21" customHeight="1">
      <c r="A73" s="24" t="s">
        <v>150</v>
      </c>
      <c r="B73" s="29" t="s">
        <v>633</v>
      </c>
      <c r="C73" s="60" t="b">
        <v>0</v>
      </c>
      <c r="D73" s="24" t="s">
        <v>585</v>
      </c>
      <c r="E73" s="24"/>
      <c r="F73" s="24"/>
      <c r="G73" s="24"/>
      <c r="H73" s="55"/>
      <c r="I73" s="55"/>
      <c r="J73" s="55"/>
      <c r="K73" s="55"/>
      <c r="L73" s="48"/>
      <c r="M73" s="55"/>
      <c r="N73" s="55"/>
      <c r="O73" s="55"/>
      <c r="P73" s="55"/>
      <c r="Q73" s="55"/>
      <c r="R73" s="55"/>
      <c r="S73" s="55"/>
    </row>
    <row r="74" spans="1:19" s="2" customFormat="1" ht="21" customHeight="1">
      <c r="A74" s="24" t="s">
        <v>150</v>
      </c>
      <c r="B74" s="29" t="s">
        <v>634</v>
      </c>
      <c r="C74" s="60" t="b">
        <v>0</v>
      </c>
      <c r="D74" s="24" t="s">
        <v>585</v>
      </c>
      <c r="E74" s="24"/>
      <c r="F74" s="24"/>
      <c r="G74" s="24"/>
      <c r="H74" s="55"/>
      <c r="I74" s="55"/>
      <c r="J74" s="55"/>
      <c r="K74" s="55"/>
      <c r="L74" s="55"/>
      <c r="M74" s="55"/>
      <c r="N74" s="55"/>
      <c r="O74" s="55"/>
      <c r="P74" s="55"/>
      <c r="Q74" s="55"/>
      <c r="R74" s="55"/>
      <c r="S74" s="55"/>
    </row>
    <row r="75" spans="1:19" s="2" customFormat="1" ht="21" customHeight="1">
      <c r="A75" s="24" t="s">
        <v>150</v>
      </c>
      <c r="B75" s="29" t="s">
        <v>635</v>
      </c>
      <c r="C75" s="60" t="b">
        <v>0</v>
      </c>
      <c r="D75" s="24" t="s">
        <v>585</v>
      </c>
      <c r="E75" s="24"/>
      <c r="F75" s="24"/>
      <c r="G75" s="24"/>
      <c r="H75" s="55"/>
      <c r="I75" s="55"/>
      <c r="J75" s="55"/>
      <c r="K75" s="55"/>
      <c r="L75" s="55"/>
      <c r="M75" s="55"/>
      <c r="N75" s="55"/>
      <c r="O75" s="55"/>
      <c r="P75" s="55"/>
      <c r="Q75" s="55"/>
      <c r="R75" s="55"/>
      <c r="S75" s="55"/>
    </row>
    <row r="76" spans="1:19" s="2" customFormat="1" ht="21" customHeight="1">
      <c r="A76" s="24" t="s">
        <v>150</v>
      </c>
      <c r="B76" s="29" t="s">
        <v>636</v>
      </c>
      <c r="C76" s="60" t="b">
        <v>0</v>
      </c>
      <c r="D76" s="24" t="s">
        <v>585</v>
      </c>
      <c r="E76" s="24"/>
      <c r="F76" s="24"/>
      <c r="G76" s="24"/>
      <c r="H76" s="55"/>
      <c r="I76" s="55"/>
      <c r="J76" s="55"/>
      <c r="K76" s="55"/>
      <c r="L76" s="55"/>
      <c r="M76" s="55"/>
      <c r="N76" s="55"/>
      <c r="O76" s="55"/>
      <c r="P76" s="55"/>
      <c r="Q76" s="55"/>
      <c r="R76" s="55"/>
      <c r="S76" s="55"/>
    </row>
    <row r="77" spans="1:19" s="2" customFormat="1" ht="21" customHeight="1">
      <c r="A77" s="24" t="s">
        <v>150</v>
      </c>
      <c r="B77" s="29" t="s">
        <v>637</v>
      </c>
      <c r="C77" s="60" t="b">
        <v>0</v>
      </c>
      <c r="D77" s="24" t="s">
        <v>585</v>
      </c>
      <c r="E77" s="24"/>
      <c r="F77" s="24"/>
      <c r="G77" s="24"/>
      <c r="H77" s="55"/>
      <c r="I77" s="55"/>
      <c r="J77" s="55"/>
      <c r="K77" s="55"/>
      <c r="L77" s="55"/>
      <c r="M77" s="55"/>
      <c r="N77" s="55"/>
      <c r="O77" s="55"/>
      <c r="P77" s="55"/>
      <c r="Q77" s="55"/>
      <c r="R77" s="55"/>
      <c r="S77" s="55"/>
    </row>
    <row r="78" spans="1:19" s="2" customFormat="1" ht="21" customHeight="1">
      <c r="A78" s="24" t="s">
        <v>150</v>
      </c>
      <c r="B78" s="29" t="s">
        <v>469</v>
      </c>
      <c r="C78" s="60" t="b">
        <v>0</v>
      </c>
      <c r="D78" s="24" t="s">
        <v>585</v>
      </c>
      <c r="E78" s="24"/>
      <c r="F78" s="24"/>
      <c r="G78" s="24"/>
      <c r="H78" s="55"/>
      <c r="I78" s="55"/>
      <c r="J78" s="55"/>
      <c r="K78" s="55"/>
      <c r="L78" s="55"/>
      <c r="M78" s="55"/>
      <c r="N78" s="55"/>
      <c r="O78" s="55"/>
      <c r="P78" s="55"/>
      <c r="Q78" s="55"/>
      <c r="R78" s="55"/>
      <c r="S78" s="55"/>
    </row>
    <row r="79" spans="1:19" s="2" customFormat="1" ht="21" customHeight="1">
      <c r="A79" s="24" t="s">
        <v>150</v>
      </c>
      <c r="B79" s="29" t="s">
        <v>638</v>
      </c>
      <c r="C79" s="60" t="b">
        <v>0</v>
      </c>
      <c r="D79" s="24" t="s">
        <v>585</v>
      </c>
      <c r="E79" s="24"/>
      <c r="F79" s="24"/>
      <c r="G79" s="24"/>
      <c r="H79" s="55"/>
      <c r="I79" s="55"/>
      <c r="J79" s="55"/>
      <c r="K79" s="55"/>
      <c r="L79" s="55"/>
      <c r="M79" s="55"/>
      <c r="N79" s="55"/>
      <c r="O79" s="55"/>
      <c r="P79" s="55"/>
      <c r="Q79" s="55"/>
      <c r="R79" s="55"/>
      <c r="S79" s="55"/>
    </row>
    <row r="80" spans="1:19" s="2" customFormat="1" ht="21" customHeight="1">
      <c r="A80" s="24" t="s">
        <v>150</v>
      </c>
      <c r="B80" s="29" t="s">
        <v>639</v>
      </c>
      <c r="C80" s="60" t="b">
        <v>0</v>
      </c>
      <c r="D80" s="24" t="s">
        <v>585</v>
      </c>
      <c r="E80" s="24"/>
      <c r="F80" s="24"/>
      <c r="G80" s="24"/>
      <c r="H80" s="55"/>
      <c r="I80" s="55"/>
      <c r="J80" s="55"/>
      <c r="K80" s="55"/>
      <c r="L80" s="55"/>
      <c r="M80" s="55"/>
      <c r="N80" s="55"/>
      <c r="O80" s="55"/>
      <c r="P80" s="55"/>
      <c r="Q80" s="55"/>
      <c r="R80" s="55"/>
      <c r="S80" s="55"/>
    </row>
    <row r="81" spans="1:19" s="2" customFormat="1" ht="21" customHeight="1">
      <c r="A81" s="24" t="s">
        <v>150</v>
      </c>
      <c r="B81" s="29" t="s">
        <v>640</v>
      </c>
      <c r="C81" s="60" t="b">
        <v>0</v>
      </c>
      <c r="D81" s="24" t="s">
        <v>585</v>
      </c>
      <c r="E81" s="24"/>
      <c r="F81" s="24"/>
      <c r="G81" s="24"/>
      <c r="H81" s="55"/>
      <c r="I81" s="55"/>
      <c r="J81" s="55"/>
      <c r="K81" s="55"/>
      <c r="L81" s="55"/>
      <c r="M81" s="55"/>
      <c r="N81" s="55"/>
      <c r="O81" s="55"/>
      <c r="P81" s="55"/>
      <c r="Q81" s="55"/>
      <c r="R81" s="55"/>
      <c r="S81" s="55"/>
    </row>
    <row r="82" spans="1:19" s="2" customFormat="1" ht="21" customHeight="1">
      <c r="A82" s="24" t="s">
        <v>150</v>
      </c>
      <c r="B82" s="29" t="s">
        <v>641</v>
      </c>
      <c r="C82" s="60" t="b">
        <v>0</v>
      </c>
      <c r="D82" s="24" t="s">
        <v>585</v>
      </c>
      <c r="E82" s="24"/>
      <c r="F82" s="24"/>
      <c r="G82" s="24"/>
      <c r="H82" s="55"/>
      <c r="I82" s="55"/>
      <c r="J82" s="55"/>
      <c r="K82" s="55"/>
      <c r="L82" s="55"/>
      <c r="M82" s="55"/>
      <c r="N82" s="55"/>
      <c r="O82" s="55"/>
      <c r="P82" s="55"/>
      <c r="Q82" s="55"/>
      <c r="R82" s="55"/>
      <c r="S82" s="55"/>
    </row>
    <row r="83" spans="1:19" s="2" customFormat="1" ht="21" customHeight="1">
      <c r="A83" s="24" t="s">
        <v>150</v>
      </c>
      <c r="B83" s="29" t="s">
        <v>642</v>
      </c>
      <c r="C83" s="60" t="b">
        <v>0</v>
      </c>
      <c r="D83" s="24" t="s">
        <v>585</v>
      </c>
      <c r="E83" s="24"/>
      <c r="F83" s="24"/>
      <c r="G83" s="24"/>
      <c r="H83" s="55"/>
      <c r="I83" s="55"/>
      <c r="J83" s="55"/>
      <c r="K83" s="55"/>
      <c r="L83" s="55"/>
      <c r="M83" s="55"/>
      <c r="N83" s="55"/>
      <c r="O83" s="55"/>
      <c r="P83" s="55"/>
      <c r="Q83" s="55"/>
      <c r="R83" s="55"/>
      <c r="S83" s="55"/>
    </row>
    <row r="84" spans="1:19" s="2" customFormat="1" ht="21" customHeight="1">
      <c r="A84" s="24" t="s">
        <v>150</v>
      </c>
      <c r="B84" s="29" t="s">
        <v>643</v>
      </c>
      <c r="C84" s="60" t="b">
        <v>0</v>
      </c>
      <c r="D84" s="24" t="s">
        <v>585</v>
      </c>
      <c r="E84" s="24"/>
      <c r="F84" s="24"/>
      <c r="G84" s="24"/>
      <c r="H84" s="55"/>
      <c r="I84" s="55"/>
      <c r="J84" s="55"/>
      <c r="K84" s="55"/>
      <c r="L84" s="55"/>
      <c r="M84" s="55"/>
      <c r="N84" s="55"/>
      <c r="O84" s="55"/>
      <c r="P84" s="55"/>
      <c r="Q84" s="55"/>
      <c r="R84" s="55"/>
      <c r="S84" s="55"/>
    </row>
    <row r="85" spans="1:19" ht="21" customHeight="1">
      <c r="A85" s="24" t="s">
        <v>150</v>
      </c>
      <c r="B85" s="29" t="s">
        <v>644</v>
      </c>
      <c r="C85" s="60" t="b">
        <v>0</v>
      </c>
      <c r="D85" s="24" t="s">
        <v>585</v>
      </c>
      <c r="E85" s="24"/>
      <c r="F85" s="24"/>
      <c r="G85" s="24"/>
      <c r="H85" s="55"/>
      <c r="I85" s="55"/>
      <c r="J85" s="55"/>
      <c r="K85" s="55"/>
      <c r="L85" s="48"/>
      <c r="M85" s="55"/>
      <c r="N85" s="55"/>
      <c r="O85" s="55"/>
      <c r="P85" s="55"/>
      <c r="Q85" s="55"/>
      <c r="R85" s="55"/>
      <c r="S85" s="55"/>
    </row>
    <row r="86" spans="1:19" ht="21" customHeight="1">
      <c r="A86" s="24" t="s">
        <v>150</v>
      </c>
      <c r="B86" s="29" t="s">
        <v>645</v>
      </c>
      <c r="C86" s="60" t="b">
        <v>0</v>
      </c>
      <c r="D86" s="24" t="s">
        <v>585</v>
      </c>
      <c r="E86" s="24"/>
      <c r="F86" s="24"/>
      <c r="G86" s="24"/>
      <c r="H86" s="55"/>
      <c r="I86" s="55"/>
      <c r="J86" s="55"/>
      <c r="K86" s="55"/>
      <c r="L86" s="48"/>
      <c r="M86" s="55"/>
      <c r="N86" s="55"/>
      <c r="O86" s="55"/>
      <c r="P86" s="55"/>
      <c r="Q86" s="55"/>
      <c r="R86" s="55"/>
      <c r="S86" s="55"/>
    </row>
    <row r="87" spans="1:19" s="2" customFormat="1" ht="18.95" customHeight="1">
      <c r="A87" s="55"/>
      <c r="B87" s="55"/>
      <c r="C87" s="55"/>
      <c r="D87" s="55"/>
      <c r="E87" s="55"/>
      <c r="F87" s="55"/>
      <c r="G87" s="55"/>
      <c r="H87" s="55"/>
      <c r="I87" s="55"/>
      <c r="J87" s="55"/>
      <c r="K87" s="55"/>
      <c r="L87" s="55"/>
      <c r="M87" s="55"/>
      <c r="N87" s="55"/>
      <c r="O87" s="55"/>
      <c r="P87" s="55"/>
      <c r="Q87" s="55"/>
      <c r="R87" s="55"/>
      <c r="S87" s="55"/>
    </row>
    <row r="88" spans="1:19" ht="21" customHeight="1">
      <c r="A88" s="150" t="s">
        <v>646</v>
      </c>
      <c r="B88" s="194"/>
      <c r="C88" s="194"/>
      <c r="D88" s="194"/>
      <c r="E88" s="194"/>
      <c r="F88" s="194"/>
      <c r="G88" s="194"/>
      <c r="H88" s="194"/>
      <c r="I88" s="194"/>
      <c r="J88" s="194"/>
      <c r="K88" s="194"/>
      <c r="L88" s="195"/>
      <c r="M88" s="55"/>
      <c r="N88" s="55"/>
      <c r="O88" s="55"/>
      <c r="P88" s="55"/>
      <c r="Q88" s="55"/>
      <c r="R88" s="55"/>
      <c r="S88" s="55"/>
    </row>
    <row r="89" spans="1:19" ht="26.1" customHeight="1">
      <c r="A89" s="22" t="s">
        <v>143</v>
      </c>
      <c r="B89" s="22" t="s">
        <v>647</v>
      </c>
      <c r="C89" s="22" t="s">
        <v>354</v>
      </c>
      <c r="D89" s="22" t="s">
        <v>355</v>
      </c>
      <c r="E89" s="22" t="s">
        <v>356</v>
      </c>
      <c r="F89" s="22" t="s">
        <v>357</v>
      </c>
      <c r="G89" s="22" t="s">
        <v>358</v>
      </c>
      <c r="H89" s="22"/>
      <c r="I89" s="22"/>
      <c r="J89" s="22"/>
      <c r="K89" s="22"/>
      <c r="L89" s="22"/>
      <c r="M89" s="55"/>
      <c r="N89" s="55"/>
      <c r="O89" s="55"/>
      <c r="P89" s="55"/>
      <c r="Q89" s="55"/>
      <c r="R89" s="55"/>
      <c r="S89" s="55"/>
    </row>
    <row r="90" spans="1:19" ht="21" customHeight="1">
      <c r="A90" s="24" t="s">
        <v>157</v>
      </c>
      <c r="B90" s="29" t="s">
        <v>648</v>
      </c>
      <c r="C90" s="60" t="b">
        <v>0</v>
      </c>
      <c r="D90" s="24" t="s">
        <v>649</v>
      </c>
      <c r="E90" s="24"/>
      <c r="F90" s="24"/>
      <c r="G90" s="24"/>
      <c r="H90" s="55"/>
      <c r="I90" s="55"/>
      <c r="J90" s="55"/>
      <c r="K90" s="55"/>
      <c r="L90" s="48"/>
      <c r="M90" s="55"/>
      <c r="N90" s="55"/>
      <c r="O90" s="55"/>
      <c r="P90" s="55"/>
      <c r="Q90" s="55"/>
      <c r="R90" s="55"/>
      <c r="S90" s="55"/>
    </row>
    <row r="91" spans="1:19" ht="21" customHeight="1">
      <c r="A91" s="24" t="s">
        <v>157</v>
      </c>
      <c r="B91" s="29" t="s">
        <v>650</v>
      </c>
      <c r="C91" s="60" t="b">
        <v>0</v>
      </c>
      <c r="D91" s="24" t="s">
        <v>649</v>
      </c>
      <c r="E91" s="24"/>
      <c r="F91" s="24"/>
      <c r="G91" s="24"/>
      <c r="H91" s="55"/>
      <c r="I91" s="55"/>
      <c r="J91" s="55"/>
      <c r="K91" s="55"/>
      <c r="L91" s="48"/>
      <c r="M91" s="55"/>
      <c r="N91" s="55"/>
      <c r="O91" s="55"/>
      <c r="P91" s="55"/>
      <c r="Q91" s="55"/>
      <c r="R91" s="55"/>
      <c r="S91" s="55"/>
    </row>
    <row r="92" spans="1:19" ht="21" customHeight="1">
      <c r="A92" s="24" t="s">
        <v>157</v>
      </c>
      <c r="B92" s="29" t="s">
        <v>651</v>
      </c>
      <c r="C92" s="60" t="b">
        <v>0</v>
      </c>
      <c r="D92" s="24" t="s">
        <v>649</v>
      </c>
      <c r="E92" s="24"/>
      <c r="F92" s="24"/>
      <c r="G92" s="24"/>
      <c r="H92" s="55"/>
      <c r="I92" s="55"/>
      <c r="J92" s="55"/>
      <c r="K92" s="55"/>
      <c r="L92" s="48"/>
      <c r="M92" s="55"/>
      <c r="N92" s="55"/>
      <c r="O92" s="55"/>
      <c r="P92" s="55"/>
      <c r="Q92" s="55"/>
      <c r="R92" s="55"/>
      <c r="S92" s="55"/>
    </row>
    <row r="93" spans="1:19" ht="21" customHeight="1">
      <c r="A93" s="24" t="s">
        <v>157</v>
      </c>
      <c r="B93" s="29" t="s">
        <v>652</v>
      </c>
      <c r="C93" s="60" t="b">
        <v>0</v>
      </c>
      <c r="D93" s="24" t="s">
        <v>649</v>
      </c>
      <c r="E93" s="24"/>
      <c r="F93" s="24"/>
      <c r="G93" s="24"/>
      <c r="H93" s="55"/>
      <c r="I93" s="55"/>
      <c r="J93" s="55"/>
      <c r="K93" s="55"/>
      <c r="L93" s="48"/>
      <c r="M93" s="55"/>
      <c r="N93" s="55"/>
      <c r="O93" s="55"/>
      <c r="P93" s="55"/>
      <c r="Q93" s="55"/>
      <c r="R93" s="55"/>
      <c r="S93" s="55"/>
    </row>
    <row r="94" spans="1:19" ht="21" customHeight="1">
      <c r="A94" s="24" t="s">
        <v>157</v>
      </c>
      <c r="B94" s="29" t="s">
        <v>653</v>
      </c>
      <c r="C94" s="60" t="b">
        <v>0</v>
      </c>
      <c r="D94" s="24" t="s">
        <v>649</v>
      </c>
      <c r="E94" s="24"/>
      <c r="F94" s="24"/>
      <c r="G94" s="24"/>
      <c r="H94" s="55"/>
      <c r="I94" s="55"/>
      <c r="J94" s="55"/>
      <c r="K94" s="55"/>
      <c r="L94" s="48"/>
      <c r="M94" s="55"/>
      <c r="N94" s="55"/>
      <c r="O94" s="55"/>
      <c r="P94" s="55"/>
      <c r="Q94" s="55"/>
      <c r="R94" s="55"/>
      <c r="S94" s="55"/>
    </row>
    <row r="95" spans="1:19" s="2" customFormat="1" ht="21" customHeight="1">
      <c r="A95" s="24" t="s">
        <v>157</v>
      </c>
      <c r="B95" s="29" t="s">
        <v>654</v>
      </c>
      <c r="C95" s="60" t="b">
        <v>0</v>
      </c>
      <c r="D95" s="24" t="s">
        <v>649</v>
      </c>
      <c r="E95" s="24"/>
      <c r="F95" s="24"/>
      <c r="G95" s="24"/>
      <c r="H95" s="55"/>
      <c r="I95" s="55"/>
      <c r="J95" s="55"/>
      <c r="K95" s="55"/>
      <c r="L95" s="55"/>
      <c r="M95" s="55"/>
      <c r="N95" s="55"/>
      <c r="O95" s="55"/>
      <c r="P95" s="55"/>
      <c r="Q95" s="55"/>
      <c r="R95" s="55"/>
      <c r="S95" s="55"/>
    </row>
    <row r="96" spans="1:19" s="2" customFormat="1" ht="21" customHeight="1">
      <c r="A96" s="24" t="s">
        <v>157</v>
      </c>
      <c r="B96" s="29" t="s">
        <v>655</v>
      </c>
      <c r="C96" s="60" t="b">
        <v>0</v>
      </c>
      <c r="D96" s="24" t="s">
        <v>649</v>
      </c>
      <c r="E96" s="24"/>
      <c r="F96" s="24"/>
      <c r="G96" s="24"/>
      <c r="H96" s="55"/>
      <c r="I96" s="55"/>
      <c r="J96" s="55"/>
      <c r="K96" s="55"/>
      <c r="L96" s="55"/>
      <c r="M96" s="55"/>
      <c r="N96" s="55"/>
      <c r="O96" s="55"/>
      <c r="P96" s="55"/>
      <c r="Q96" s="55"/>
      <c r="R96" s="55"/>
      <c r="S96" s="55"/>
    </row>
    <row r="97" spans="1:19" s="2" customFormat="1" ht="21" customHeight="1">
      <c r="A97" s="24" t="s">
        <v>157</v>
      </c>
      <c r="B97" s="29" t="s">
        <v>656</v>
      </c>
      <c r="C97" s="60" t="b">
        <v>0</v>
      </c>
      <c r="D97" s="24" t="s">
        <v>649</v>
      </c>
      <c r="E97" s="24"/>
      <c r="F97" s="24"/>
      <c r="G97" s="24"/>
      <c r="H97" s="55"/>
      <c r="I97" s="55"/>
      <c r="J97" s="55"/>
      <c r="K97" s="55"/>
      <c r="L97" s="55"/>
      <c r="M97" s="55"/>
      <c r="N97" s="55"/>
      <c r="O97" s="55"/>
      <c r="P97" s="55"/>
      <c r="Q97" s="55"/>
      <c r="R97" s="55"/>
      <c r="S97" s="55"/>
    </row>
    <row r="98" spans="1:19" s="2" customFormat="1" ht="21" customHeight="1">
      <c r="A98" s="24" t="s">
        <v>157</v>
      </c>
      <c r="B98" s="29" t="s">
        <v>657</v>
      </c>
      <c r="C98" s="60" t="b">
        <v>0</v>
      </c>
      <c r="D98" s="24" t="s">
        <v>649</v>
      </c>
      <c r="E98" s="24"/>
      <c r="F98" s="24"/>
      <c r="G98" s="24"/>
      <c r="H98" s="55"/>
      <c r="I98" s="55"/>
      <c r="J98" s="55"/>
      <c r="K98" s="55"/>
      <c r="L98" s="55"/>
      <c r="M98" s="55"/>
      <c r="N98" s="55"/>
      <c r="O98" s="55"/>
      <c r="P98" s="55"/>
      <c r="Q98" s="55"/>
      <c r="R98" s="55"/>
      <c r="S98" s="55"/>
    </row>
    <row r="99" spans="1:19" s="2" customFormat="1" ht="21" customHeight="1">
      <c r="A99" s="24" t="s">
        <v>157</v>
      </c>
      <c r="B99" s="29" t="s">
        <v>658</v>
      </c>
      <c r="C99" s="60" t="b">
        <v>0</v>
      </c>
      <c r="D99" s="24" t="s">
        <v>649</v>
      </c>
      <c r="E99" s="24"/>
      <c r="F99" s="24"/>
      <c r="G99" s="24"/>
      <c r="H99" s="55"/>
      <c r="I99" s="55"/>
      <c r="J99" s="55"/>
      <c r="K99" s="55"/>
      <c r="L99" s="55"/>
      <c r="M99" s="55"/>
      <c r="N99" s="55"/>
      <c r="O99" s="55"/>
      <c r="P99" s="55"/>
      <c r="Q99" s="55"/>
      <c r="R99" s="55"/>
      <c r="S99" s="55"/>
    </row>
    <row r="100" spans="1:19" s="2" customFormat="1" ht="21" customHeight="1">
      <c r="A100" s="24" t="s">
        <v>157</v>
      </c>
      <c r="B100" s="29" t="s">
        <v>659</v>
      </c>
      <c r="C100" s="60" t="b">
        <v>0</v>
      </c>
      <c r="D100" s="24" t="s">
        <v>649</v>
      </c>
      <c r="E100" s="24"/>
      <c r="F100" s="24"/>
      <c r="G100" s="24"/>
      <c r="H100" s="55"/>
      <c r="I100" s="55"/>
      <c r="J100" s="55"/>
      <c r="K100" s="55"/>
      <c r="L100" s="55"/>
      <c r="M100" s="55"/>
      <c r="N100" s="55"/>
      <c r="O100" s="55"/>
      <c r="P100" s="55"/>
      <c r="Q100" s="55"/>
      <c r="R100" s="55"/>
      <c r="S100" s="55"/>
    </row>
    <row r="101" spans="1:19" s="2" customFormat="1" ht="21" customHeight="1">
      <c r="A101" s="24" t="s">
        <v>157</v>
      </c>
      <c r="B101" s="29" t="s">
        <v>660</v>
      </c>
      <c r="C101" s="60" t="b">
        <v>0</v>
      </c>
      <c r="D101" s="24" t="s">
        <v>649</v>
      </c>
      <c r="E101" s="24"/>
      <c r="F101" s="24"/>
      <c r="G101" s="24"/>
      <c r="H101" s="55"/>
      <c r="I101" s="55"/>
      <c r="J101" s="55"/>
      <c r="K101" s="55"/>
      <c r="L101" s="55"/>
      <c r="M101" s="55"/>
      <c r="N101" s="55"/>
      <c r="O101" s="55"/>
      <c r="P101" s="55"/>
      <c r="Q101" s="55"/>
      <c r="R101" s="55"/>
      <c r="S101" s="55"/>
    </row>
    <row r="102" spans="1:19" s="2" customFormat="1" ht="21" customHeight="1">
      <c r="A102" s="24" t="s">
        <v>157</v>
      </c>
      <c r="B102" s="29" t="s">
        <v>661</v>
      </c>
      <c r="C102" s="60" t="b">
        <v>0</v>
      </c>
      <c r="D102" s="24" t="s">
        <v>649</v>
      </c>
      <c r="E102" s="24"/>
      <c r="F102" s="24"/>
      <c r="G102" s="24"/>
      <c r="H102" s="55"/>
      <c r="I102" s="55"/>
      <c r="J102" s="55"/>
      <c r="K102" s="55"/>
      <c r="L102" s="55"/>
      <c r="M102" s="55"/>
      <c r="N102" s="55"/>
      <c r="O102" s="55"/>
      <c r="P102" s="55"/>
      <c r="Q102" s="55"/>
      <c r="R102" s="55"/>
      <c r="S102" s="55"/>
    </row>
    <row r="103" spans="1:19" s="2" customFormat="1" ht="21" customHeight="1">
      <c r="A103" s="24" t="s">
        <v>157</v>
      </c>
      <c r="B103" s="29" t="s">
        <v>662</v>
      </c>
      <c r="C103" s="60" t="b">
        <v>0</v>
      </c>
      <c r="D103" s="24" t="s">
        <v>649</v>
      </c>
      <c r="E103" s="24"/>
      <c r="F103" s="24"/>
      <c r="G103" s="24"/>
      <c r="H103" s="55"/>
      <c r="I103" s="55"/>
      <c r="J103" s="55"/>
      <c r="K103" s="55"/>
      <c r="L103" s="55"/>
      <c r="M103" s="55"/>
      <c r="N103" s="55"/>
      <c r="O103" s="55"/>
      <c r="P103" s="55"/>
      <c r="Q103" s="55"/>
      <c r="R103" s="55"/>
      <c r="S103" s="55"/>
    </row>
    <row r="104" spans="1:19" s="2" customFormat="1" ht="21" customHeight="1">
      <c r="A104" s="24" t="s">
        <v>157</v>
      </c>
      <c r="B104" s="29" t="s">
        <v>663</v>
      </c>
      <c r="C104" s="60" t="b">
        <v>0</v>
      </c>
      <c r="D104" s="24" t="s">
        <v>649</v>
      </c>
      <c r="E104" s="24"/>
      <c r="F104" s="24"/>
      <c r="G104" s="24"/>
      <c r="H104" s="55"/>
      <c r="I104" s="55"/>
      <c r="J104" s="55"/>
      <c r="K104" s="55"/>
      <c r="L104" s="55"/>
      <c r="M104" s="55"/>
      <c r="N104" s="55"/>
      <c r="O104" s="55"/>
      <c r="P104" s="55"/>
      <c r="Q104" s="55"/>
      <c r="R104" s="55"/>
      <c r="S104" s="55"/>
    </row>
    <row r="105" spans="1:19" s="2" customFormat="1" ht="21" customHeight="1">
      <c r="A105" s="24" t="s">
        <v>157</v>
      </c>
      <c r="B105" s="29" t="s">
        <v>664</v>
      </c>
      <c r="C105" s="60" t="b">
        <v>0</v>
      </c>
      <c r="D105" s="24" t="s">
        <v>649</v>
      </c>
      <c r="E105" s="24"/>
      <c r="F105" s="24"/>
      <c r="G105" s="24"/>
      <c r="H105" s="55"/>
      <c r="I105" s="55"/>
      <c r="J105" s="55"/>
      <c r="K105" s="55"/>
      <c r="L105" s="55"/>
      <c r="M105" s="55"/>
      <c r="N105" s="55"/>
      <c r="O105" s="55"/>
      <c r="P105" s="55"/>
      <c r="Q105" s="55"/>
      <c r="R105" s="55"/>
      <c r="S105" s="55"/>
    </row>
    <row r="106" spans="1:19" s="2" customFormat="1" ht="21" customHeight="1">
      <c r="A106" s="24" t="s">
        <v>157</v>
      </c>
      <c r="B106" s="29" t="s">
        <v>665</v>
      </c>
      <c r="C106" s="60" t="b">
        <v>0</v>
      </c>
      <c r="D106" s="24" t="s">
        <v>649</v>
      </c>
      <c r="E106" s="24"/>
      <c r="F106" s="24"/>
      <c r="G106" s="24"/>
      <c r="H106" s="55"/>
      <c r="I106" s="55"/>
      <c r="J106" s="55"/>
      <c r="K106" s="55"/>
      <c r="L106" s="55"/>
      <c r="M106" s="55"/>
      <c r="N106" s="55"/>
      <c r="O106" s="55"/>
      <c r="P106" s="55"/>
      <c r="Q106" s="55"/>
      <c r="R106" s="55"/>
      <c r="S106" s="55"/>
    </row>
    <row r="107" spans="1:19" s="2" customFormat="1" ht="21" customHeight="1">
      <c r="A107" s="24" t="s">
        <v>157</v>
      </c>
      <c r="B107" s="29" t="s">
        <v>666</v>
      </c>
      <c r="C107" s="60" t="b">
        <v>0</v>
      </c>
      <c r="D107" s="24" t="s">
        <v>649</v>
      </c>
      <c r="E107" s="24"/>
      <c r="F107" s="24"/>
      <c r="G107" s="24"/>
      <c r="H107" s="55"/>
      <c r="I107" s="55"/>
      <c r="J107" s="55"/>
      <c r="K107" s="55"/>
      <c r="L107" s="55"/>
      <c r="M107" s="55"/>
      <c r="N107" s="55"/>
      <c r="O107" s="55"/>
      <c r="P107" s="55"/>
      <c r="Q107" s="55"/>
      <c r="R107" s="55"/>
      <c r="S107" s="55"/>
    </row>
    <row r="108" spans="1:19" s="2" customFormat="1" ht="21" customHeight="1">
      <c r="A108" s="24" t="s">
        <v>157</v>
      </c>
      <c r="B108" s="29" t="s">
        <v>667</v>
      </c>
      <c r="C108" s="60" t="b">
        <v>0</v>
      </c>
      <c r="D108" s="24" t="s">
        <v>649</v>
      </c>
      <c r="E108" s="24"/>
      <c r="F108" s="24"/>
      <c r="G108" s="24"/>
      <c r="H108" s="55"/>
      <c r="I108" s="55"/>
      <c r="J108" s="55"/>
      <c r="K108" s="55"/>
      <c r="L108" s="55"/>
      <c r="M108" s="55"/>
      <c r="N108" s="55"/>
      <c r="O108" s="55"/>
      <c r="P108" s="55"/>
      <c r="Q108" s="55"/>
      <c r="R108" s="55"/>
      <c r="S108" s="55"/>
    </row>
    <row r="109" spans="1:19" ht="26.1" customHeight="1">
      <c r="A109" s="24" t="s">
        <v>157</v>
      </c>
      <c r="B109" s="29" t="s">
        <v>474</v>
      </c>
      <c r="C109" s="60" t="b">
        <v>0</v>
      </c>
      <c r="D109" s="24" t="s">
        <v>649</v>
      </c>
      <c r="E109" s="24"/>
      <c r="F109" s="24"/>
      <c r="G109" s="24"/>
      <c r="H109" s="55"/>
      <c r="I109" s="55"/>
      <c r="J109" s="55"/>
      <c r="K109" s="55"/>
      <c r="L109" s="48"/>
      <c r="M109" s="55"/>
      <c r="N109" s="55"/>
      <c r="O109" s="55"/>
      <c r="P109" s="55"/>
      <c r="Q109" s="55"/>
      <c r="R109" s="55"/>
      <c r="S109" s="55"/>
    </row>
    <row r="110" spans="1:19" s="2" customFormat="1" ht="18.95" customHeight="1">
      <c r="A110" s="55"/>
      <c r="B110" s="55"/>
      <c r="C110" s="55"/>
      <c r="D110" s="55"/>
      <c r="E110" s="55"/>
      <c r="F110" s="55"/>
      <c r="G110" s="55"/>
      <c r="H110" s="55"/>
      <c r="I110" s="55"/>
      <c r="J110" s="55"/>
      <c r="K110" s="55"/>
      <c r="L110" s="55"/>
      <c r="M110" s="55"/>
      <c r="N110" s="55"/>
      <c r="O110" s="55"/>
      <c r="P110" s="55"/>
      <c r="Q110" s="55"/>
      <c r="R110" s="55"/>
      <c r="S110" s="55"/>
    </row>
    <row r="111" spans="1:19" ht="26.1" customHeight="1">
      <c r="A111" s="150" t="s">
        <v>668</v>
      </c>
      <c r="B111" s="194"/>
      <c r="C111" s="194"/>
      <c r="D111" s="194"/>
      <c r="E111" s="194"/>
      <c r="F111" s="194"/>
      <c r="G111" s="194"/>
      <c r="H111" s="194"/>
      <c r="I111" s="194"/>
      <c r="J111" s="194"/>
      <c r="K111" s="194"/>
      <c r="L111" s="195"/>
      <c r="M111" s="55"/>
      <c r="N111" s="55"/>
      <c r="O111" s="55"/>
      <c r="P111" s="55"/>
      <c r="Q111" s="55"/>
      <c r="R111" s="55"/>
      <c r="S111" s="55"/>
    </row>
    <row r="112" spans="1:19" ht="26.1" customHeight="1">
      <c r="A112" s="22" t="s">
        <v>143</v>
      </c>
      <c r="B112" s="22" t="s">
        <v>476</v>
      </c>
      <c r="C112" s="22" t="s">
        <v>354</v>
      </c>
      <c r="D112" s="22" t="s">
        <v>355</v>
      </c>
      <c r="E112" s="22" t="s">
        <v>356</v>
      </c>
      <c r="F112" s="22" t="s">
        <v>357</v>
      </c>
      <c r="G112" s="22" t="s">
        <v>358</v>
      </c>
      <c r="H112" s="22"/>
      <c r="I112" s="22"/>
      <c r="J112" s="22"/>
      <c r="K112" s="22"/>
      <c r="L112" s="22"/>
      <c r="M112" s="55"/>
      <c r="N112" s="55"/>
      <c r="O112" s="55"/>
      <c r="P112" s="55"/>
      <c r="Q112" s="55"/>
      <c r="R112" s="55"/>
      <c r="S112" s="55"/>
    </row>
    <row r="113" spans="1:19" ht="26.1" customHeight="1">
      <c r="A113" s="24" t="s">
        <v>157</v>
      </c>
      <c r="B113" s="29" t="s">
        <v>669</v>
      </c>
      <c r="C113" s="60" t="b">
        <v>0</v>
      </c>
      <c r="D113" s="24" t="s">
        <v>204</v>
      </c>
      <c r="E113" s="24"/>
      <c r="F113" s="24"/>
      <c r="G113" s="24"/>
      <c r="H113" s="55"/>
      <c r="I113" s="55"/>
      <c r="J113" s="55"/>
      <c r="K113" s="55"/>
      <c r="L113" s="48"/>
      <c r="M113" s="55"/>
      <c r="N113" s="55"/>
      <c r="O113" s="55"/>
      <c r="P113" s="55"/>
      <c r="Q113" s="55"/>
      <c r="R113" s="55"/>
      <c r="S113" s="55"/>
    </row>
    <row r="114" spans="1:19" ht="26.1" customHeight="1">
      <c r="A114" s="24" t="s">
        <v>157</v>
      </c>
      <c r="B114" s="29" t="s">
        <v>670</v>
      </c>
      <c r="C114" s="60" t="b">
        <v>0</v>
      </c>
      <c r="D114" s="24" t="s">
        <v>204</v>
      </c>
      <c r="E114" s="24"/>
      <c r="F114" s="24"/>
      <c r="G114" s="24"/>
      <c r="H114" s="55"/>
      <c r="I114" s="55"/>
      <c r="J114" s="55"/>
      <c r="K114" s="55"/>
      <c r="L114" s="48"/>
      <c r="M114" s="55"/>
      <c r="N114" s="55"/>
      <c r="O114" s="55"/>
      <c r="P114" s="55"/>
      <c r="Q114" s="55"/>
      <c r="R114" s="55"/>
      <c r="S114" s="55"/>
    </row>
    <row r="115" spans="1:19" ht="26.1" customHeight="1">
      <c r="A115" s="24" t="s">
        <v>157</v>
      </c>
      <c r="B115" s="29" t="s">
        <v>671</v>
      </c>
      <c r="C115" s="60" t="b">
        <v>0</v>
      </c>
      <c r="D115" s="24" t="s">
        <v>204</v>
      </c>
      <c r="E115" s="24"/>
      <c r="F115" s="24"/>
      <c r="G115" s="24"/>
      <c r="H115" s="55"/>
      <c r="I115" s="55"/>
      <c r="J115" s="55"/>
      <c r="K115" s="55"/>
      <c r="L115" s="48"/>
      <c r="M115" s="55"/>
      <c r="N115" s="55"/>
      <c r="O115" s="55"/>
      <c r="P115" s="55"/>
      <c r="Q115" s="55"/>
      <c r="R115" s="55"/>
      <c r="S115" s="55"/>
    </row>
    <row r="116" spans="1:19" ht="26.1" customHeight="1">
      <c r="A116" s="24" t="s">
        <v>157</v>
      </c>
      <c r="B116" s="29" t="s">
        <v>672</v>
      </c>
      <c r="C116" s="60" t="b">
        <v>0</v>
      </c>
      <c r="D116" s="24" t="s">
        <v>204</v>
      </c>
      <c r="E116" s="24"/>
      <c r="F116" s="24"/>
      <c r="G116" s="24"/>
      <c r="H116" s="55"/>
      <c r="I116" s="55"/>
      <c r="J116" s="55"/>
      <c r="K116" s="55"/>
      <c r="L116" s="48"/>
      <c r="M116" s="55"/>
      <c r="N116" s="55"/>
      <c r="O116" s="55"/>
      <c r="P116" s="55"/>
      <c r="Q116" s="55"/>
      <c r="R116" s="55"/>
      <c r="S116" s="55"/>
    </row>
    <row r="117" spans="1:19" ht="26.1" customHeight="1">
      <c r="A117" s="24" t="s">
        <v>157</v>
      </c>
      <c r="B117" s="29" t="s">
        <v>673</v>
      </c>
      <c r="C117" s="60" t="b">
        <v>0</v>
      </c>
      <c r="D117" s="24" t="s">
        <v>204</v>
      </c>
      <c r="E117" s="24"/>
      <c r="F117" s="24"/>
      <c r="G117" s="24"/>
      <c r="H117" s="55"/>
      <c r="I117" s="55"/>
      <c r="J117" s="55"/>
      <c r="K117" s="55"/>
      <c r="L117" s="48"/>
      <c r="M117" s="55"/>
      <c r="N117" s="55"/>
      <c r="O117" s="55"/>
      <c r="P117" s="55"/>
      <c r="Q117" s="55"/>
      <c r="R117" s="55"/>
      <c r="S117" s="55"/>
    </row>
    <row r="118" spans="1:19" ht="26.1" customHeight="1">
      <c r="A118" s="24" t="s">
        <v>157</v>
      </c>
      <c r="B118" s="29" t="s">
        <v>674</v>
      </c>
      <c r="C118" s="60" t="b">
        <v>0</v>
      </c>
      <c r="D118" s="24" t="s">
        <v>204</v>
      </c>
      <c r="E118" s="24"/>
      <c r="F118" s="24"/>
      <c r="G118" s="24"/>
      <c r="H118" s="55"/>
      <c r="I118" s="55"/>
      <c r="J118" s="55"/>
      <c r="K118" s="55"/>
      <c r="L118" s="48"/>
      <c r="M118" s="55"/>
      <c r="N118" s="55"/>
      <c r="O118" s="55"/>
      <c r="P118" s="55"/>
      <c r="Q118" s="55"/>
      <c r="R118" s="55"/>
      <c r="S118" s="55"/>
    </row>
    <row r="119" spans="1:19" ht="26.1" customHeight="1">
      <c r="A119" s="24" t="s">
        <v>157</v>
      </c>
      <c r="B119" s="29" t="s">
        <v>675</v>
      </c>
      <c r="C119" s="60" t="b">
        <v>0</v>
      </c>
      <c r="D119" s="24" t="s">
        <v>204</v>
      </c>
      <c r="E119" s="24"/>
      <c r="F119" s="24"/>
      <c r="G119" s="24"/>
      <c r="H119" s="55"/>
      <c r="I119" s="55"/>
      <c r="J119" s="55"/>
      <c r="K119" s="55"/>
      <c r="L119" s="48"/>
      <c r="M119" s="55"/>
      <c r="N119" s="55"/>
      <c r="O119" s="55"/>
      <c r="P119" s="55"/>
      <c r="Q119" s="55"/>
      <c r="R119" s="55"/>
      <c r="S119" s="55"/>
    </row>
    <row r="120" spans="1:19" ht="26.1" customHeight="1">
      <c r="A120" s="24" t="s">
        <v>157</v>
      </c>
      <c r="B120" s="29" t="s">
        <v>676</v>
      </c>
      <c r="C120" s="60" t="b">
        <v>0</v>
      </c>
      <c r="D120" s="24" t="s">
        <v>204</v>
      </c>
      <c r="E120" s="24"/>
      <c r="F120" s="24"/>
      <c r="G120" s="24"/>
      <c r="H120" s="55"/>
      <c r="I120" s="55"/>
      <c r="J120" s="55"/>
      <c r="K120" s="55"/>
      <c r="L120" s="48"/>
      <c r="M120" s="55"/>
      <c r="N120" s="55"/>
      <c r="O120" s="55"/>
      <c r="P120" s="55"/>
      <c r="Q120" s="55"/>
      <c r="R120" s="55"/>
      <c r="S120" s="55"/>
    </row>
    <row r="121" spans="1:19" ht="26.1" customHeight="1">
      <c r="A121" s="24" t="s">
        <v>157</v>
      </c>
      <c r="B121" s="29" t="s">
        <v>677</v>
      </c>
      <c r="C121" s="60" t="b">
        <v>0</v>
      </c>
      <c r="D121" s="24" t="s">
        <v>204</v>
      </c>
      <c r="E121" s="24"/>
      <c r="F121" s="24"/>
      <c r="G121" s="24"/>
      <c r="H121" s="55"/>
      <c r="I121" s="55"/>
      <c r="J121" s="55"/>
      <c r="K121" s="55"/>
      <c r="L121" s="48"/>
      <c r="M121" s="55"/>
      <c r="N121" s="55"/>
      <c r="O121" s="55"/>
      <c r="P121" s="55"/>
      <c r="Q121" s="55"/>
      <c r="R121" s="55"/>
      <c r="S121" s="55"/>
    </row>
    <row r="122" spans="1:19" s="2" customFormat="1" ht="26.1" customHeight="1">
      <c r="A122" s="24" t="s">
        <v>157</v>
      </c>
      <c r="B122" s="29" t="s">
        <v>678</v>
      </c>
      <c r="C122" s="60" t="b">
        <v>0</v>
      </c>
      <c r="D122" s="24" t="s">
        <v>204</v>
      </c>
      <c r="E122" s="24"/>
      <c r="F122" s="24"/>
      <c r="G122" s="24"/>
      <c r="H122" s="55"/>
      <c r="I122" s="55"/>
      <c r="J122" s="55"/>
      <c r="K122" s="55"/>
      <c r="L122" s="55"/>
      <c r="M122" s="55"/>
      <c r="N122" s="55"/>
      <c r="O122" s="55"/>
      <c r="P122" s="55"/>
      <c r="Q122" s="55"/>
      <c r="R122" s="55"/>
      <c r="S122" s="55"/>
    </row>
    <row r="123" spans="1:19" s="2" customFormat="1" ht="26.1" customHeight="1">
      <c r="A123" s="24" t="s">
        <v>157</v>
      </c>
      <c r="B123" s="29" t="s">
        <v>679</v>
      </c>
      <c r="C123" s="60" t="b">
        <v>0</v>
      </c>
      <c r="D123" s="24" t="s">
        <v>204</v>
      </c>
      <c r="E123" s="24"/>
      <c r="F123" s="24"/>
      <c r="G123" s="24"/>
      <c r="H123" s="55"/>
      <c r="I123" s="55"/>
      <c r="J123" s="55"/>
      <c r="K123" s="55"/>
      <c r="L123" s="55"/>
      <c r="M123" s="55"/>
      <c r="N123" s="55"/>
      <c r="O123" s="55"/>
      <c r="P123" s="55"/>
      <c r="Q123" s="55"/>
      <c r="R123" s="55"/>
      <c r="S123" s="55"/>
    </row>
    <row r="124" spans="1:19" s="2" customFormat="1" ht="26.1" customHeight="1">
      <c r="A124" s="24" t="s">
        <v>157</v>
      </c>
      <c r="B124" s="29" t="s">
        <v>680</v>
      </c>
      <c r="C124" s="60" t="b">
        <v>0</v>
      </c>
      <c r="D124" s="24" t="s">
        <v>204</v>
      </c>
      <c r="E124" s="24"/>
      <c r="F124" s="24"/>
      <c r="G124" s="24"/>
      <c r="H124" s="55"/>
      <c r="I124" s="55"/>
      <c r="J124" s="55"/>
      <c r="K124" s="55"/>
      <c r="L124" s="55"/>
      <c r="M124" s="55"/>
      <c r="N124" s="55"/>
      <c r="O124" s="55"/>
      <c r="P124" s="55"/>
      <c r="Q124" s="55"/>
      <c r="R124" s="55"/>
      <c r="S124" s="55"/>
    </row>
    <row r="125" spans="1:19" s="2" customFormat="1" ht="26.1" customHeight="1">
      <c r="A125" s="24" t="s">
        <v>157</v>
      </c>
      <c r="B125" s="29" t="s">
        <v>681</v>
      </c>
      <c r="C125" s="60" t="b">
        <v>0</v>
      </c>
      <c r="D125" s="24" t="s">
        <v>204</v>
      </c>
      <c r="E125" s="24"/>
      <c r="F125" s="24"/>
      <c r="G125" s="24"/>
      <c r="H125" s="55"/>
      <c r="I125" s="55"/>
      <c r="J125" s="55"/>
      <c r="K125" s="55"/>
      <c r="L125" s="55"/>
      <c r="M125" s="55"/>
      <c r="N125" s="55"/>
      <c r="O125" s="55"/>
      <c r="P125" s="55"/>
      <c r="Q125" s="55"/>
      <c r="R125" s="55"/>
      <c r="S125" s="55"/>
    </row>
    <row r="126" spans="1:19" s="2" customFormat="1" ht="26.1" customHeight="1">
      <c r="A126" s="24" t="s">
        <v>157</v>
      </c>
      <c r="B126" s="29" t="s">
        <v>474</v>
      </c>
      <c r="C126" s="60" t="b">
        <v>0</v>
      </c>
      <c r="D126" s="24" t="s">
        <v>204</v>
      </c>
      <c r="E126" s="24"/>
      <c r="F126" s="24"/>
      <c r="G126" s="24"/>
      <c r="H126" s="55"/>
      <c r="I126" s="55"/>
      <c r="J126" s="55"/>
      <c r="K126" s="55"/>
      <c r="L126" s="55"/>
      <c r="M126" s="55"/>
      <c r="N126" s="55"/>
      <c r="O126" s="55"/>
      <c r="P126" s="55"/>
      <c r="Q126" s="55"/>
      <c r="R126" s="55"/>
      <c r="S126" s="55"/>
    </row>
    <row r="127" spans="1:19" s="2" customFormat="1" ht="18.95" customHeight="1">
      <c r="A127" s="55"/>
      <c r="B127" s="55"/>
      <c r="C127" s="55"/>
      <c r="D127" s="55"/>
      <c r="E127" s="55"/>
      <c r="F127" s="55"/>
      <c r="G127" s="55"/>
      <c r="H127" s="55"/>
      <c r="I127" s="55"/>
      <c r="J127" s="55"/>
      <c r="K127" s="55"/>
      <c r="L127" s="55"/>
      <c r="M127" s="55"/>
      <c r="N127" s="55"/>
      <c r="O127" s="55"/>
      <c r="P127" s="55"/>
      <c r="Q127" s="55"/>
      <c r="R127" s="55"/>
      <c r="S127" s="55"/>
    </row>
    <row r="128" spans="1:19" s="2" customFormat="1" ht="26.1" customHeight="1">
      <c r="A128" s="150" t="s">
        <v>682</v>
      </c>
      <c r="B128" s="194"/>
      <c r="C128" s="194"/>
      <c r="D128" s="194"/>
      <c r="E128" s="194"/>
      <c r="F128" s="194"/>
      <c r="G128" s="194"/>
      <c r="H128" s="194"/>
      <c r="I128" s="194"/>
      <c r="J128" s="194"/>
      <c r="K128" s="194"/>
      <c r="L128" s="195"/>
      <c r="M128" s="55"/>
      <c r="N128" s="55"/>
      <c r="O128" s="55"/>
      <c r="P128" s="55"/>
      <c r="Q128" s="55"/>
      <c r="R128" s="55"/>
      <c r="S128" s="55"/>
    </row>
    <row r="129" spans="1:19" s="2" customFormat="1" ht="24" customHeight="1">
      <c r="A129" s="22" t="s">
        <v>143</v>
      </c>
      <c r="B129" s="22" t="s">
        <v>491</v>
      </c>
      <c r="C129" s="22" t="s">
        <v>492</v>
      </c>
      <c r="D129" s="22" t="s">
        <v>493</v>
      </c>
      <c r="E129" s="22" t="s">
        <v>494</v>
      </c>
      <c r="F129" s="22" t="s">
        <v>495</v>
      </c>
      <c r="G129" s="22" t="s">
        <v>496</v>
      </c>
      <c r="H129" s="22" t="s">
        <v>497</v>
      </c>
      <c r="I129" s="22" t="s">
        <v>498</v>
      </c>
      <c r="J129" s="22" t="s">
        <v>499</v>
      </c>
      <c r="K129" s="22"/>
      <c r="L129" s="22"/>
      <c r="M129" s="55"/>
      <c r="N129" s="55"/>
      <c r="O129" s="55"/>
      <c r="P129" s="55"/>
      <c r="Q129" s="55"/>
      <c r="R129" s="55"/>
      <c r="S129" s="55"/>
    </row>
    <row r="130" spans="1:19" s="2" customFormat="1" ht="33.950000000000003" customHeight="1">
      <c r="A130" s="30" t="s">
        <v>169</v>
      </c>
      <c r="B130" s="24" t="s">
        <v>683</v>
      </c>
      <c r="C130" s="60" t="b">
        <v>0</v>
      </c>
      <c r="D130" s="24" t="s">
        <v>501</v>
      </c>
      <c r="E130" s="24"/>
      <c r="F130" s="24"/>
      <c r="G130" s="24"/>
      <c r="H130" s="24"/>
      <c r="I130" s="24"/>
      <c r="J130" s="24"/>
      <c r="K130" s="55"/>
      <c r="L130" s="55"/>
      <c r="M130" s="55"/>
      <c r="N130" s="55"/>
      <c r="O130" s="55"/>
      <c r="P130" s="55"/>
      <c r="Q130" s="55"/>
      <c r="R130" s="55"/>
      <c r="S130" s="55"/>
    </row>
    <row r="131" spans="1:19" s="2" customFormat="1" ht="33.950000000000003" customHeight="1">
      <c r="A131" s="30" t="s">
        <v>169</v>
      </c>
      <c r="B131" s="24" t="s">
        <v>684</v>
      </c>
      <c r="C131" s="60" t="b">
        <v>0</v>
      </c>
      <c r="D131" s="24" t="s">
        <v>501</v>
      </c>
      <c r="E131" s="24"/>
      <c r="F131" s="24"/>
      <c r="G131" s="24"/>
      <c r="H131" s="24"/>
      <c r="I131" s="24"/>
      <c r="J131" s="24"/>
      <c r="K131" s="55"/>
      <c r="L131" s="55"/>
      <c r="M131" s="55"/>
      <c r="N131" s="55"/>
      <c r="O131" s="55"/>
      <c r="P131" s="55"/>
      <c r="Q131" s="55"/>
      <c r="R131" s="55"/>
      <c r="S131" s="55"/>
    </row>
    <row r="132" spans="1:19" s="2" customFormat="1" ht="33.950000000000003" customHeight="1">
      <c r="A132" s="30" t="s">
        <v>169</v>
      </c>
      <c r="B132" s="24" t="s">
        <v>685</v>
      </c>
      <c r="C132" s="60" t="b">
        <v>0</v>
      </c>
      <c r="D132" s="24" t="s">
        <v>501</v>
      </c>
      <c r="E132" s="24"/>
      <c r="F132" s="24"/>
      <c r="G132" s="24"/>
      <c r="H132" s="24"/>
      <c r="I132" s="24"/>
      <c r="J132" s="24"/>
      <c r="K132" s="55"/>
      <c r="L132" s="55"/>
      <c r="M132" s="55"/>
      <c r="N132" s="55"/>
      <c r="O132" s="55"/>
      <c r="P132" s="55"/>
      <c r="Q132" s="55"/>
      <c r="R132" s="55"/>
      <c r="S132" s="55"/>
    </row>
    <row r="133" spans="1:19" s="2" customFormat="1" ht="26.1" customHeight="1">
      <c r="A133" s="30" t="s">
        <v>150</v>
      </c>
      <c r="B133" s="24" t="s">
        <v>686</v>
      </c>
      <c r="C133" s="60" t="b">
        <v>0</v>
      </c>
      <c r="D133" s="24" t="s">
        <v>501</v>
      </c>
      <c r="E133" s="24"/>
      <c r="F133" s="24"/>
      <c r="G133" s="24"/>
      <c r="H133" s="24"/>
      <c r="I133" s="24"/>
      <c r="J133" s="24"/>
      <c r="K133" s="55"/>
      <c r="L133" s="55"/>
      <c r="M133" s="55"/>
      <c r="N133" s="55"/>
      <c r="O133" s="55"/>
      <c r="P133" s="55"/>
      <c r="Q133" s="55"/>
      <c r="R133" s="55"/>
      <c r="S133" s="55"/>
    </row>
    <row r="134" spans="1:19" s="2" customFormat="1" ht="33.950000000000003" customHeight="1">
      <c r="A134" s="30" t="s">
        <v>150</v>
      </c>
      <c r="B134" s="24" t="s">
        <v>687</v>
      </c>
      <c r="C134" s="60" t="b">
        <v>0</v>
      </c>
      <c r="D134" s="24" t="s">
        <v>501</v>
      </c>
      <c r="E134" s="24"/>
      <c r="F134" s="24"/>
      <c r="G134" s="24"/>
      <c r="H134" s="24"/>
      <c r="I134" s="24"/>
      <c r="J134" s="24"/>
      <c r="K134" s="55"/>
      <c r="L134" s="55"/>
      <c r="M134" s="55"/>
      <c r="N134" s="55"/>
      <c r="O134" s="55"/>
      <c r="P134" s="55"/>
      <c r="Q134" s="55"/>
      <c r="R134" s="55"/>
      <c r="S134" s="55"/>
    </row>
    <row r="135" spans="1:19" s="2" customFormat="1" ht="33.950000000000003" customHeight="1">
      <c r="A135" s="30" t="s">
        <v>150</v>
      </c>
      <c r="B135" s="24" t="s">
        <v>688</v>
      </c>
      <c r="C135" s="60" t="b">
        <v>0</v>
      </c>
      <c r="D135" s="24" t="s">
        <v>501</v>
      </c>
      <c r="E135" s="24"/>
      <c r="F135" s="24"/>
      <c r="G135" s="24"/>
      <c r="H135" s="24"/>
      <c r="I135" s="24"/>
      <c r="J135" s="24"/>
      <c r="K135" s="55"/>
      <c r="L135" s="55"/>
      <c r="M135" s="55"/>
      <c r="N135" s="55"/>
      <c r="O135" s="55"/>
      <c r="P135" s="55"/>
      <c r="Q135" s="55"/>
      <c r="R135" s="55"/>
      <c r="S135" s="55"/>
    </row>
    <row r="136" spans="1:19" s="2" customFormat="1" ht="33.950000000000003" customHeight="1">
      <c r="A136" s="30" t="s">
        <v>157</v>
      </c>
      <c r="B136" s="24" t="s">
        <v>689</v>
      </c>
      <c r="C136" s="60" t="b">
        <v>0</v>
      </c>
      <c r="D136" s="24" t="s">
        <v>501</v>
      </c>
      <c r="E136" s="24"/>
      <c r="F136" s="24"/>
      <c r="G136" s="24"/>
      <c r="H136" s="24"/>
      <c r="I136" s="24"/>
      <c r="J136" s="24"/>
      <c r="K136" s="55"/>
      <c r="L136" s="55"/>
      <c r="M136" s="55"/>
      <c r="N136" s="55"/>
      <c r="O136" s="55"/>
      <c r="P136" s="55"/>
      <c r="Q136" s="55"/>
      <c r="R136" s="55"/>
      <c r="S136" s="55"/>
    </row>
    <row r="137" spans="1:19" s="2" customFormat="1" ht="33.950000000000003" customHeight="1">
      <c r="A137" s="30" t="s">
        <v>157</v>
      </c>
      <c r="B137" s="24" t="s">
        <v>690</v>
      </c>
      <c r="C137" s="60" t="b">
        <v>0</v>
      </c>
      <c r="D137" s="24" t="s">
        <v>501</v>
      </c>
      <c r="E137" s="24"/>
      <c r="F137" s="24"/>
      <c r="G137" s="24"/>
      <c r="H137" s="24"/>
      <c r="I137" s="24"/>
      <c r="J137" s="24"/>
      <c r="K137" s="55"/>
      <c r="L137" s="55"/>
      <c r="M137" s="55"/>
      <c r="N137" s="55"/>
      <c r="O137" s="55"/>
      <c r="P137" s="55"/>
      <c r="Q137" s="55"/>
      <c r="R137" s="55"/>
      <c r="S137" s="55"/>
    </row>
    <row r="138" spans="1:19" s="2" customFormat="1" ht="33.950000000000003" customHeight="1">
      <c r="A138" s="30" t="s">
        <v>157</v>
      </c>
      <c r="B138" s="24" t="s">
        <v>691</v>
      </c>
      <c r="C138" s="60" t="b">
        <v>0</v>
      </c>
      <c r="D138" s="24" t="s">
        <v>501</v>
      </c>
      <c r="E138" s="24"/>
      <c r="F138" s="24"/>
      <c r="G138" s="24"/>
      <c r="H138" s="24"/>
      <c r="I138" s="24"/>
      <c r="J138" s="24"/>
      <c r="K138" s="55"/>
      <c r="L138" s="55"/>
      <c r="M138" s="55"/>
      <c r="N138" s="55"/>
      <c r="O138" s="55"/>
      <c r="P138" s="55"/>
      <c r="Q138" s="55"/>
      <c r="R138" s="55"/>
      <c r="S138" s="55"/>
    </row>
    <row r="139" spans="1:19" s="2" customFormat="1" ht="18.95" customHeight="1">
      <c r="A139" s="55"/>
      <c r="B139" s="55"/>
      <c r="C139" s="55"/>
      <c r="D139" s="55"/>
      <c r="E139" s="55"/>
      <c r="F139" s="55"/>
      <c r="G139" s="55"/>
      <c r="H139" s="55"/>
      <c r="I139" s="55"/>
      <c r="J139" s="55"/>
      <c r="K139" s="55"/>
      <c r="L139" s="55"/>
      <c r="M139" s="55"/>
      <c r="N139" s="55"/>
      <c r="O139" s="55"/>
      <c r="P139" s="55"/>
      <c r="Q139" s="55"/>
      <c r="R139" s="55"/>
      <c r="S139" s="55"/>
    </row>
    <row r="140" spans="1:19" s="2" customFormat="1" ht="33.950000000000003" customHeight="1">
      <c r="A140" s="150" t="s">
        <v>510</v>
      </c>
      <c r="B140" s="194"/>
      <c r="C140" s="194"/>
      <c r="D140" s="194"/>
      <c r="E140" s="194"/>
      <c r="F140" s="194"/>
      <c r="G140" s="194"/>
      <c r="H140" s="194"/>
      <c r="I140" s="194"/>
      <c r="J140" s="194"/>
      <c r="K140" s="194"/>
      <c r="L140" s="195"/>
      <c r="M140" s="55"/>
      <c r="N140" s="55"/>
      <c r="O140" s="55"/>
      <c r="P140" s="55"/>
      <c r="Q140" s="55"/>
      <c r="R140" s="55"/>
      <c r="S140" s="55"/>
    </row>
    <row r="141" spans="1:19" s="2" customFormat="1" ht="24" customHeight="1">
      <c r="A141" s="22" t="s">
        <v>511</v>
      </c>
      <c r="B141" s="22" t="s">
        <v>493</v>
      </c>
      <c r="C141" s="22" t="s">
        <v>512</v>
      </c>
      <c r="D141" s="22" t="s">
        <v>494</v>
      </c>
      <c r="E141" s="22" t="s">
        <v>495</v>
      </c>
      <c r="F141" s="22" t="s">
        <v>497</v>
      </c>
      <c r="G141" s="22" t="s">
        <v>498</v>
      </c>
      <c r="H141" s="22" t="s">
        <v>513</v>
      </c>
      <c r="I141" s="22"/>
      <c r="J141" s="22"/>
      <c r="K141" s="22"/>
      <c r="L141" s="22"/>
      <c r="M141" s="55"/>
      <c r="N141" s="55"/>
      <c r="O141" s="55"/>
      <c r="P141" s="55"/>
      <c r="Q141" s="55"/>
      <c r="R141" s="55"/>
      <c r="S141" s="55"/>
    </row>
    <row r="142" spans="1:19" s="2" customFormat="1" ht="21" customHeight="1">
      <c r="A142" s="26" t="s">
        <v>514</v>
      </c>
      <c r="B142" s="27" t="s">
        <v>501</v>
      </c>
      <c r="C142" s="61" t="b">
        <v>0</v>
      </c>
      <c r="D142" s="27"/>
      <c r="E142" s="27"/>
      <c r="F142" s="27"/>
      <c r="G142" s="27"/>
      <c r="H142" s="27"/>
      <c r="I142" s="55"/>
      <c r="J142" s="55"/>
      <c r="K142" s="55"/>
      <c r="L142" s="55"/>
      <c r="M142" s="55"/>
      <c r="N142" s="55"/>
      <c r="O142" s="55"/>
      <c r="P142" s="55"/>
      <c r="Q142" s="55"/>
      <c r="R142" s="55"/>
      <c r="S142" s="55"/>
    </row>
    <row r="143" spans="1:19" s="2" customFormat="1" ht="26.1" customHeight="1">
      <c r="A143" s="26" t="s">
        <v>515</v>
      </c>
      <c r="B143" s="27" t="s">
        <v>501</v>
      </c>
      <c r="C143" s="61" t="b">
        <v>0</v>
      </c>
      <c r="D143" s="27"/>
      <c r="E143" s="27"/>
      <c r="F143" s="27"/>
      <c r="G143" s="27"/>
      <c r="H143" s="27"/>
      <c r="I143" s="55"/>
      <c r="J143" s="55"/>
      <c r="K143" s="55"/>
      <c r="L143" s="55"/>
      <c r="M143" s="55"/>
      <c r="N143" s="55"/>
      <c r="O143" s="55"/>
      <c r="P143" s="55"/>
      <c r="Q143" s="55"/>
      <c r="R143" s="55"/>
      <c r="S143" s="55"/>
    </row>
    <row r="144" spans="1:19" ht="26.1" customHeight="1">
      <c r="A144" s="26" t="s">
        <v>516</v>
      </c>
      <c r="B144" s="27" t="s">
        <v>501</v>
      </c>
      <c r="C144" s="61" t="b">
        <v>0</v>
      </c>
      <c r="D144" s="27"/>
      <c r="E144" s="27"/>
      <c r="F144" s="27"/>
      <c r="G144" s="27"/>
      <c r="H144" s="27"/>
      <c r="I144" s="55"/>
      <c r="J144" s="55"/>
      <c r="K144" s="55"/>
      <c r="L144" s="48"/>
      <c r="M144" s="55"/>
      <c r="N144" s="55"/>
      <c r="O144" s="55"/>
      <c r="P144" s="55"/>
      <c r="Q144" s="55"/>
      <c r="R144" s="55"/>
      <c r="S144" s="55"/>
    </row>
    <row r="145" spans="1:19" ht="26.1" customHeight="1">
      <c r="A145" s="26" t="s">
        <v>517</v>
      </c>
      <c r="B145" s="27" t="s">
        <v>501</v>
      </c>
      <c r="C145" s="61" t="b">
        <v>0</v>
      </c>
      <c r="D145" s="27"/>
      <c r="E145" s="27"/>
      <c r="F145" s="27"/>
      <c r="G145" s="27"/>
      <c r="H145" s="27"/>
      <c r="I145" s="55"/>
      <c r="J145" s="55"/>
      <c r="K145" s="55"/>
      <c r="L145" s="48"/>
      <c r="M145" s="55"/>
      <c r="N145" s="55"/>
      <c r="O145" s="55"/>
      <c r="P145" s="55"/>
      <c r="Q145" s="55"/>
      <c r="R145" s="55"/>
      <c r="S145" s="55"/>
    </row>
    <row r="146" spans="1:19" ht="21" customHeight="1">
      <c r="A146" s="26" t="s">
        <v>518</v>
      </c>
      <c r="B146" s="27" t="s">
        <v>501</v>
      </c>
      <c r="C146" s="61" t="b">
        <v>0</v>
      </c>
      <c r="D146" s="27"/>
      <c r="E146" s="27"/>
      <c r="F146" s="27"/>
      <c r="G146" s="27"/>
      <c r="H146" s="27"/>
      <c r="I146" s="55"/>
      <c r="J146" s="55"/>
      <c r="K146" s="55"/>
      <c r="L146" s="48"/>
      <c r="M146" s="55"/>
      <c r="N146" s="55"/>
      <c r="O146" s="55"/>
      <c r="P146" s="55"/>
      <c r="Q146" s="55"/>
      <c r="R146" s="55"/>
      <c r="S146" s="55"/>
    </row>
    <row r="147" spans="1:19" ht="21" customHeight="1">
      <c r="A147" s="26" t="s">
        <v>211</v>
      </c>
      <c r="B147" s="27" t="s">
        <v>501</v>
      </c>
      <c r="C147" s="61" t="b">
        <v>0</v>
      </c>
      <c r="D147" s="27"/>
      <c r="E147" s="27"/>
      <c r="F147" s="27"/>
      <c r="G147" s="27"/>
      <c r="H147" s="27"/>
      <c r="I147" s="55"/>
      <c r="J147" s="55"/>
      <c r="K147" s="55"/>
      <c r="L147" s="48"/>
      <c r="M147" s="55"/>
      <c r="N147" s="55"/>
      <c r="O147" s="55"/>
      <c r="P147" s="55"/>
      <c r="Q147" s="55"/>
      <c r="R147" s="55"/>
      <c r="S147" s="55"/>
    </row>
    <row r="148" spans="1:19" ht="21" customHeight="1">
      <c r="A148" s="26" t="s">
        <v>519</v>
      </c>
      <c r="B148" s="27" t="s">
        <v>501</v>
      </c>
      <c r="C148" s="61" t="b">
        <v>0</v>
      </c>
      <c r="D148" s="27"/>
      <c r="E148" s="27"/>
      <c r="F148" s="27"/>
      <c r="G148" s="27"/>
      <c r="H148" s="27"/>
      <c r="I148" s="55"/>
      <c r="J148" s="55"/>
      <c r="K148" s="55"/>
      <c r="L148" s="48"/>
      <c r="M148" s="55"/>
      <c r="N148" s="55"/>
      <c r="O148" s="55"/>
      <c r="P148" s="55"/>
      <c r="Q148" s="55"/>
      <c r="R148" s="55"/>
      <c r="S148" s="55"/>
    </row>
    <row r="149" spans="1:19" ht="26.1" customHeight="1">
      <c r="A149" s="26" t="s">
        <v>520</v>
      </c>
      <c r="B149" s="27" t="s">
        <v>501</v>
      </c>
      <c r="C149" s="61" t="b">
        <v>0</v>
      </c>
      <c r="D149" s="27"/>
      <c r="E149" s="27"/>
      <c r="F149" s="27"/>
      <c r="G149" s="27"/>
      <c r="H149" s="27"/>
      <c r="I149" s="55"/>
      <c r="J149" s="55"/>
      <c r="K149" s="55"/>
      <c r="L149" s="48"/>
      <c r="M149" s="55"/>
      <c r="N149" s="55"/>
      <c r="O149" s="55"/>
      <c r="P149" s="55"/>
      <c r="Q149" s="55"/>
      <c r="R149" s="55"/>
      <c r="S149" s="55"/>
    </row>
    <row r="150" spans="1:19" ht="18.95" customHeight="1">
      <c r="A150" s="55"/>
      <c r="B150" s="55"/>
      <c r="C150" s="55"/>
      <c r="D150" s="55"/>
      <c r="E150" s="55"/>
      <c r="F150" s="55"/>
      <c r="G150" s="55"/>
      <c r="H150" s="55"/>
      <c r="I150" s="55"/>
      <c r="J150" s="55"/>
      <c r="K150" s="55"/>
      <c r="L150" s="48"/>
      <c r="M150" s="55"/>
      <c r="N150" s="55"/>
      <c r="O150" s="55"/>
      <c r="P150" s="55"/>
      <c r="Q150" s="55"/>
      <c r="R150" s="55"/>
      <c r="S150" s="55"/>
    </row>
    <row r="151" spans="1:19" ht="26.1" customHeight="1">
      <c r="A151" s="150" t="s">
        <v>521</v>
      </c>
      <c r="B151" s="194"/>
      <c r="C151" s="194"/>
      <c r="D151" s="194"/>
      <c r="E151" s="194"/>
      <c r="F151" s="194"/>
      <c r="G151" s="194"/>
      <c r="H151" s="194"/>
      <c r="I151" s="194"/>
      <c r="J151" s="194"/>
      <c r="K151" s="194"/>
      <c r="L151" s="195"/>
      <c r="M151" s="55"/>
      <c r="N151" s="55"/>
      <c r="O151" s="55"/>
      <c r="P151" s="55"/>
      <c r="Q151" s="55"/>
      <c r="R151" s="55"/>
      <c r="S151" s="55"/>
    </row>
    <row r="152" spans="1:19" ht="26.1" customHeight="1">
      <c r="A152" s="22" t="s">
        <v>522</v>
      </c>
      <c r="B152" s="22"/>
      <c r="C152" s="22"/>
      <c r="D152" s="22"/>
      <c r="E152" s="22"/>
      <c r="F152" s="22"/>
      <c r="G152" s="22"/>
      <c r="H152" s="22"/>
      <c r="I152" s="22"/>
      <c r="J152" s="22"/>
      <c r="K152" s="22"/>
      <c r="L152" s="22"/>
      <c r="M152" s="55"/>
      <c r="N152" s="55"/>
      <c r="O152" s="55"/>
      <c r="P152" s="55"/>
      <c r="Q152" s="55"/>
      <c r="R152" s="55"/>
      <c r="S152" s="55"/>
    </row>
    <row r="153" spans="1:19" ht="24" customHeight="1">
      <c r="A153" s="149"/>
      <c r="B153" s="194"/>
      <c r="C153" s="194"/>
      <c r="D153" s="194"/>
      <c r="E153" s="194"/>
      <c r="F153" s="194"/>
      <c r="G153" s="194"/>
      <c r="H153" s="194"/>
      <c r="I153" s="194"/>
      <c r="J153" s="194"/>
      <c r="K153" s="194"/>
      <c r="L153" s="195"/>
      <c r="M153" s="55"/>
      <c r="N153" s="55"/>
      <c r="O153" s="55"/>
      <c r="P153" s="55"/>
      <c r="Q153" s="55"/>
      <c r="R153" s="55"/>
      <c r="S153" s="55"/>
    </row>
    <row r="154" spans="1:19" s="2" customFormat="1" ht="24" customHeight="1">
      <c r="A154" s="149"/>
      <c r="B154" s="194"/>
      <c r="C154" s="194"/>
      <c r="D154" s="194"/>
      <c r="E154" s="194"/>
      <c r="F154" s="194"/>
      <c r="G154" s="194"/>
      <c r="H154" s="194"/>
      <c r="I154" s="194"/>
      <c r="J154" s="194"/>
      <c r="K154" s="194"/>
      <c r="L154" s="195"/>
      <c r="M154" s="55"/>
      <c r="N154" s="55"/>
      <c r="O154" s="55"/>
      <c r="P154" s="55"/>
      <c r="Q154" s="55"/>
      <c r="R154" s="55"/>
      <c r="S154" s="55"/>
    </row>
    <row r="155" spans="1:19" s="2" customFormat="1" ht="24" customHeight="1">
      <c r="A155" s="149"/>
      <c r="B155" s="194"/>
      <c r="C155" s="194"/>
      <c r="D155" s="194"/>
      <c r="E155" s="194"/>
      <c r="F155" s="194"/>
      <c r="G155" s="194"/>
      <c r="H155" s="194"/>
      <c r="I155" s="194"/>
      <c r="J155" s="194"/>
      <c r="K155" s="194"/>
      <c r="L155" s="195"/>
      <c r="M155" s="55"/>
      <c r="N155" s="55"/>
      <c r="O155" s="55"/>
      <c r="P155" s="55"/>
      <c r="Q155" s="55"/>
      <c r="R155" s="55"/>
      <c r="S155" s="55"/>
    </row>
    <row r="156" spans="1:19" s="2" customFormat="1" ht="24" customHeight="1">
      <c r="A156" s="149"/>
      <c r="B156" s="194"/>
      <c r="C156" s="194"/>
      <c r="D156" s="194"/>
      <c r="E156" s="194"/>
      <c r="F156" s="194"/>
      <c r="G156" s="194"/>
      <c r="H156" s="194"/>
      <c r="I156" s="194"/>
      <c r="J156" s="194"/>
      <c r="K156" s="194"/>
      <c r="L156" s="195"/>
      <c r="M156" s="55"/>
      <c r="N156" s="55"/>
      <c r="O156" s="55"/>
      <c r="P156" s="55"/>
      <c r="Q156" s="55"/>
      <c r="R156" s="55"/>
      <c r="S156" s="55"/>
    </row>
    <row r="157" spans="1:19" s="2" customFormat="1" ht="26.1" customHeight="1">
      <c r="A157" s="22" t="s">
        <v>523</v>
      </c>
      <c r="B157" s="22" t="s">
        <v>524</v>
      </c>
      <c r="C157" s="22" t="s">
        <v>525</v>
      </c>
      <c r="D157" s="22" t="s">
        <v>494</v>
      </c>
      <c r="E157" s="22" t="s">
        <v>526</v>
      </c>
      <c r="F157" s="22" t="s">
        <v>527</v>
      </c>
      <c r="G157" s="22"/>
      <c r="H157" s="22"/>
      <c r="I157" s="22"/>
      <c r="J157" s="22"/>
      <c r="K157" s="22"/>
      <c r="L157" s="22"/>
      <c r="M157" s="55"/>
      <c r="N157" s="55"/>
      <c r="O157" s="55"/>
      <c r="P157" s="55"/>
      <c r="Q157" s="55"/>
      <c r="R157" s="55"/>
      <c r="S157" s="55"/>
    </row>
    <row r="158" spans="1:19" s="2" customFormat="1" ht="21" customHeight="1">
      <c r="A158" s="31" t="s">
        <v>528</v>
      </c>
      <c r="B158" s="24"/>
      <c r="C158" s="24"/>
      <c r="D158" s="24"/>
      <c r="E158" s="24"/>
      <c r="F158" s="24"/>
      <c r="G158" s="55"/>
      <c r="H158" s="55"/>
      <c r="I158" s="55"/>
      <c r="J158" s="55"/>
      <c r="K158" s="55"/>
      <c r="L158" s="55"/>
      <c r="M158" s="55"/>
      <c r="N158" s="55"/>
      <c r="O158" s="55"/>
      <c r="P158" s="55"/>
      <c r="Q158" s="55"/>
      <c r="R158" s="55"/>
      <c r="S158" s="55"/>
    </row>
    <row r="159" spans="1:19" s="2" customFormat="1" ht="21" customHeight="1">
      <c r="A159" s="31" t="s">
        <v>529</v>
      </c>
      <c r="B159" s="24"/>
      <c r="C159" s="24"/>
      <c r="D159" s="24"/>
      <c r="E159" s="24"/>
      <c r="F159" s="24"/>
      <c r="G159" s="55"/>
      <c r="H159" s="55"/>
      <c r="I159" s="55"/>
      <c r="J159" s="55"/>
      <c r="K159" s="55"/>
      <c r="L159" s="55"/>
      <c r="M159" s="55"/>
      <c r="N159" s="55"/>
      <c r="O159" s="55"/>
      <c r="P159" s="55"/>
      <c r="Q159" s="55"/>
      <c r="R159" s="55"/>
      <c r="S159" s="55"/>
    </row>
    <row r="160" spans="1:19" s="2" customFormat="1" ht="21" customHeight="1">
      <c r="A160" s="31" t="s">
        <v>530</v>
      </c>
      <c r="B160" s="24"/>
      <c r="C160" s="24"/>
      <c r="D160" s="24"/>
      <c r="E160" s="24"/>
      <c r="F160" s="24"/>
      <c r="G160" s="55"/>
      <c r="H160" s="55"/>
      <c r="I160" s="55"/>
      <c r="J160" s="55"/>
      <c r="K160" s="55"/>
      <c r="L160" s="55"/>
      <c r="M160" s="55"/>
      <c r="N160" s="55"/>
      <c r="O160" s="55"/>
      <c r="P160" s="55"/>
      <c r="Q160" s="55"/>
      <c r="R160" s="55"/>
      <c r="S160" s="55"/>
    </row>
    <row r="161" spans="1:19" s="2" customFormat="1" ht="18.95" customHeight="1">
      <c r="A161" s="55"/>
      <c r="B161" s="55"/>
      <c r="C161" s="55"/>
      <c r="D161" s="55"/>
      <c r="E161" s="55"/>
      <c r="F161" s="55"/>
      <c r="G161" s="55"/>
      <c r="H161" s="55"/>
      <c r="I161" s="55"/>
      <c r="J161" s="55"/>
      <c r="K161" s="55"/>
      <c r="L161" s="55"/>
      <c r="M161" s="55"/>
      <c r="N161" s="55"/>
      <c r="O161" s="55"/>
      <c r="P161" s="55"/>
      <c r="Q161" s="55"/>
      <c r="R161" s="55"/>
      <c r="S161" s="55"/>
    </row>
    <row r="162" spans="1:19" s="2" customFormat="1" ht="21" customHeight="1">
      <c r="A162" s="32" t="s">
        <v>531</v>
      </c>
      <c r="B162" s="33"/>
      <c r="C162" s="33"/>
      <c r="D162" s="33"/>
      <c r="E162" s="33"/>
      <c r="F162" s="33"/>
      <c r="G162" s="33"/>
      <c r="H162" s="32" t="s">
        <v>532</v>
      </c>
      <c r="I162" s="33"/>
      <c r="J162" s="32" t="s">
        <v>144</v>
      </c>
      <c r="K162" s="33"/>
      <c r="L162" s="33"/>
      <c r="M162" s="55"/>
      <c r="N162" s="55"/>
      <c r="O162" s="55"/>
      <c r="P162" s="55"/>
      <c r="Q162" s="55"/>
      <c r="R162" s="55"/>
      <c r="S162" s="55"/>
    </row>
    <row r="163" spans="1:19" s="2" customFormat="1" ht="18.95" customHeight="1">
      <c r="A163" s="55"/>
      <c r="B163" s="55"/>
      <c r="C163" s="55"/>
      <c r="D163" s="55"/>
      <c r="E163" s="55"/>
      <c r="F163" s="55"/>
      <c r="G163" s="55"/>
      <c r="H163" s="55"/>
      <c r="I163" s="55"/>
      <c r="J163" s="55"/>
      <c r="K163" s="55"/>
      <c r="L163" s="55"/>
      <c r="M163" s="55"/>
      <c r="N163" s="55"/>
      <c r="O163" s="55"/>
      <c r="P163" s="55"/>
      <c r="Q163" s="55"/>
      <c r="R163" s="55"/>
      <c r="S163" s="55"/>
    </row>
    <row r="164" spans="1:19" s="2" customFormat="1" ht="18.95" customHeight="1">
      <c r="A164" s="55"/>
      <c r="B164" s="55"/>
      <c r="C164" s="55"/>
      <c r="D164" s="55"/>
      <c r="E164" s="55"/>
      <c r="F164" s="55"/>
      <c r="G164" s="55"/>
      <c r="H164" s="55"/>
      <c r="I164" s="55"/>
      <c r="J164" s="55"/>
      <c r="K164" s="55"/>
      <c r="L164" s="55"/>
      <c r="M164" s="55"/>
      <c r="N164" s="55"/>
      <c r="O164" s="55"/>
      <c r="P164" s="55"/>
      <c r="Q164" s="55"/>
      <c r="R164" s="55"/>
      <c r="S164" s="55"/>
    </row>
    <row r="165" spans="1:19" s="2" customFormat="1" ht="18.95" customHeight="1">
      <c r="A165" s="55"/>
      <c r="B165" s="55"/>
      <c r="C165" s="55"/>
      <c r="D165" s="55"/>
      <c r="E165" s="55"/>
      <c r="F165" s="55"/>
      <c r="G165" s="55"/>
      <c r="H165" s="55"/>
      <c r="I165" s="55"/>
      <c r="J165" s="55"/>
      <c r="K165" s="55"/>
      <c r="L165" s="55"/>
      <c r="M165" s="55"/>
      <c r="N165" s="55"/>
      <c r="O165" s="55"/>
      <c r="P165" s="55"/>
      <c r="Q165" s="55"/>
      <c r="R165" s="55"/>
      <c r="S165" s="55"/>
    </row>
    <row r="166" spans="1:19" s="2" customFormat="1" ht="18.95" customHeight="1">
      <c r="A166" s="55"/>
      <c r="B166" s="55"/>
      <c r="C166" s="55"/>
      <c r="D166" s="55"/>
      <c r="E166" s="55"/>
      <c r="F166" s="55"/>
      <c r="G166" s="55"/>
      <c r="H166" s="55"/>
      <c r="I166" s="55"/>
      <c r="J166" s="55"/>
      <c r="K166" s="55"/>
      <c r="L166" s="55"/>
      <c r="M166" s="55"/>
      <c r="N166" s="55"/>
      <c r="O166" s="55"/>
      <c r="P166" s="55"/>
      <c r="Q166" s="55"/>
      <c r="R166" s="55"/>
      <c r="S166" s="55"/>
    </row>
    <row r="167" spans="1:19" s="2" customFormat="1" ht="18.95" customHeight="1">
      <c r="A167" s="55"/>
      <c r="B167" s="55"/>
      <c r="C167" s="55"/>
      <c r="D167" s="55"/>
      <c r="E167" s="55"/>
      <c r="F167" s="55"/>
      <c r="G167" s="55"/>
      <c r="H167" s="55"/>
      <c r="I167" s="55"/>
      <c r="J167" s="55"/>
      <c r="K167" s="55"/>
      <c r="L167" s="55"/>
      <c r="M167" s="55"/>
      <c r="N167" s="55"/>
      <c r="O167" s="55"/>
      <c r="P167" s="55"/>
      <c r="Q167" s="55"/>
      <c r="R167" s="55"/>
      <c r="S167" s="55"/>
    </row>
    <row r="168" spans="1:19" s="2" customFormat="1" ht="18.95" customHeight="1">
      <c r="A168" s="55"/>
      <c r="B168" s="55"/>
      <c r="C168" s="55"/>
      <c r="D168" s="55"/>
      <c r="E168" s="55"/>
      <c r="F168" s="55"/>
      <c r="G168" s="55"/>
      <c r="H168" s="55"/>
      <c r="I168" s="55"/>
      <c r="J168" s="55"/>
      <c r="K168" s="55"/>
      <c r="L168" s="55"/>
      <c r="M168" s="55"/>
      <c r="N168" s="55"/>
      <c r="O168" s="55"/>
      <c r="P168" s="55"/>
      <c r="Q168" s="55"/>
      <c r="R168" s="55"/>
      <c r="S168" s="55"/>
    </row>
    <row r="169" spans="1:19" s="2" customFormat="1" ht="18.95" customHeight="1">
      <c r="A169" s="55"/>
      <c r="B169" s="55"/>
      <c r="C169" s="55"/>
      <c r="D169" s="55"/>
      <c r="E169" s="55"/>
      <c r="F169" s="55"/>
      <c r="G169" s="55"/>
      <c r="H169" s="55"/>
      <c r="I169" s="55"/>
      <c r="J169" s="55"/>
      <c r="K169" s="55"/>
      <c r="L169" s="55"/>
      <c r="M169" s="55"/>
      <c r="N169" s="55"/>
      <c r="O169" s="55"/>
      <c r="P169" s="55"/>
      <c r="Q169" s="55"/>
      <c r="R169" s="55"/>
      <c r="S169" s="55"/>
    </row>
    <row r="170" spans="1:19" ht="18.95" customHeight="1">
      <c r="A170" s="55"/>
      <c r="B170" s="55"/>
      <c r="C170" s="55"/>
      <c r="D170" s="55"/>
      <c r="E170" s="55"/>
      <c r="F170" s="55"/>
      <c r="G170" s="55"/>
      <c r="H170" s="55"/>
      <c r="I170" s="55"/>
      <c r="J170" s="55"/>
      <c r="K170" s="55"/>
      <c r="L170" s="48"/>
      <c r="M170" s="55"/>
      <c r="N170" s="55"/>
      <c r="O170" s="55"/>
      <c r="P170" s="55"/>
      <c r="Q170" s="55"/>
      <c r="R170" s="55"/>
      <c r="S170" s="55"/>
    </row>
    <row r="171" spans="1:19" ht="18.95" customHeight="1">
      <c r="A171" s="55"/>
      <c r="B171" s="55"/>
      <c r="C171" s="55"/>
      <c r="D171" s="55"/>
      <c r="E171" s="55"/>
      <c r="F171" s="55"/>
      <c r="G171" s="55"/>
      <c r="H171" s="55"/>
      <c r="I171" s="55"/>
      <c r="J171" s="55"/>
      <c r="K171" s="55"/>
      <c r="L171" s="48"/>
      <c r="M171" s="55"/>
      <c r="N171" s="55"/>
      <c r="O171" s="55"/>
      <c r="P171" s="55"/>
      <c r="Q171" s="55"/>
      <c r="R171" s="55"/>
      <c r="S171" s="55"/>
    </row>
    <row r="172" spans="1:19" ht="18.95" customHeight="1">
      <c r="A172" s="55"/>
      <c r="B172" s="55"/>
      <c r="C172" s="55"/>
      <c r="D172" s="55"/>
      <c r="E172" s="55"/>
      <c r="F172" s="55"/>
      <c r="G172" s="55"/>
      <c r="H172" s="55"/>
      <c r="I172" s="55"/>
      <c r="J172" s="55"/>
      <c r="K172" s="55"/>
      <c r="L172" s="48"/>
      <c r="M172" s="55"/>
      <c r="N172" s="55"/>
      <c r="O172" s="55"/>
      <c r="P172" s="55"/>
      <c r="Q172" s="55"/>
      <c r="R172" s="55"/>
      <c r="S172" s="55"/>
    </row>
    <row r="173" spans="1:19" ht="18.95" customHeight="1">
      <c r="A173" s="55"/>
      <c r="B173" s="55"/>
      <c r="C173" s="55"/>
      <c r="D173" s="55"/>
      <c r="E173" s="55"/>
      <c r="F173" s="55"/>
      <c r="G173" s="55"/>
      <c r="H173" s="55"/>
      <c r="I173" s="55"/>
      <c r="J173" s="55"/>
      <c r="K173" s="55"/>
      <c r="L173" s="48"/>
      <c r="M173" s="55"/>
      <c r="N173" s="55"/>
      <c r="O173" s="55"/>
      <c r="P173" s="55"/>
      <c r="Q173" s="55"/>
      <c r="R173" s="55"/>
      <c r="S173" s="55"/>
    </row>
    <row r="174" spans="1:19" ht="18.95" customHeight="1">
      <c r="A174" s="55"/>
      <c r="B174" s="55"/>
      <c r="C174" s="55"/>
      <c r="D174" s="55"/>
      <c r="E174" s="55"/>
      <c r="F174" s="55"/>
      <c r="G174" s="55"/>
      <c r="H174" s="55"/>
      <c r="I174" s="55"/>
      <c r="J174" s="55"/>
      <c r="K174" s="55"/>
      <c r="L174" s="48"/>
      <c r="M174" s="55"/>
      <c r="N174" s="55"/>
      <c r="O174" s="55"/>
      <c r="P174" s="55"/>
      <c r="Q174" s="55"/>
      <c r="R174" s="55"/>
      <c r="S174" s="55"/>
    </row>
    <row r="175" spans="1:19" ht="18.95" customHeight="1">
      <c r="A175" s="55"/>
      <c r="B175" s="55"/>
      <c r="C175" s="55"/>
      <c r="D175" s="55"/>
      <c r="E175" s="55"/>
      <c r="F175" s="55"/>
      <c r="G175" s="55"/>
      <c r="H175" s="55"/>
      <c r="I175" s="55"/>
      <c r="J175" s="55"/>
      <c r="K175" s="55"/>
      <c r="L175" s="48"/>
      <c r="M175" s="55"/>
      <c r="N175" s="55"/>
      <c r="O175" s="55"/>
      <c r="P175" s="55"/>
      <c r="Q175" s="55"/>
      <c r="R175" s="55"/>
      <c r="S175" s="55"/>
    </row>
    <row r="176" spans="1:19" ht="18.95" customHeight="1">
      <c r="A176" s="55"/>
      <c r="B176" s="55"/>
      <c r="C176" s="55"/>
      <c r="D176" s="55"/>
      <c r="E176" s="55"/>
      <c r="F176" s="55"/>
      <c r="G176" s="55"/>
      <c r="H176" s="55"/>
      <c r="I176" s="55"/>
      <c r="J176" s="55"/>
      <c r="K176" s="55"/>
      <c r="L176" s="48"/>
      <c r="M176" s="55"/>
      <c r="N176" s="55"/>
      <c r="O176" s="55"/>
      <c r="P176" s="55"/>
      <c r="Q176" s="55"/>
      <c r="R176" s="55"/>
      <c r="S176" s="55"/>
    </row>
    <row r="177" spans="1:19" ht="18.95" customHeight="1">
      <c r="A177" s="55"/>
      <c r="B177" s="55"/>
      <c r="C177" s="55"/>
      <c r="D177" s="55"/>
      <c r="E177" s="55"/>
      <c r="F177" s="55"/>
      <c r="G177" s="55"/>
      <c r="H177" s="55"/>
      <c r="I177" s="55"/>
      <c r="J177" s="55"/>
      <c r="K177" s="55"/>
      <c r="L177" s="48"/>
      <c r="M177" s="55"/>
      <c r="N177" s="55"/>
      <c r="O177" s="55"/>
      <c r="P177" s="55"/>
      <c r="Q177" s="55"/>
      <c r="R177" s="55"/>
      <c r="S177" s="55"/>
    </row>
    <row r="178" spans="1:19" ht="18.95" customHeight="1">
      <c r="A178" s="55"/>
      <c r="B178" s="55"/>
      <c r="C178" s="55"/>
      <c r="D178" s="55"/>
      <c r="E178" s="55"/>
      <c r="F178" s="55"/>
      <c r="G178" s="55"/>
      <c r="H178" s="55"/>
      <c r="I178" s="55"/>
      <c r="J178" s="55"/>
      <c r="K178" s="55"/>
      <c r="L178" s="48"/>
      <c r="M178" s="55"/>
      <c r="N178" s="55"/>
      <c r="O178" s="55"/>
      <c r="P178" s="55"/>
      <c r="Q178" s="55"/>
      <c r="R178" s="55"/>
      <c r="S178" s="55"/>
    </row>
    <row r="179" spans="1:19" s="2" customFormat="1" ht="18.95" customHeight="1">
      <c r="A179" s="55"/>
      <c r="B179" s="55"/>
      <c r="C179" s="55"/>
      <c r="D179" s="55"/>
      <c r="E179" s="55"/>
      <c r="F179" s="55"/>
      <c r="G179" s="55"/>
      <c r="H179" s="55"/>
      <c r="I179" s="55"/>
      <c r="J179" s="55"/>
      <c r="K179" s="55"/>
      <c r="L179" s="55"/>
      <c r="M179" s="55"/>
      <c r="N179" s="55"/>
      <c r="O179" s="55"/>
      <c r="P179" s="55"/>
      <c r="Q179" s="55"/>
      <c r="R179" s="55"/>
      <c r="S179" s="55"/>
    </row>
    <row r="180" spans="1:19" s="2" customFormat="1" ht="18.95" customHeight="1">
      <c r="A180" s="55"/>
      <c r="B180" s="55"/>
      <c r="C180" s="55"/>
      <c r="D180" s="55"/>
      <c r="E180" s="55"/>
      <c r="F180" s="55"/>
      <c r="G180" s="55"/>
      <c r="H180" s="55"/>
      <c r="I180" s="55"/>
      <c r="J180" s="55"/>
      <c r="K180" s="55"/>
      <c r="L180" s="55"/>
      <c r="M180" s="55"/>
      <c r="N180" s="55"/>
      <c r="O180" s="55"/>
      <c r="P180" s="55"/>
      <c r="Q180" s="55"/>
      <c r="R180" s="55"/>
      <c r="S180" s="55"/>
    </row>
    <row r="181" spans="1:19" s="2" customFormat="1" ht="18.95" customHeight="1">
      <c r="A181" s="55"/>
      <c r="B181" s="55"/>
      <c r="C181" s="55"/>
      <c r="D181" s="55"/>
      <c r="E181" s="55"/>
      <c r="F181" s="55"/>
      <c r="G181" s="55"/>
      <c r="H181" s="55"/>
      <c r="I181" s="55"/>
      <c r="J181" s="55"/>
      <c r="K181" s="55"/>
      <c r="L181" s="55"/>
      <c r="M181" s="55"/>
      <c r="N181" s="55"/>
      <c r="O181" s="55"/>
      <c r="P181" s="55"/>
      <c r="Q181" s="55"/>
      <c r="R181" s="55"/>
      <c r="S181" s="55"/>
    </row>
    <row r="182" spans="1:19" s="2" customFormat="1" ht="18.95" customHeight="1">
      <c r="A182" s="55"/>
      <c r="B182" s="55"/>
      <c r="C182" s="55"/>
      <c r="D182" s="55"/>
      <c r="E182" s="55"/>
      <c r="F182" s="55"/>
      <c r="G182" s="55"/>
      <c r="H182" s="55"/>
      <c r="I182" s="55"/>
      <c r="J182" s="55"/>
      <c r="K182" s="55"/>
      <c r="L182" s="55"/>
      <c r="M182" s="55"/>
      <c r="N182" s="55"/>
      <c r="O182" s="55"/>
      <c r="P182" s="55"/>
      <c r="Q182" s="55"/>
      <c r="R182" s="55"/>
      <c r="S182" s="55"/>
    </row>
    <row r="183" spans="1:19" s="2" customFormat="1" ht="18.95" customHeight="1">
      <c r="A183" s="55"/>
      <c r="B183" s="55"/>
      <c r="C183" s="55"/>
      <c r="D183" s="55"/>
      <c r="E183" s="55"/>
      <c r="F183" s="55"/>
      <c r="G183" s="55"/>
      <c r="H183" s="55"/>
      <c r="I183" s="55"/>
      <c r="J183" s="55"/>
      <c r="K183" s="55"/>
      <c r="L183" s="55"/>
      <c r="M183" s="55"/>
      <c r="N183" s="55"/>
      <c r="O183" s="55"/>
      <c r="P183" s="55"/>
      <c r="Q183" s="55"/>
      <c r="R183" s="55"/>
      <c r="S183" s="55"/>
    </row>
    <row r="184" spans="1:19" s="2" customFormat="1" ht="18.95" customHeight="1">
      <c r="A184" s="55"/>
      <c r="B184" s="55"/>
      <c r="C184" s="55"/>
      <c r="D184" s="55"/>
      <c r="E184" s="55"/>
      <c r="F184" s="55"/>
      <c r="G184" s="55"/>
      <c r="H184" s="55"/>
      <c r="I184" s="55"/>
      <c r="J184" s="55"/>
      <c r="K184" s="55"/>
      <c r="L184" s="55"/>
      <c r="M184" s="55"/>
      <c r="N184" s="55"/>
      <c r="O184" s="55"/>
      <c r="P184" s="55"/>
      <c r="Q184" s="55"/>
      <c r="R184" s="55"/>
      <c r="S184" s="55"/>
    </row>
    <row r="185" spans="1:19" s="2" customFormat="1" ht="18.95" customHeight="1">
      <c r="A185" s="55"/>
      <c r="B185" s="55"/>
      <c r="C185" s="55"/>
      <c r="D185" s="55"/>
      <c r="E185" s="55"/>
      <c r="F185" s="55"/>
      <c r="G185" s="55"/>
      <c r="H185" s="55"/>
      <c r="I185" s="55"/>
      <c r="J185" s="55"/>
      <c r="K185" s="55"/>
      <c r="L185" s="55"/>
      <c r="M185" s="55"/>
      <c r="N185" s="55"/>
      <c r="O185" s="55"/>
      <c r="P185" s="55"/>
      <c r="Q185" s="55"/>
      <c r="R185" s="55"/>
      <c r="S185" s="55"/>
    </row>
    <row r="186" spans="1:19" s="2" customFormat="1" ht="18.95" customHeight="1">
      <c r="A186" s="55"/>
      <c r="B186" s="55"/>
      <c r="C186" s="55"/>
      <c r="D186" s="55"/>
      <c r="E186" s="55"/>
      <c r="F186" s="55"/>
      <c r="G186" s="55"/>
      <c r="H186" s="55"/>
      <c r="I186" s="55"/>
      <c r="J186" s="55"/>
      <c r="K186" s="55"/>
      <c r="L186" s="55"/>
      <c r="M186" s="55"/>
      <c r="N186" s="55"/>
      <c r="O186" s="55"/>
      <c r="P186" s="55"/>
      <c r="Q186" s="55"/>
      <c r="R186" s="55"/>
      <c r="S186" s="55"/>
    </row>
    <row r="187" spans="1:19" s="2" customFormat="1" ht="18.95" customHeight="1">
      <c r="A187" s="55"/>
      <c r="B187" s="55"/>
      <c r="C187" s="55"/>
      <c r="D187" s="55"/>
      <c r="E187" s="55"/>
      <c r="F187" s="55"/>
      <c r="G187" s="55"/>
      <c r="H187" s="55"/>
      <c r="I187" s="55"/>
      <c r="J187" s="55"/>
      <c r="K187" s="55"/>
      <c r="L187" s="55"/>
      <c r="M187" s="55"/>
      <c r="N187" s="55"/>
      <c r="O187" s="55"/>
      <c r="P187" s="55"/>
      <c r="Q187" s="55"/>
      <c r="R187" s="55"/>
      <c r="S187" s="55"/>
    </row>
    <row r="188" spans="1:19" s="2" customFormat="1" ht="18.95" customHeight="1">
      <c r="A188" s="55"/>
      <c r="B188" s="55"/>
      <c r="C188" s="55"/>
      <c r="D188" s="55"/>
      <c r="E188" s="55"/>
      <c r="F188" s="55"/>
      <c r="G188" s="55"/>
      <c r="H188" s="55"/>
      <c r="I188" s="55"/>
      <c r="J188" s="55"/>
      <c r="K188" s="55"/>
      <c r="L188" s="55"/>
      <c r="M188" s="55"/>
      <c r="N188" s="55"/>
      <c r="O188" s="55"/>
      <c r="P188" s="55"/>
      <c r="Q188" s="55"/>
      <c r="R188" s="55"/>
      <c r="S188" s="55"/>
    </row>
    <row r="189" spans="1:19" s="2" customFormat="1" ht="18.95" customHeight="1">
      <c r="A189" s="55"/>
      <c r="B189" s="55"/>
      <c r="C189" s="55"/>
      <c r="D189" s="55"/>
      <c r="E189" s="55"/>
      <c r="F189" s="55"/>
      <c r="G189" s="55"/>
      <c r="H189" s="55"/>
      <c r="I189" s="55"/>
      <c r="J189" s="55"/>
      <c r="K189" s="55"/>
      <c r="L189" s="55"/>
      <c r="M189" s="55"/>
      <c r="N189" s="55"/>
      <c r="O189" s="55"/>
      <c r="P189" s="55"/>
      <c r="Q189" s="55"/>
      <c r="R189" s="55"/>
      <c r="S189" s="55"/>
    </row>
    <row r="190" spans="1:19" s="2" customFormat="1" ht="18.95" customHeight="1">
      <c r="A190" s="55"/>
      <c r="B190" s="55"/>
      <c r="C190" s="55"/>
      <c r="D190" s="55"/>
      <c r="E190" s="55"/>
      <c r="F190" s="55"/>
      <c r="G190" s="55"/>
      <c r="H190" s="55"/>
      <c r="I190" s="55"/>
      <c r="J190" s="55"/>
      <c r="K190" s="55"/>
      <c r="L190" s="55"/>
      <c r="M190" s="55"/>
      <c r="N190" s="55"/>
      <c r="O190" s="55"/>
      <c r="P190" s="55"/>
      <c r="Q190" s="55"/>
      <c r="R190" s="55"/>
      <c r="S190" s="55"/>
    </row>
    <row r="191" spans="1:19" s="2" customFormat="1" ht="18.95" customHeight="1">
      <c r="A191" s="55"/>
      <c r="B191" s="55"/>
      <c r="C191" s="55"/>
      <c r="D191" s="55"/>
      <c r="E191" s="55"/>
      <c r="F191" s="55"/>
      <c r="G191" s="55"/>
      <c r="H191" s="55"/>
      <c r="I191" s="55"/>
      <c r="J191" s="55"/>
      <c r="K191" s="55"/>
      <c r="L191" s="55"/>
      <c r="M191" s="55"/>
      <c r="N191" s="55"/>
      <c r="O191" s="55"/>
      <c r="P191" s="55"/>
      <c r="Q191" s="55"/>
      <c r="R191" s="55"/>
      <c r="S191" s="55"/>
    </row>
    <row r="192" spans="1:19" s="2" customFormat="1" ht="18.95" customHeight="1">
      <c r="A192" s="55"/>
      <c r="B192" s="55"/>
      <c r="C192" s="55"/>
      <c r="D192" s="55"/>
      <c r="E192" s="55"/>
      <c r="F192" s="55"/>
      <c r="G192" s="55"/>
      <c r="H192" s="55"/>
      <c r="I192" s="55"/>
      <c r="J192" s="55"/>
      <c r="K192" s="55"/>
      <c r="L192" s="55"/>
      <c r="M192" s="55"/>
      <c r="N192" s="55"/>
      <c r="O192" s="55"/>
      <c r="P192" s="55"/>
      <c r="Q192" s="55"/>
      <c r="R192" s="55"/>
      <c r="S192" s="55"/>
    </row>
    <row r="193" spans="1:19" ht="18.95" customHeight="1">
      <c r="A193" s="55"/>
      <c r="B193" s="55"/>
      <c r="C193" s="55"/>
      <c r="D193" s="55"/>
      <c r="E193" s="55"/>
      <c r="F193" s="55"/>
      <c r="G193" s="55"/>
      <c r="H193" s="55"/>
      <c r="I193" s="55"/>
      <c r="J193" s="55"/>
      <c r="K193" s="55"/>
      <c r="L193" s="48"/>
      <c r="M193" s="55"/>
      <c r="N193" s="55"/>
      <c r="O193" s="55"/>
      <c r="P193" s="55"/>
      <c r="Q193" s="55"/>
      <c r="R193" s="55"/>
      <c r="S193" s="55"/>
    </row>
    <row r="194" spans="1:19" ht="18.95" customHeight="1">
      <c r="A194" s="55"/>
      <c r="B194" s="55"/>
      <c r="C194" s="55"/>
      <c r="D194" s="55"/>
      <c r="E194" s="55"/>
      <c r="F194" s="55"/>
      <c r="G194" s="55"/>
      <c r="H194" s="55"/>
      <c r="I194" s="55"/>
      <c r="J194" s="55"/>
      <c r="K194" s="55"/>
      <c r="L194" s="48"/>
      <c r="M194" s="55"/>
      <c r="N194" s="55"/>
      <c r="O194" s="55"/>
      <c r="P194" s="55"/>
      <c r="Q194" s="55"/>
      <c r="R194" s="55"/>
      <c r="S194" s="55"/>
    </row>
    <row r="195" spans="1:19" ht="18.95" customHeight="1">
      <c r="A195" s="55"/>
      <c r="B195" s="55"/>
      <c r="C195" s="55"/>
      <c r="D195" s="55"/>
      <c r="E195" s="55"/>
      <c r="F195" s="55"/>
      <c r="G195" s="55"/>
      <c r="H195" s="55"/>
      <c r="I195" s="55"/>
      <c r="J195" s="55"/>
      <c r="K195" s="55"/>
      <c r="L195" s="48"/>
      <c r="M195" s="55"/>
      <c r="N195" s="55"/>
      <c r="O195" s="55"/>
      <c r="P195" s="55"/>
      <c r="Q195" s="55"/>
      <c r="R195" s="55"/>
      <c r="S195" s="55"/>
    </row>
    <row r="196" spans="1:19" ht="18.95" customHeight="1">
      <c r="A196" s="55"/>
      <c r="B196" s="55"/>
      <c r="C196" s="55"/>
      <c r="D196" s="55"/>
      <c r="E196" s="55"/>
      <c r="F196" s="55"/>
      <c r="G196" s="55"/>
      <c r="H196" s="55"/>
      <c r="I196" s="55"/>
      <c r="J196" s="55"/>
      <c r="K196" s="55"/>
      <c r="L196" s="48"/>
      <c r="M196" s="55"/>
      <c r="N196" s="55"/>
      <c r="O196" s="55"/>
      <c r="P196" s="55"/>
      <c r="Q196" s="55"/>
      <c r="R196" s="55"/>
      <c r="S196" s="55"/>
    </row>
    <row r="197" spans="1:19" ht="18.95" customHeight="1">
      <c r="A197" s="55"/>
      <c r="B197" s="55"/>
      <c r="C197" s="55"/>
      <c r="D197" s="55"/>
      <c r="E197" s="55"/>
      <c r="F197" s="55"/>
      <c r="G197" s="55"/>
      <c r="H197" s="55"/>
      <c r="I197" s="55"/>
      <c r="J197" s="55"/>
      <c r="K197" s="55"/>
      <c r="L197" s="48"/>
      <c r="M197" s="55"/>
      <c r="N197" s="55"/>
      <c r="O197" s="55"/>
      <c r="P197" s="55"/>
      <c r="Q197" s="55"/>
      <c r="R197" s="55"/>
      <c r="S197" s="55"/>
    </row>
    <row r="198" spans="1:19" ht="18.95" customHeight="1">
      <c r="A198" s="55"/>
      <c r="B198" s="55"/>
      <c r="C198" s="55"/>
      <c r="D198" s="55"/>
      <c r="E198" s="55"/>
      <c r="F198" s="55"/>
      <c r="G198" s="55"/>
      <c r="H198" s="55"/>
      <c r="I198" s="55"/>
      <c r="J198" s="55"/>
      <c r="K198" s="55"/>
      <c r="L198" s="48"/>
      <c r="M198" s="55"/>
      <c r="N198" s="55"/>
      <c r="O198" s="55"/>
      <c r="P198" s="55"/>
      <c r="Q198" s="55"/>
      <c r="R198" s="55"/>
      <c r="S198" s="55"/>
    </row>
    <row r="199" spans="1:19" s="2" customFormat="1" ht="18.95" customHeight="1">
      <c r="A199" s="55"/>
      <c r="B199" s="55"/>
      <c r="C199" s="55"/>
      <c r="D199" s="55"/>
      <c r="E199" s="55"/>
      <c r="F199" s="55"/>
      <c r="G199" s="55"/>
      <c r="H199" s="55"/>
      <c r="I199" s="55"/>
      <c r="J199" s="55"/>
      <c r="K199" s="55"/>
      <c r="L199" s="55"/>
      <c r="M199" s="55"/>
      <c r="N199" s="55"/>
      <c r="O199" s="55"/>
      <c r="P199" s="55"/>
      <c r="Q199" s="55"/>
      <c r="R199" s="55"/>
      <c r="S199" s="55"/>
    </row>
    <row r="200" spans="1:19" s="2" customFormat="1" ht="18.95" customHeight="1">
      <c r="A200" s="55"/>
      <c r="B200" s="55"/>
      <c r="C200" s="55"/>
      <c r="D200" s="55"/>
      <c r="E200" s="55"/>
      <c r="F200" s="55"/>
      <c r="G200" s="55"/>
      <c r="H200" s="55"/>
      <c r="I200" s="55"/>
      <c r="J200" s="55"/>
      <c r="K200" s="55"/>
      <c r="L200" s="55"/>
      <c r="M200" s="55"/>
      <c r="N200" s="55"/>
      <c r="O200" s="55"/>
      <c r="P200" s="55"/>
      <c r="Q200" s="55"/>
      <c r="R200" s="55"/>
      <c r="S200" s="55"/>
    </row>
    <row r="201" spans="1:19" s="2" customFormat="1" ht="18.95" customHeight="1">
      <c r="A201" s="55"/>
      <c r="B201" s="55"/>
      <c r="C201" s="55"/>
      <c r="D201" s="55"/>
      <c r="E201" s="55"/>
      <c r="F201" s="55"/>
      <c r="G201" s="55"/>
      <c r="H201" s="55"/>
      <c r="I201" s="55"/>
      <c r="J201" s="55"/>
      <c r="K201" s="55"/>
      <c r="L201" s="55"/>
      <c r="M201" s="55"/>
      <c r="N201" s="55"/>
      <c r="O201" s="55"/>
      <c r="P201" s="55"/>
      <c r="Q201" s="55"/>
      <c r="R201" s="55"/>
      <c r="S201" s="55"/>
    </row>
    <row r="202" spans="1:19" s="2" customFormat="1" ht="18.95" customHeight="1">
      <c r="A202" s="55"/>
      <c r="B202" s="55"/>
      <c r="C202" s="55"/>
      <c r="D202" s="55"/>
      <c r="E202" s="55"/>
      <c r="F202" s="55"/>
      <c r="G202" s="55"/>
      <c r="H202" s="55"/>
      <c r="I202" s="55"/>
      <c r="J202" s="55"/>
      <c r="K202" s="55"/>
      <c r="L202" s="55"/>
      <c r="M202" s="55"/>
      <c r="N202" s="55"/>
      <c r="O202" s="55"/>
      <c r="P202" s="55"/>
      <c r="Q202" s="55"/>
      <c r="R202" s="55"/>
      <c r="S202" s="55"/>
    </row>
    <row r="203" spans="1:19" s="2" customFormat="1" ht="18.95" customHeight="1">
      <c r="A203" s="55"/>
      <c r="B203" s="55"/>
      <c r="C203" s="55"/>
      <c r="D203" s="55"/>
      <c r="E203" s="55"/>
      <c r="F203" s="55"/>
      <c r="G203" s="55"/>
      <c r="H203" s="55"/>
      <c r="I203" s="55"/>
      <c r="J203" s="55"/>
      <c r="K203" s="55"/>
      <c r="L203" s="55"/>
      <c r="M203" s="55"/>
      <c r="N203" s="55"/>
      <c r="O203" s="55"/>
      <c r="P203" s="55"/>
      <c r="Q203" s="55"/>
      <c r="R203" s="55"/>
      <c r="S203" s="55"/>
    </row>
    <row r="204" spans="1:19" s="2" customFormat="1" ht="18.95" customHeight="1">
      <c r="A204" s="55"/>
      <c r="B204" s="55"/>
      <c r="C204" s="55"/>
      <c r="D204" s="55"/>
      <c r="E204" s="55"/>
      <c r="F204" s="55"/>
      <c r="G204" s="55"/>
      <c r="H204" s="55"/>
      <c r="I204" s="55"/>
      <c r="J204" s="55"/>
      <c r="K204" s="55"/>
      <c r="L204" s="55"/>
      <c r="M204" s="55"/>
      <c r="N204" s="55"/>
      <c r="O204" s="55"/>
      <c r="P204" s="55"/>
      <c r="Q204" s="55"/>
      <c r="R204" s="55"/>
      <c r="S204" s="55"/>
    </row>
    <row r="205" spans="1:19" s="2" customFormat="1" ht="18.95" customHeight="1">
      <c r="A205" s="55"/>
      <c r="B205" s="55"/>
      <c r="C205" s="55"/>
      <c r="D205" s="55"/>
      <c r="E205" s="55"/>
      <c r="F205" s="55"/>
      <c r="G205" s="55"/>
      <c r="H205" s="55"/>
      <c r="I205" s="55"/>
      <c r="J205" s="55"/>
      <c r="K205" s="55"/>
      <c r="L205" s="55"/>
      <c r="M205" s="55"/>
      <c r="N205" s="55"/>
      <c r="O205" s="55"/>
      <c r="P205" s="55"/>
      <c r="Q205" s="55"/>
      <c r="R205" s="55"/>
      <c r="S205" s="55"/>
    </row>
    <row r="206" spans="1:19" s="2" customFormat="1" ht="18.95" customHeight="1">
      <c r="A206" s="55"/>
      <c r="B206" s="55"/>
      <c r="C206" s="55"/>
      <c r="D206" s="55"/>
      <c r="E206" s="55"/>
      <c r="F206" s="55"/>
      <c r="G206" s="55"/>
      <c r="H206" s="55"/>
      <c r="I206" s="55"/>
      <c r="J206" s="55"/>
      <c r="K206" s="55"/>
      <c r="L206" s="55"/>
      <c r="M206" s="55"/>
      <c r="N206" s="55"/>
      <c r="O206" s="55"/>
      <c r="P206" s="55"/>
      <c r="Q206" s="55"/>
      <c r="R206" s="55"/>
      <c r="S206" s="55"/>
    </row>
    <row r="207" spans="1:19" ht="18.95" customHeight="1">
      <c r="A207" s="55"/>
      <c r="B207" s="55"/>
      <c r="C207" s="55"/>
      <c r="D207" s="55"/>
      <c r="E207" s="55"/>
      <c r="F207" s="55"/>
      <c r="G207" s="55"/>
      <c r="H207" s="55"/>
      <c r="I207" s="55"/>
      <c r="J207" s="55"/>
      <c r="K207" s="55"/>
      <c r="L207" s="48"/>
      <c r="M207" s="55"/>
      <c r="N207" s="55"/>
      <c r="O207" s="55"/>
      <c r="P207" s="55"/>
      <c r="Q207" s="55"/>
      <c r="R207" s="55"/>
      <c r="S207" s="55"/>
    </row>
    <row r="208" spans="1:19" ht="18.95" customHeight="1">
      <c r="A208" s="55"/>
      <c r="B208" s="55"/>
      <c r="C208" s="55"/>
      <c r="D208" s="55"/>
      <c r="E208" s="55"/>
      <c r="F208" s="55"/>
      <c r="G208" s="55"/>
      <c r="H208" s="55"/>
      <c r="I208" s="55"/>
      <c r="J208" s="55"/>
      <c r="K208" s="55"/>
      <c r="L208" s="48"/>
      <c r="M208" s="55"/>
      <c r="N208" s="55"/>
      <c r="O208" s="55"/>
      <c r="P208" s="55"/>
      <c r="Q208" s="55"/>
      <c r="R208" s="55"/>
      <c r="S208" s="55"/>
    </row>
    <row r="209" spans="1:19" ht="18.95" customHeight="1">
      <c r="A209" s="55"/>
      <c r="B209" s="55"/>
      <c r="C209" s="55"/>
      <c r="D209" s="55"/>
      <c r="E209" s="55"/>
      <c r="F209" s="55"/>
      <c r="G209" s="55"/>
      <c r="H209" s="55"/>
      <c r="I209" s="55"/>
      <c r="J209" s="55"/>
      <c r="K209" s="55"/>
      <c r="L209" s="48"/>
      <c r="M209" s="55"/>
      <c r="N209" s="55"/>
      <c r="O209" s="55"/>
      <c r="P209" s="55"/>
      <c r="Q209" s="55"/>
      <c r="R209" s="55"/>
      <c r="S209" s="55"/>
    </row>
    <row r="210" spans="1:19" ht="18.95" customHeight="1">
      <c r="A210" s="55"/>
      <c r="B210" s="55"/>
      <c r="C210" s="55"/>
      <c r="D210" s="55"/>
      <c r="E210" s="55"/>
      <c r="F210" s="55"/>
      <c r="G210" s="55"/>
      <c r="H210" s="55"/>
      <c r="I210" s="55"/>
      <c r="J210" s="55"/>
      <c r="K210" s="55"/>
      <c r="L210" s="48"/>
      <c r="M210" s="55"/>
      <c r="N210" s="55"/>
      <c r="O210" s="55"/>
      <c r="P210" s="55"/>
      <c r="Q210" s="55"/>
      <c r="R210" s="55"/>
      <c r="S210" s="55"/>
    </row>
    <row r="211" spans="1:19" ht="18.95" customHeight="1">
      <c r="A211" s="55"/>
      <c r="B211" s="55"/>
      <c r="C211" s="55"/>
      <c r="D211" s="55"/>
      <c r="E211" s="55"/>
      <c r="F211" s="55"/>
      <c r="G211" s="55"/>
      <c r="H211" s="55"/>
      <c r="I211" s="55"/>
      <c r="J211" s="55"/>
      <c r="K211" s="55"/>
      <c r="L211" s="48"/>
      <c r="M211" s="55"/>
      <c r="N211" s="55"/>
      <c r="O211" s="55"/>
      <c r="P211" s="55"/>
      <c r="Q211" s="55"/>
      <c r="R211" s="55"/>
      <c r="S211" s="55"/>
    </row>
    <row r="212" spans="1:19" ht="18.95" customHeight="1">
      <c r="A212" s="55"/>
      <c r="B212" s="55"/>
      <c r="C212" s="55"/>
      <c r="D212" s="55"/>
      <c r="E212" s="55"/>
      <c r="F212" s="55"/>
      <c r="G212" s="55"/>
      <c r="H212" s="55"/>
      <c r="I212" s="55"/>
      <c r="J212" s="55"/>
      <c r="K212" s="55"/>
      <c r="L212" s="48"/>
      <c r="M212" s="55"/>
      <c r="N212" s="55"/>
      <c r="O212" s="55"/>
      <c r="P212" s="55"/>
      <c r="Q212" s="55"/>
      <c r="R212" s="55"/>
      <c r="S212" s="55"/>
    </row>
    <row r="213" spans="1:19" ht="18.95" customHeight="1">
      <c r="A213" s="55"/>
      <c r="B213" s="55"/>
      <c r="C213" s="55"/>
      <c r="D213" s="55"/>
      <c r="E213" s="55"/>
      <c r="F213" s="55"/>
      <c r="G213" s="55"/>
      <c r="H213" s="55"/>
      <c r="I213" s="55"/>
      <c r="J213" s="55"/>
      <c r="K213" s="55"/>
      <c r="L213" s="48"/>
      <c r="M213" s="55"/>
      <c r="N213" s="55"/>
      <c r="O213" s="55"/>
      <c r="P213" s="55"/>
      <c r="Q213" s="55"/>
      <c r="R213" s="55"/>
      <c r="S213" s="55"/>
    </row>
    <row r="214" spans="1:19" ht="18.95" customHeight="1">
      <c r="A214" s="55"/>
      <c r="B214" s="55"/>
      <c r="C214" s="55"/>
      <c r="D214" s="55"/>
      <c r="E214" s="55"/>
      <c r="F214" s="55"/>
      <c r="G214" s="55"/>
      <c r="H214" s="55"/>
      <c r="I214" s="55"/>
      <c r="J214" s="55"/>
      <c r="K214" s="55"/>
      <c r="L214" s="48"/>
      <c r="M214" s="55"/>
      <c r="N214" s="55"/>
      <c r="O214" s="55"/>
      <c r="P214" s="55"/>
      <c r="Q214" s="55"/>
      <c r="R214" s="55"/>
      <c r="S214" s="55"/>
    </row>
    <row r="215" spans="1:19" ht="18.95" customHeight="1">
      <c r="A215" s="55"/>
      <c r="B215" s="55"/>
      <c r="C215" s="55"/>
      <c r="D215" s="55"/>
      <c r="E215" s="55"/>
      <c r="F215" s="55"/>
      <c r="G215" s="55"/>
      <c r="H215" s="55"/>
      <c r="I215" s="55"/>
      <c r="J215" s="55"/>
      <c r="K215" s="55"/>
      <c r="L215" s="48"/>
      <c r="M215" s="55"/>
      <c r="N215" s="55"/>
      <c r="O215" s="55"/>
      <c r="P215" s="55"/>
      <c r="Q215" s="55"/>
      <c r="R215" s="55"/>
      <c r="S215" s="55"/>
    </row>
    <row r="216" spans="1:19" s="2" customFormat="1" ht="18.95" customHeight="1">
      <c r="A216" s="55"/>
      <c r="B216" s="55"/>
      <c r="C216" s="55"/>
      <c r="D216" s="55"/>
      <c r="E216" s="55"/>
      <c r="F216" s="55"/>
      <c r="G216" s="55"/>
      <c r="H216" s="55"/>
      <c r="I216" s="55"/>
      <c r="J216" s="55"/>
      <c r="K216" s="55"/>
      <c r="L216" s="55"/>
      <c r="M216" s="55"/>
      <c r="N216" s="55"/>
      <c r="O216" s="55"/>
      <c r="P216" s="55"/>
      <c r="Q216" s="55"/>
      <c r="R216" s="55"/>
      <c r="S216" s="55"/>
    </row>
    <row r="217" spans="1:19" ht="18.95" customHeight="1">
      <c r="A217" s="55"/>
      <c r="B217" s="55"/>
      <c r="C217" s="55"/>
      <c r="D217" s="55"/>
      <c r="E217" s="55"/>
      <c r="F217" s="55"/>
      <c r="G217" s="55"/>
      <c r="H217" s="55"/>
      <c r="I217" s="55"/>
      <c r="J217" s="55"/>
      <c r="K217" s="55"/>
      <c r="L217" s="48"/>
      <c r="M217" s="55"/>
      <c r="N217" s="55"/>
      <c r="O217" s="55"/>
      <c r="P217" s="55"/>
      <c r="Q217" s="55"/>
      <c r="R217" s="55"/>
      <c r="S217" s="55"/>
    </row>
    <row r="218" spans="1:19" ht="18.95" customHeight="1">
      <c r="A218" s="55"/>
      <c r="B218" s="55"/>
      <c r="C218" s="55"/>
      <c r="D218" s="55"/>
      <c r="E218" s="55"/>
      <c r="F218" s="55"/>
      <c r="G218" s="55"/>
      <c r="H218" s="55"/>
      <c r="I218" s="55"/>
      <c r="J218" s="55"/>
      <c r="K218" s="55"/>
      <c r="L218" s="48"/>
      <c r="M218" s="55"/>
      <c r="N218" s="55"/>
      <c r="O218" s="55"/>
      <c r="P218" s="55"/>
      <c r="Q218" s="55"/>
      <c r="R218" s="55"/>
      <c r="S218" s="55"/>
    </row>
    <row r="219" spans="1:19" ht="18.95" customHeight="1">
      <c r="A219" s="55"/>
      <c r="B219" s="55"/>
      <c r="C219" s="55"/>
      <c r="D219" s="55"/>
      <c r="E219" s="55"/>
      <c r="F219" s="55"/>
      <c r="G219" s="55"/>
      <c r="H219" s="55"/>
      <c r="I219" s="55"/>
      <c r="J219" s="55"/>
      <c r="K219" s="55"/>
      <c r="L219" s="48"/>
      <c r="M219" s="55"/>
      <c r="N219" s="55"/>
      <c r="O219" s="55"/>
      <c r="P219" s="55"/>
      <c r="Q219" s="55"/>
      <c r="R219" s="55"/>
      <c r="S219" s="55"/>
    </row>
    <row r="220" spans="1:19" ht="18.95" customHeight="1">
      <c r="A220" s="55"/>
      <c r="B220" s="55"/>
      <c r="C220" s="55"/>
      <c r="D220" s="55"/>
      <c r="E220" s="55"/>
      <c r="F220" s="55"/>
      <c r="G220" s="55"/>
      <c r="H220" s="55"/>
      <c r="I220" s="55"/>
      <c r="J220" s="55"/>
      <c r="K220" s="55"/>
      <c r="L220" s="48"/>
      <c r="M220" s="55"/>
      <c r="N220" s="55"/>
      <c r="O220" s="55"/>
      <c r="P220" s="55"/>
      <c r="Q220" s="55"/>
      <c r="R220" s="55"/>
      <c r="S220" s="55"/>
    </row>
    <row r="221" spans="1:19" ht="18.95" customHeight="1">
      <c r="A221" s="55"/>
      <c r="B221" s="55"/>
      <c r="C221" s="55"/>
      <c r="D221" s="55"/>
      <c r="E221" s="55"/>
      <c r="F221" s="55"/>
      <c r="G221" s="55"/>
      <c r="H221" s="55"/>
      <c r="I221" s="55"/>
      <c r="J221" s="55"/>
      <c r="K221" s="55"/>
      <c r="L221" s="48"/>
      <c r="M221" s="55"/>
      <c r="N221" s="55"/>
      <c r="O221" s="55"/>
      <c r="P221" s="55"/>
      <c r="Q221" s="55"/>
      <c r="R221" s="55"/>
      <c r="S221" s="55"/>
    </row>
    <row r="222" spans="1:19" ht="18.95" customHeight="1">
      <c r="A222" s="55"/>
      <c r="B222" s="55"/>
      <c r="C222" s="55"/>
      <c r="D222" s="55"/>
      <c r="E222" s="55"/>
      <c r="F222" s="55"/>
      <c r="G222" s="55"/>
      <c r="H222" s="55"/>
      <c r="I222" s="55"/>
      <c r="J222" s="55"/>
      <c r="K222" s="55"/>
      <c r="L222" s="48"/>
      <c r="M222" s="55"/>
      <c r="N222" s="55"/>
      <c r="O222" s="55"/>
      <c r="P222" s="55"/>
      <c r="Q222" s="55"/>
      <c r="R222" s="55"/>
      <c r="S222" s="55"/>
    </row>
    <row r="223" spans="1:19" ht="18.95" customHeight="1">
      <c r="A223" s="55"/>
      <c r="B223" s="55"/>
      <c r="C223" s="55"/>
      <c r="D223" s="55"/>
      <c r="E223" s="55"/>
      <c r="F223" s="55"/>
      <c r="G223" s="55"/>
      <c r="H223" s="55"/>
      <c r="I223" s="55"/>
      <c r="J223" s="55"/>
      <c r="K223" s="55"/>
      <c r="L223" s="48"/>
      <c r="M223" s="55"/>
      <c r="N223" s="55"/>
      <c r="O223" s="55"/>
      <c r="P223" s="55"/>
      <c r="Q223" s="55"/>
      <c r="R223" s="55"/>
      <c r="S223" s="55"/>
    </row>
    <row r="224" spans="1:19" ht="18.95" customHeight="1">
      <c r="A224" s="55"/>
      <c r="B224" s="55"/>
      <c r="C224" s="55"/>
      <c r="D224" s="55"/>
      <c r="E224" s="55"/>
      <c r="F224" s="55"/>
      <c r="G224" s="55"/>
      <c r="H224" s="55"/>
      <c r="I224" s="55"/>
      <c r="J224" s="55"/>
      <c r="K224" s="55"/>
      <c r="L224" s="48"/>
      <c r="M224" s="55"/>
      <c r="N224" s="55"/>
      <c r="O224" s="55"/>
      <c r="P224" s="55"/>
      <c r="Q224" s="55"/>
      <c r="R224" s="55"/>
      <c r="S224" s="55"/>
    </row>
    <row r="225" spans="1:19" ht="18.95" customHeight="1">
      <c r="A225" s="55"/>
      <c r="B225" s="55"/>
      <c r="C225" s="55"/>
      <c r="D225" s="55"/>
      <c r="E225" s="55"/>
      <c r="F225" s="55"/>
      <c r="G225" s="55"/>
      <c r="H225" s="55"/>
      <c r="I225" s="55"/>
      <c r="J225" s="55"/>
      <c r="K225" s="55"/>
      <c r="L225" s="48"/>
      <c r="M225" s="55"/>
      <c r="N225" s="55"/>
      <c r="O225" s="55"/>
      <c r="P225" s="55"/>
      <c r="Q225" s="55"/>
      <c r="R225" s="55"/>
      <c r="S225" s="55"/>
    </row>
    <row r="226" spans="1:19" ht="18.95" customHeight="1">
      <c r="A226" s="55"/>
      <c r="B226" s="55"/>
      <c r="C226" s="55"/>
      <c r="D226" s="55"/>
      <c r="E226" s="55"/>
      <c r="F226" s="55"/>
      <c r="G226" s="55"/>
      <c r="H226" s="55"/>
      <c r="I226" s="55"/>
      <c r="J226" s="55"/>
      <c r="K226" s="55"/>
      <c r="L226" s="48"/>
      <c r="M226" s="55"/>
      <c r="N226" s="55"/>
      <c r="O226" s="55"/>
      <c r="P226" s="55"/>
      <c r="Q226" s="55"/>
      <c r="R226" s="55"/>
      <c r="S226" s="55"/>
    </row>
    <row r="227" spans="1:19" ht="18.95" customHeight="1">
      <c r="A227" s="55"/>
      <c r="B227" s="55"/>
      <c r="C227" s="55"/>
      <c r="D227" s="55"/>
      <c r="E227" s="55"/>
      <c r="F227" s="55"/>
      <c r="G227" s="55"/>
      <c r="H227" s="55"/>
      <c r="I227" s="55"/>
      <c r="J227" s="55"/>
      <c r="K227" s="55"/>
      <c r="L227" s="48"/>
      <c r="M227" s="55"/>
      <c r="N227" s="55"/>
      <c r="O227" s="55"/>
      <c r="P227" s="55"/>
      <c r="Q227" s="55"/>
      <c r="R227" s="55"/>
      <c r="S227" s="55"/>
    </row>
    <row r="228" spans="1:19" s="2" customFormat="1" ht="18.95" customHeight="1">
      <c r="A228" s="55"/>
      <c r="B228" s="55"/>
      <c r="C228" s="55"/>
      <c r="D228" s="55"/>
      <c r="E228" s="55"/>
      <c r="F228" s="55"/>
      <c r="G228" s="55"/>
      <c r="H228" s="55"/>
      <c r="I228" s="55"/>
      <c r="J228" s="55"/>
      <c r="K228" s="55"/>
      <c r="L228" s="55"/>
      <c r="M228" s="55"/>
      <c r="N228" s="55"/>
      <c r="O228" s="55"/>
      <c r="P228" s="55"/>
      <c r="Q228" s="55"/>
      <c r="R228" s="55"/>
      <c r="S228" s="55"/>
    </row>
    <row r="229" spans="1:19" s="2" customFormat="1" ht="18.95" customHeight="1">
      <c r="A229" s="55"/>
      <c r="B229" s="55"/>
      <c r="C229" s="55"/>
      <c r="D229" s="55"/>
      <c r="E229" s="55"/>
      <c r="F229" s="55"/>
      <c r="G229" s="55"/>
      <c r="H229" s="55"/>
      <c r="I229" s="55"/>
      <c r="J229" s="55"/>
      <c r="K229" s="55"/>
      <c r="L229" s="55"/>
      <c r="M229" s="55"/>
      <c r="N229" s="55"/>
      <c r="O229" s="55"/>
      <c r="P229" s="55"/>
      <c r="Q229" s="55"/>
      <c r="R229" s="55"/>
      <c r="S229" s="55"/>
    </row>
    <row r="230" spans="1:19" s="2" customFormat="1" ht="18.95" customHeight="1">
      <c r="A230" s="55"/>
      <c r="B230" s="55"/>
      <c r="C230" s="55"/>
      <c r="D230" s="55"/>
      <c r="E230" s="55"/>
      <c r="F230" s="55"/>
      <c r="G230" s="55"/>
      <c r="H230" s="55"/>
      <c r="I230" s="55"/>
      <c r="J230" s="55"/>
      <c r="K230" s="55"/>
      <c r="L230" s="55"/>
      <c r="M230" s="55"/>
      <c r="N230" s="55"/>
      <c r="O230" s="55"/>
      <c r="P230" s="55"/>
      <c r="Q230" s="55"/>
      <c r="R230" s="55"/>
      <c r="S230" s="55"/>
    </row>
    <row r="231" spans="1:19" s="2" customFormat="1" ht="18.95" customHeight="1">
      <c r="A231" s="55"/>
      <c r="B231" s="55"/>
      <c r="C231" s="55"/>
      <c r="D231" s="55"/>
      <c r="E231" s="55"/>
      <c r="F231" s="55"/>
      <c r="G231" s="55"/>
      <c r="H231" s="55"/>
      <c r="I231" s="55"/>
      <c r="J231" s="55"/>
      <c r="K231" s="55"/>
      <c r="L231" s="55"/>
      <c r="M231" s="55"/>
      <c r="N231" s="55"/>
      <c r="O231" s="55"/>
      <c r="P231" s="55"/>
      <c r="Q231" s="55"/>
      <c r="R231" s="55"/>
      <c r="S231" s="55"/>
    </row>
    <row r="232" spans="1:19" s="2" customFormat="1" ht="18.95" customHeight="1">
      <c r="A232" s="55"/>
      <c r="B232" s="55"/>
      <c r="C232" s="55"/>
      <c r="D232" s="55"/>
      <c r="E232" s="55"/>
      <c r="F232" s="55"/>
      <c r="G232" s="55"/>
      <c r="H232" s="55"/>
      <c r="I232" s="55"/>
      <c r="J232" s="55"/>
      <c r="K232" s="55"/>
      <c r="L232" s="55"/>
      <c r="M232" s="55"/>
      <c r="N232" s="55"/>
      <c r="O232" s="55"/>
      <c r="P232" s="55"/>
      <c r="Q232" s="55"/>
      <c r="R232" s="55"/>
      <c r="S232" s="55"/>
    </row>
    <row r="233" spans="1:19" s="2" customFormat="1" ht="18.95" customHeight="1">
      <c r="A233" s="55"/>
      <c r="B233" s="55"/>
      <c r="C233" s="55"/>
      <c r="D233" s="55"/>
      <c r="E233" s="55"/>
      <c r="F233" s="55"/>
      <c r="G233" s="55"/>
      <c r="H233" s="55"/>
      <c r="I233" s="55"/>
      <c r="J233" s="55"/>
      <c r="K233" s="55"/>
      <c r="L233" s="55"/>
      <c r="M233" s="55"/>
      <c r="N233" s="55"/>
      <c r="O233" s="55"/>
      <c r="P233" s="55"/>
      <c r="Q233" s="55"/>
      <c r="R233" s="55"/>
      <c r="S233" s="55"/>
    </row>
    <row r="234" spans="1:19" s="2" customFormat="1" ht="18.95" customHeight="1">
      <c r="A234" s="55"/>
      <c r="B234" s="55"/>
      <c r="C234" s="55"/>
      <c r="D234" s="55"/>
      <c r="E234" s="55"/>
      <c r="F234" s="55"/>
      <c r="G234" s="55"/>
      <c r="H234" s="55"/>
      <c r="I234" s="55"/>
      <c r="J234" s="55"/>
      <c r="K234" s="55"/>
      <c r="L234" s="55"/>
      <c r="M234" s="55"/>
      <c r="N234" s="55"/>
      <c r="O234" s="55"/>
      <c r="P234" s="55"/>
      <c r="Q234" s="55"/>
      <c r="R234" s="55"/>
      <c r="S234" s="55"/>
    </row>
    <row r="235" spans="1:19" s="2" customFormat="1" ht="18.95" customHeight="1">
      <c r="A235" s="55"/>
      <c r="B235" s="55"/>
      <c r="C235" s="55"/>
      <c r="D235" s="55"/>
      <c r="E235" s="55"/>
      <c r="F235" s="55"/>
      <c r="G235" s="55"/>
      <c r="H235" s="55"/>
      <c r="I235" s="55"/>
      <c r="J235" s="55"/>
      <c r="K235" s="55"/>
      <c r="L235" s="55"/>
      <c r="M235" s="55"/>
      <c r="N235" s="55"/>
      <c r="O235" s="55"/>
      <c r="P235" s="55"/>
      <c r="Q235" s="55"/>
      <c r="R235" s="55"/>
      <c r="S235" s="55"/>
    </row>
    <row r="236" spans="1:19" s="2" customFormat="1" ht="18.95" customHeight="1">
      <c r="A236" s="55"/>
      <c r="B236" s="55"/>
      <c r="C236" s="55"/>
      <c r="D236" s="55"/>
      <c r="E236" s="55"/>
      <c r="F236" s="55"/>
      <c r="G236" s="55"/>
      <c r="H236" s="55"/>
      <c r="I236" s="55"/>
      <c r="J236" s="55"/>
      <c r="K236" s="55"/>
      <c r="L236" s="55"/>
      <c r="M236" s="55"/>
      <c r="N236" s="55"/>
      <c r="O236" s="55"/>
      <c r="P236" s="55"/>
      <c r="Q236" s="55"/>
      <c r="R236" s="55"/>
      <c r="S236" s="55"/>
    </row>
    <row r="237" spans="1:19" s="2" customFormat="1" ht="18.95" customHeight="1">
      <c r="A237" s="55"/>
      <c r="B237" s="55"/>
      <c r="C237" s="55"/>
      <c r="D237" s="55"/>
      <c r="E237" s="55"/>
      <c r="F237" s="55"/>
      <c r="G237" s="55"/>
      <c r="H237" s="55"/>
      <c r="I237" s="55"/>
      <c r="J237" s="55"/>
      <c r="K237" s="55"/>
      <c r="L237" s="55"/>
      <c r="M237" s="55"/>
      <c r="N237" s="55"/>
      <c r="O237" s="55"/>
      <c r="P237" s="55"/>
      <c r="Q237" s="55"/>
      <c r="R237" s="55"/>
      <c r="S237" s="55"/>
    </row>
    <row r="238" spans="1:19" s="2" customFormat="1" ht="18.95" customHeight="1">
      <c r="A238" s="55"/>
      <c r="B238" s="55"/>
      <c r="C238" s="55"/>
      <c r="D238" s="55"/>
      <c r="E238" s="55"/>
      <c r="F238" s="55"/>
      <c r="G238" s="55"/>
      <c r="H238" s="55"/>
      <c r="I238" s="55"/>
      <c r="J238" s="55"/>
      <c r="K238" s="55"/>
      <c r="L238" s="55"/>
      <c r="M238" s="55"/>
      <c r="N238" s="55"/>
      <c r="O238" s="55"/>
      <c r="P238" s="55"/>
      <c r="Q238" s="55"/>
      <c r="R238" s="55"/>
      <c r="S238" s="55"/>
    </row>
    <row r="239" spans="1:19" ht="18.95" customHeight="1">
      <c r="A239" s="55"/>
      <c r="B239" s="55"/>
      <c r="C239" s="55"/>
      <c r="D239" s="55"/>
      <c r="E239" s="55"/>
      <c r="F239" s="55"/>
      <c r="G239" s="55"/>
      <c r="H239" s="55"/>
      <c r="I239" s="55"/>
      <c r="J239" s="55"/>
      <c r="K239" s="55"/>
      <c r="L239" s="48"/>
      <c r="M239" s="55"/>
      <c r="N239" s="55"/>
      <c r="O239" s="55"/>
      <c r="P239" s="55"/>
      <c r="Q239" s="55"/>
      <c r="R239" s="55"/>
      <c r="S239" s="55"/>
    </row>
    <row r="240" spans="1:19" ht="18.95" customHeight="1">
      <c r="A240" s="55"/>
      <c r="B240" s="55"/>
      <c r="C240" s="55"/>
      <c r="D240" s="55"/>
      <c r="E240" s="55"/>
      <c r="F240" s="55"/>
      <c r="G240" s="55"/>
      <c r="H240" s="55"/>
      <c r="I240" s="55"/>
      <c r="J240" s="55"/>
      <c r="K240" s="55"/>
      <c r="L240" s="48"/>
      <c r="M240" s="55"/>
      <c r="N240" s="55"/>
      <c r="O240" s="55"/>
      <c r="P240" s="55"/>
      <c r="Q240" s="55"/>
      <c r="R240" s="55"/>
      <c r="S240" s="55"/>
    </row>
    <row r="241" spans="1:19" ht="18.95" customHeight="1">
      <c r="A241" s="55"/>
      <c r="B241" s="55"/>
      <c r="C241" s="55"/>
      <c r="D241" s="55"/>
      <c r="E241" s="55"/>
      <c r="F241" s="55"/>
      <c r="G241" s="55"/>
      <c r="H241" s="55"/>
      <c r="I241" s="55"/>
      <c r="J241" s="55"/>
      <c r="K241" s="55"/>
      <c r="L241" s="48"/>
      <c r="M241" s="55"/>
      <c r="N241" s="55"/>
      <c r="O241" s="55"/>
      <c r="P241" s="55"/>
      <c r="Q241" s="55"/>
      <c r="R241" s="55"/>
      <c r="S241" s="55"/>
    </row>
    <row r="242" spans="1:19" ht="18.95" customHeight="1">
      <c r="A242" s="55"/>
      <c r="B242" s="55"/>
      <c r="C242" s="55"/>
      <c r="D242" s="55"/>
      <c r="E242" s="55"/>
      <c r="F242" s="55"/>
      <c r="G242" s="55"/>
      <c r="H242" s="55"/>
      <c r="I242" s="55"/>
      <c r="J242" s="55"/>
      <c r="K242" s="55"/>
      <c r="L242" s="48"/>
      <c r="M242" s="55"/>
      <c r="N242" s="55"/>
      <c r="O242" s="55"/>
      <c r="P242" s="55"/>
      <c r="Q242" s="55"/>
      <c r="R242" s="55"/>
      <c r="S242" s="55"/>
    </row>
    <row r="243" spans="1:19" ht="18.95" customHeight="1">
      <c r="A243" s="55"/>
      <c r="B243" s="55"/>
      <c r="C243" s="55"/>
      <c r="D243" s="55"/>
      <c r="E243" s="55"/>
      <c r="F243" s="55"/>
      <c r="G243" s="55"/>
      <c r="H243" s="55"/>
      <c r="I243" s="55"/>
      <c r="J243" s="55"/>
      <c r="K243" s="55"/>
      <c r="L243" s="48"/>
      <c r="M243" s="55"/>
      <c r="N243" s="55"/>
      <c r="O243" s="55"/>
      <c r="P243" s="55"/>
      <c r="Q243" s="55"/>
      <c r="R243" s="55"/>
      <c r="S243" s="55"/>
    </row>
    <row r="244" spans="1:19" ht="18.95" customHeight="1">
      <c r="A244" s="55"/>
      <c r="B244" s="55"/>
      <c r="C244" s="55"/>
      <c r="D244" s="55"/>
      <c r="E244" s="55"/>
      <c r="F244" s="55"/>
      <c r="G244" s="55"/>
      <c r="H244" s="55"/>
      <c r="I244" s="55"/>
      <c r="J244" s="55"/>
      <c r="K244" s="55"/>
      <c r="L244" s="48"/>
      <c r="M244" s="55"/>
      <c r="N244" s="55"/>
      <c r="O244" s="55"/>
      <c r="P244" s="55"/>
      <c r="Q244" s="55"/>
      <c r="R244" s="55"/>
      <c r="S244" s="55"/>
    </row>
    <row r="245" spans="1:19" ht="18.95" customHeight="1">
      <c r="A245" s="55"/>
      <c r="B245" s="55"/>
      <c r="C245" s="55"/>
      <c r="D245" s="55"/>
      <c r="E245" s="55"/>
      <c r="F245" s="55"/>
      <c r="G245" s="55"/>
      <c r="H245" s="55"/>
      <c r="I245" s="55"/>
      <c r="J245" s="55"/>
      <c r="K245" s="55"/>
      <c r="L245" s="48"/>
      <c r="M245" s="55"/>
      <c r="N245" s="55"/>
      <c r="O245" s="55"/>
      <c r="P245" s="55"/>
      <c r="Q245" s="55"/>
      <c r="R245" s="55"/>
      <c r="S245" s="55"/>
    </row>
    <row r="246" spans="1:19" ht="18.95" customHeight="1">
      <c r="A246" s="55"/>
      <c r="B246" s="55"/>
      <c r="C246" s="55"/>
      <c r="D246" s="55"/>
      <c r="E246" s="55"/>
      <c r="F246" s="55"/>
      <c r="G246" s="55"/>
      <c r="H246" s="55"/>
      <c r="I246" s="55"/>
      <c r="J246" s="55"/>
      <c r="K246" s="55"/>
      <c r="L246" s="48"/>
      <c r="M246" s="55"/>
      <c r="N246" s="55"/>
      <c r="O246" s="55"/>
      <c r="P246" s="55"/>
      <c r="Q246" s="55"/>
      <c r="R246" s="55"/>
      <c r="S246" s="55"/>
    </row>
    <row r="247" spans="1:19" ht="18.95" customHeight="1">
      <c r="A247" s="55"/>
      <c r="B247" s="55"/>
      <c r="C247" s="55"/>
      <c r="D247" s="55"/>
      <c r="E247" s="55"/>
      <c r="F247" s="55"/>
      <c r="G247" s="55"/>
      <c r="H247" s="55"/>
      <c r="I247" s="55"/>
      <c r="J247" s="55"/>
      <c r="K247" s="55"/>
      <c r="L247" s="48"/>
      <c r="M247" s="55"/>
      <c r="N247" s="55"/>
      <c r="O247" s="55"/>
      <c r="P247" s="55"/>
      <c r="Q247" s="55"/>
      <c r="R247" s="55"/>
      <c r="S247" s="55"/>
    </row>
    <row r="248" spans="1:19" ht="18.95" customHeight="1">
      <c r="A248" s="55"/>
      <c r="B248" s="55"/>
      <c r="C248" s="55"/>
      <c r="D248" s="55"/>
      <c r="E248" s="55"/>
      <c r="F248" s="55"/>
      <c r="G248" s="55"/>
      <c r="H248" s="55"/>
      <c r="I248" s="55"/>
      <c r="J248" s="55"/>
      <c r="K248" s="55"/>
      <c r="L248" s="48"/>
      <c r="M248" s="55"/>
      <c r="N248" s="55"/>
      <c r="O248" s="55"/>
      <c r="P248" s="55"/>
      <c r="Q248" s="55"/>
      <c r="R248" s="55"/>
      <c r="S248" s="55"/>
    </row>
    <row r="249" spans="1:19" ht="18.95" customHeight="1">
      <c r="A249" s="55"/>
      <c r="B249" s="55"/>
      <c r="C249" s="55"/>
      <c r="D249" s="55"/>
      <c r="E249" s="55"/>
      <c r="F249" s="55"/>
      <c r="G249" s="55"/>
      <c r="H249" s="55"/>
      <c r="I249" s="55"/>
      <c r="J249" s="55"/>
      <c r="K249" s="55"/>
      <c r="L249" s="48"/>
      <c r="M249" s="55"/>
      <c r="N249" s="55"/>
      <c r="O249" s="55"/>
      <c r="P249" s="55"/>
      <c r="Q249" s="55"/>
      <c r="R249" s="55"/>
      <c r="S249" s="55"/>
    </row>
    <row r="250" spans="1:19" ht="18.95" customHeight="1">
      <c r="A250" s="55"/>
      <c r="B250" s="55"/>
      <c r="C250" s="55"/>
      <c r="D250" s="55"/>
      <c r="E250" s="55"/>
      <c r="F250" s="55"/>
      <c r="G250" s="55"/>
      <c r="H250" s="55"/>
      <c r="I250" s="55"/>
      <c r="J250" s="55"/>
      <c r="K250" s="55"/>
      <c r="L250" s="48"/>
      <c r="M250" s="55"/>
      <c r="N250" s="55"/>
      <c r="O250" s="55"/>
      <c r="P250" s="55"/>
      <c r="Q250" s="55"/>
      <c r="R250" s="55"/>
      <c r="S250" s="55"/>
    </row>
    <row r="251" spans="1:19" ht="18.95" customHeight="1">
      <c r="A251" s="55"/>
      <c r="B251" s="55"/>
      <c r="C251" s="55"/>
      <c r="D251" s="55"/>
      <c r="E251" s="55"/>
      <c r="F251" s="55"/>
      <c r="G251" s="55"/>
      <c r="H251" s="55"/>
      <c r="I251" s="55"/>
      <c r="J251" s="55"/>
      <c r="K251" s="55"/>
      <c r="L251" s="48"/>
      <c r="M251" s="55"/>
      <c r="N251" s="55"/>
      <c r="O251" s="55"/>
      <c r="P251" s="55"/>
      <c r="Q251" s="55"/>
      <c r="R251" s="55"/>
      <c r="S251" s="55"/>
    </row>
    <row r="252" spans="1:19" ht="18.95" customHeight="1">
      <c r="A252" s="55"/>
      <c r="B252" s="55"/>
      <c r="C252" s="55"/>
      <c r="D252" s="55"/>
      <c r="E252" s="55"/>
      <c r="F252" s="55"/>
      <c r="G252" s="55"/>
      <c r="H252" s="55"/>
      <c r="I252" s="55"/>
      <c r="J252" s="55"/>
      <c r="K252" s="55"/>
      <c r="L252" s="48"/>
      <c r="M252" s="55"/>
      <c r="N252" s="55"/>
      <c r="O252" s="55"/>
      <c r="P252" s="55"/>
      <c r="Q252" s="55"/>
      <c r="R252" s="55"/>
      <c r="S252" s="55"/>
    </row>
    <row r="253" spans="1:19" ht="18.95" customHeight="1">
      <c r="A253" s="55"/>
      <c r="B253" s="55"/>
      <c r="C253" s="55"/>
      <c r="D253" s="55"/>
      <c r="E253" s="55"/>
      <c r="F253" s="55"/>
      <c r="G253" s="55"/>
      <c r="H253" s="55"/>
      <c r="I253" s="55"/>
      <c r="J253" s="55"/>
      <c r="K253" s="55"/>
      <c r="L253" s="48"/>
      <c r="M253" s="55"/>
      <c r="N253" s="55"/>
      <c r="O253" s="55"/>
      <c r="P253" s="55"/>
      <c r="Q253" s="55"/>
      <c r="R253" s="55"/>
      <c r="S253" s="55"/>
    </row>
    <row r="254" spans="1:19" ht="18.95" customHeight="1">
      <c r="A254" s="55"/>
      <c r="B254" s="55"/>
      <c r="C254" s="55"/>
      <c r="D254" s="55"/>
      <c r="E254" s="55"/>
      <c r="F254" s="55"/>
      <c r="G254" s="55"/>
      <c r="H254" s="55"/>
      <c r="I254" s="55"/>
      <c r="J254" s="55"/>
      <c r="K254" s="55"/>
      <c r="L254" s="48"/>
      <c r="M254" s="55"/>
      <c r="N254" s="55"/>
      <c r="O254" s="55"/>
      <c r="P254" s="55"/>
      <c r="Q254" s="55"/>
      <c r="R254" s="55"/>
      <c r="S254" s="55"/>
    </row>
    <row r="255" spans="1:19" ht="18.95" customHeight="1">
      <c r="A255" s="55"/>
      <c r="B255" s="55"/>
      <c r="C255" s="55"/>
      <c r="D255" s="55"/>
      <c r="E255" s="55"/>
      <c r="F255" s="55"/>
      <c r="G255" s="55"/>
      <c r="H255" s="55"/>
      <c r="I255" s="55"/>
      <c r="J255" s="55"/>
      <c r="K255" s="55"/>
      <c r="L255" s="48"/>
      <c r="M255" s="55"/>
      <c r="N255" s="55"/>
      <c r="O255" s="55"/>
      <c r="P255" s="55"/>
      <c r="Q255" s="55"/>
      <c r="R255" s="55"/>
      <c r="S255" s="55"/>
    </row>
    <row r="256" spans="1:19" ht="18.95" customHeight="1">
      <c r="A256" s="55"/>
      <c r="B256" s="55"/>
      <c r="C256" s="55"/>
      <c r="D256" s="55"/>
      <c r="E256" s="55"/>
      <c r="F256" s="55"/>
      <c r="G256" s="55"/>
      <c r="H256" s="55"/>
      <c r="I256" s="55"/>
      <c r="J256" s="55"/>
      <c r="K256" s="55"/>
      <c r="L256" s="48"/>
      <c r="M256" s="55"/>
      <c r="N256" s="55"/>
      <c r="O256" s="55"/>
      <c r="P256" s="55"/>
      <c r="Q256" s="55"/>
      <c r="R256" s="55"/>
      <c r="S256" s="55"/>
    </row>
    <row r="257" spans="1:19" ht="18.95" customHeight="1">
      <c r="A257" s="55"/>
      <c r="B257" s="55"/>
      <c r="C257" s="55"/>
      <c r="D257" s="55"/>
      <c r="E257" s="55"/>
      <c r="F257" s="55"/>
      <c r="G257" s="55"/>
      <c r="H257" s="55"/>
      <c r="I257" s="55"/>
      <c r="J257" s="55"/>
      <c r="K257" s="55"/>
      <c r="L257" s="48"/>
      <c r="M257" s="55"/>
      <c r="N257" s="55"/>
      <c r="O257" s="55"/>
      <c r="P257" s="55"/>
      <c r="Q257" s="55"/>
      <c r="R257" s="55"/>
      <c r="S257" s="55"/>
    </row>
    <row r="258" spans="1:19" ht="18.95" customHeight="1">
      <c r="A258" s="55"/>
      <c r="B258" s="55"/>
      <c r="C258" s="55"/>
      <c r="D258" s="55"/>
      <c r="E258" s="55"/>
      <c r="F258" s="55"/>
      <c r="G258" s="55"/>
      <c r="H258" s="55"/>
      <c r="I258" s="55"/>
      <c r="J258" s="55"/>
      <c r="K258" s="55"/>
      <c r="L258" s="48"/>
      <c r="M258" s="55"/>
      <c r="N258" s="55"/>
      <c r="O258" s="55"/>
      <c r="P258" s="55"/>
      <c r="Q258" s="55"/>
      <c r="R258" s="55"/>
      <c r="S258" s="55"/>
    </row>
    <row r="259" spans="1:19" ht="18.95" customHeight="1">
      <c r="A259" s="55"/>
      <c r="B259" s="55"/>
      <c r="C259" s="55"/>
      <c r="D259" s="55"/>
      <c r="E259" s="55"/>
      <c r="F259" s="55"/>
      <c r="G259" s="55"/>
      <c r="H259" s="55"/>
      <c r="I259" s="55"/>
      <c r="J259" s="55"/>
      <c r="K259" s="55"/>
      <c r="L259" s="48"/>
      <c r="M259" s="55"/>
      <c r="N259" s="55"/>
      <c r="O259" s="55"/>
      <c r="P259" s="55"/>
      <c r="Q259" s="55"/>
      <c r="R259" s="55"/>
      <c r="S259" s="55"/>
    </row>
    <row r="260" spans="1:19" s="2" customFormat="1" ht="18.95" customHeight="1">
      <c r="A260" s="55"/>
      <c r="B260" s="55"/>
      <c r="C260" s="55"/>
      <c r="D260" s="55"/>
      <c r="E260" s="55"/>
      <c r="F260" s="55"/>
      <c r="G260" s="55"/>
      <c r="H260" s="55"/>
      <c r="I260" s="55"/>
      <c r="J260" s="55"/>
      <c r="K260" s="55"/>
      <c r="L260" s="55"/>
      <c r="M260" s="55"/>
      <c r="N260" s="55"/>
      <c r="O260" s="55"/>
      <c r="P260" s="55"/>
      <c r="Q260" s="55"/>
      <c r="R260" s="55"/>
      <c r="S260" s="55"/>
    </row>
    <row r="261" spans="1:19" s="2" customFormat="1" ht="18.95" customHeight="1">
      <c r="A261" s="55"/>
      <c r="B261" s="55"/>
      <c r="C261" s="55"/>
      <c r="D261" s="55"/>
      <c r="E261" s="55"/>
      <c r="F261" s="55"/>
      <c r="G261" s="55"/>
      <c r="H261" s="55"/>
      <c r="I261" s="55"/>
      <c r="J261" s="55"/>
      <c r="K261" s="55"/>
      <c r="L261" s="55"/>
      <c r="M261" s="55"/>
      <c r="N261" s="55"/>
      <c r="O261" s="55"/>
      <c r="P261" s="55"/>
      <c r="Q261" s="55"/>
      <c r="R261" s="55"/>
      <c r="S261" s="55"/>
    </row>
    <row r="262" spans="1:19" s="2" customFormat="1" ht="18.95" customHeight="1">
      <c r="A262" s="55"/>
      <c r="B262" s="55"/>
      <c r="C262" s="55"/>
      <c r="D262" s="55"/>
      <c r="E262" s="55"/>
      <c r="F262" s="55"/>
      <c r="G262" s="55"/>
      <c r="H262" s="55"/>
      <c r="I262" s="55"/>
      <c r="J262" s="55"/>
      <c r="K262" s="55"/>
      <c r="L262" s="55"/>
      <c r="M262" s="55"/>
      <c r="N262" s="55"/>
      <c r="O262" s="55"/>
      <c r="P262" s="55"/>
      <c r="Q262" s="55"/>
      <c r="R262" s="55"/>
      <c r="S262" s="55"/>
    </row>
    <row r="263" spans="1:19" s="2" customFormat="1" ht="18.95" customHeight="1">
      <c r="A263" s="55"/>
      <c r="B263" s="55"/>
      <c r="C263" s="55"/>
      <c r="D263" s="55"/>
      <c r="E263" s="55"/>
      <c r="F263" s="55"/>
      <c r="G263" s="55"/>
      <c r="H263" s="55"/>
      <c r="I263" s="55"/>
      <c r="J263" s="55"/>
      <c r="K263" s="55"/>
      <c r="L263" s="55"/>
      <c r="M263" s="55"/>
      <c r="N263" s="55"/>
      <c r="O263" s="55"/>
      <c r="P263" s="55"/>
      <c r="Q263" s="55"/>
      <c r="R263" s="55"/>
      <c r="S263" s="55"/>
    </row>
    <row r="264" spans="1:19" s="2" customFormat="1" ht="18.95" customHeight="1">
      <c r="A264" s="55"/>
      <c r="B264" s="55"/>
      <c r="C264" s="55"/>
      <c r="D264" s="55"/>
      <c r="E264" s="55"/>
      <c r="F264" s="55"/>
      <c r="G264" s="55"/>
      <c r="H264" s="55"/>
      <c r="I264" s="55"/>
      <c r="J264" s="55"/>
      <c r="K264" s="55"/>
      <c r="L264" s="55"/>
      <c r="M264" s="55"/>
      <c r="N264" s="55"/>
      <c r="O264" s="55"/>
      <c r="P264" s="55"/>
      <c r="Q264" s="55"/>
      <c r="R264" s="55"/>
      <c r="S264" s="55"/>
    </row>
    <row r="265" spans="1:19" s="2" customFormat="1" ht="18.95" customHeight="1">
      <c r="A265" s="55"/>
      <c r="B265" s="55"/>
      <c r="C265" s="55"/>
      <c r="D265" s="55"/>
      <c r="E265" s="55"/>
      <c r="F265" s="55"/>
      <c r="G265" s="55"/>
      <c r="H265" s="55"/>
      <c r="I265" s="55"/>
      <c r="J265" s="55"/>
      <c r="K265" s="55"/>
      <c r="L265" s="55"/>
      <c r="M265" s="55"/>
      <c r="N265" s="55"/>
      <c r="O265" s="55"/>
      <c r="P265" s="55"/>
      <c r="Q265" s="55"/>
      <c r="R265" s="55"/>
      <c r="S265" s="55"/>
    </row>
    <row r="266" spans="1:19" ht="18.95" customHeight="1">
      <c r="A266" s="55"/>
      <c r="B266" s="55"/>
      <c r="C266" s="55"/>
      <c r="D266" s="55"/>
      <c r="E266" s="55"/>
      <c r="F266" s="55"/>
      <c r="G266" s="55"/>
      <c r="H266" s="55"/>
      <c r="I266" s="55"/>
      <c r="J266" s="55"/>
      <c r="K266" s="55"/>
      <c r="L266" s="48"/>
      <c r="M266" s="55"/>
      <c r="N266" s="55"/>
      <c r="O266" s="55"/>
      <c r="P266" s="55"/>
      <c r="Q266" s="55"/>
      <c r="R266" s="55"/>
      <c r="S266" s="55"/>
    </row>
    <row r="267" spans="1:19" ht="18.95" customHeight="1">
      <c r="A267" s="55"/>
      <c r="B267" s="55"/>
      <c r="C267" s="55"/>
      <c r="D267" s="55"/>
      <c r="E267" s="55"/>
      <c r="F267" s="55"/>
      <c r="G267" s="55"/>
      <c r="H267" s="55"/>
      <c r="I267" s="55"/>
      <c r="J267" s="55"/>
      <c r="K267" s="55"/>
      <c r="L267" s="48"/>
      <c r="M267" s="55"/>
      <c r="N267" s="55"/>
      <c r="O267" s="55"/>
      <c r="P267" s="55"/>
      <c r="Q267" s="55"/>
      <c r="R267" s="55"/>
      <c r="S267" s="55"/>
    </row>
    <row r="268" spans="1:19" ht="18.95" customHeight="1">
      <c r="A268" s="55"/>
      <c r="B268" s="55"/>
      <c r="C268" s="55"/>
      <c r="D268" s="55"/>
      <c r="E268" s="55"/>
      <c r="F268" s="55"/>
      <c r="G268" s="55"/>
      <c r="H268" s="55"/>
      <c r="I268" s="55"/>
      <c r="J268" s="55"/>
      <c r="K268" s="55"/>
      <c r="L268" s="48"/>
      <c r="M268" s="55"/>
      <c r="N268" s="55"/>
      <c r="O268" s="55"/>
      <c r="P268" s="55"/>
      <c r="Q268" s="55"/>
      <c r="R268" s="55"/>
      <c r="S268" s="55"/>
    </row>
    <row r="269" spans="1:19" ht="18.95" customHeight="1">
      <c r="A269" s="55"/>
      <c r="B269" s="55"/>
      <c r="C269" s="55"/>
      <c r="D269" s="55"/>
      <c r="E269" s="55"/>
      <c r="F269" s="55"/>
      <c r="G269" s="55"/>
      <c r="H269" s="55"/>
      <c r="I269" s="55"/>
      <c r="J269" s="55"/>
      <c r="K269" s="55"/>
      <c r="L269" s="48"/>
      <c r="M269" s="55"/>
      <c r="N269" s="55"/>
      <c r="O269" s="55"/>
      <c r="P269" s="55"/>
      <c r="Q269" s="55"/>
      <c r="R269" s="55"/>
      <c r="S269" s="55"/>
    </row>
    <row r="270" spans="1:19" ht="18.95" customHeight="1">
      <c r="A270" s="55"/>
      <c r="B270" s="55"/>
      <c r="C270" s="55"/>
      <c r="D270" s="55"/>
      <c r="E270" s="55"/>
      <c r="F270" s="55"/>
      <c r="G270" s="55"/>
      <c r="H270" s="55"/>
      <c r="I270" s="55"/>
      <c r="J270" s="55"/>
      <c r="K270" s="55"/>
      <c r="L270" s="48"/>
      <c r="M270" s="55"/>
      <c r="N270" s="55"/>
      <c r="O270" s="55"/>
      <c r="P270" s="55"/>
      <c r="Q270" s="55"/>
      <c r="R270" s="55"/>
      <c r="S270" s="55"/>
    </row>
    <row r="271" spans="1:19" ht="18.95" customHeight="1">
      <c r="A271" s="55"/>
      <c r="B271" s="55"/>
      <c r="C271" s="55"/>
      <c r="D271" s="55"/>
      <c r="E271" s="55"/>
      <c r="F271" s="55"/>
      <c r="G271" s="55"/>
      <c r="H271" s="55"/>
      <c r="I271" s="55"/>
      <c r="J271" s="55"/>
      <c r="K271" s="55"/>
      <c r="L271" s="48"/>
      <c r="M271" s="55"/>
      <c r="N271" s="55"/>
      <c r="O271" s="55"/>
      <c r="P271" s="55"/>
      <c r="Q271" s="55"/>
      <c r="R271" s="55"/>
      <c r="S271" s="55"/>
    </row>
    <row r="272" spans="1:19" ht="18.95" customHeight="1">
      <c r="A272" s="55"/>
      <c r="B272" s="55"/>
      <c r="C272" s="55"/>
      <c r="D272" s="55"/>
      <c r="E272" s="55"/>
      <c r="F272" s="55"/>
      <c r="G272" s="55"/>
      <c r="H272" s="55"/>
      <c r="I272" s="55"/>
      <c r="J272" s="55"/>
      <c r="K272" s="55"/>
      <c r="L272" s="48"/>
      <c r="M272" s="55"/>
      <c r="N272" s="55"/>
      <c r="O272" s="55"/>
      <c r="P272" s="55"/>
      <c r="Q272" s="55"/>
      <c r="R272" s="55"/>
      <c r="S272" s="55"/>
    </row>
    <row r="273" spans="1:19" ht="18.95" customHeight="1">
      <c r="A273" s="55"/>
      <c r="B273" s="55"/>
      <c r="C273" s="55"/>
      <c r="D273" s="55"/>
      <c r="E273" s="55"/>
      <c r="F273" s="55"/>
      <c r="G273" s="55"/>
      <c r="H273" s="55"/>
      <c r="I273" s="55"/>
      <c r="J273" s="55"/>
      <c r="K273" s="55"/>
      <c r="L273" s="48"/>
      <c r="M273" s="55"/>
      <c r="N273" s="55"/>
      <c r="O273" s="55"/>
      <c r="P273" s="55"/>
      <c r="Q273" s="55"/>
      <c r="R273" s="55"/>
      <c r="S273" s="55"/>
    </row>
    <row r="274" spans="1:19" ht="18.95" customHeight="1">
      <c r="A274" s="55"/>
      <c r="B274" s="55"/>
      <c r="C274" s="55"/>
      <c r="D274" s="55"/>
      <c r="E274" s="55"/>
      <c r="F274" s="55"/>
      <c r="G274" s="55"/>
      <c r="H274" s="55"/>
      <c r="I274" s="55"/>
      <c r="J274" s="55"/>
      <c r="K274" s="55"/>
      <c r="L274" s="48"/>
      <c r="M274" s="55"/>
      <c r="N274" s="55"/>
      <c r="O274" s="55"/>
      <c r="P274" s="55"/>
      <c r="Q274" s="55"/>
      <c r="R274" s="55"/>
      <c r="S274" s="55"/>
    </row>
    <row r="275" spans="1:19" ht="18.95" customHeight="1">
      <c r="A275" s="55"/>
      <c r="B275" s="55"/>
      <c r="C275" s="55"/>
      <c r="D275" s="55"/>
      <c r="E275" s="55"/>
      <c r="F275" s="55"/>
      <c r="G275" s="55"/>
      <c r="H275" s="55"/>
      <c r="I275" s="55"/>
      <c r="J275" s="55"/>
      <c r="K275" s="55"/>
      <c r="L275" s="48"/>
      <c r="M275" s="55"/>
      <c r="N275" s="55"/>
      <c r="O275" s="55"/>
      <c r="P275" s="55"/>
      <c r="Q275" s="55"/>
      <c r="R275" s="55"/>
      <c r="S275" s="55"/>
    </row>
    <row r="276" spans="1:19" ht="18.95" customHeight="1">
      <c r="A276" s="55"/>
      <c r="B276" s="55"/>
      <c r="C276" s="55"/>
      <c r="D276" s="55"/>
      <c r="E276" s="55"/>
      <c r="F276" s="55"/>
      <c r="G276" s="55"/>
      <c r="H276" s="55"/>
      <c r="I276" s="55"/>
      <c r="J276" s="55"/>
      <c r="K276" s="55"/>
      <c r="L276" s="48"/>
      <c r="M276" s="55"/>
      <c r="N276" s="55"/>
      <c r="O276" s="55"/>
      <c r="P276" s="55"/>
      <c r="Q276" s="55"/>
      <c r="R276" s="55"/>
      <c r="S276" s="55"/>
    </row>
    <row r="277" spans="1:19" ht="18.95" customHeight="1">
      <c r="A277" s="55"/>
      <c r="B277" s="55"/>
      <c r="C277" s="55"/>
      <c r="D277" s="55"/>
      <c r="E277" s="55"/>
      <c r="F277" s="55"/>
      <c r="G277" s="55"/>
      <c r="H277" s="55"/>
      <c r="I277" s="55"/>
      <c r="J277" s="55"/>
      <c r="K277" s="55"/>
      <c r="L277" s="48"/>
      <c r="M277" s="55"/>
      <c r="N277" s="55"/>
      <c r="O277" s="55"/>
      <c r="P277" s="55"/>
      <c r="Q277" s="55"/>
      <c r="R277" s="55"/>
      <c r="S277" s="55"/>
    </row>
    <row r="278" spans="1:19" ht="18.95" customHeight="1">
      <c r="A278" s="55"/>
      <c r="B278" s="55"/>
      <c r="C278" s="55"/>
      <c r="D278" s="55"/>
      <c r="E278" s="55"/>
      <c r="F278" s="55"/>
      <c r="G278" s="55"/>
      <c r="H278" s="55"/>
      <c r="I278" s="55"/>
      <c r="J278" s="55"/>
      <c r="K278" s="55"/>
      <c r="L278" s="48"/>
      <c r="M278" s="55"/>
      <c r="N278" s="55"/>
      <c r="O278" s="55"/>
      <c r="P278" s="55"/>
      <c r="Q278" s="55"/>
      <c r="R278" s="55"/>
      <c r="S278" s="55"/>
    </row>
    <row r="279" spans="1:19" ht="18.95" customHeight="1">
      <c r="A279" s="55"/>
      <c r="B279" s="55"/>
      <c r="C279" s="55"/>
      <c r="D279" s="55"/>
      <c r="E279" s="55"/>
      <c r="F279" s="55"/>
      <c r="G279" s="55"/>
      <c r="H279" s="55"/>
      <c r="I279" s="55"/>
      <c r="J279" s="55"/>
      <c r="K279" s="55"/>
      <c r="L279" s="48"/>
      <c r="M279" s="55"/>
      <c r="N279" s="55"/>
      <c r="O279" s="55"/>
      <c r="P279" s="55"/>
      <c r="Q279" s="55"/>
      <c r="R279" s="55"/>
      <c r="S279" s="55"/>
    </row>
    <row r="280" spans="1:19" ht="18.95" customHeight="1">
      <c r="A280" s="55"/>
      <c r="B280" s="55"/>
      <c r="C280" s="55"/>
      <c r="D280" s="55"/>
      <c r="E280" s="55"/>
      <c r="F280" s="55"/>
      <c r="G280" s="55"/>
      <c r="H280" s="55"/>
      <c r="I280" s="55"/>
      <c r="J280" s="55"/>
      <c r="K280" s="55"/>
      <c r="L280" s="48"/>
      <c r="M280" s="55"/>
      <c r="N280" s="55"/>
      <c r="O280" s="55"/>
      <c r="P280" s="55"/>
      <c r="Q280" s="55"/>
      <c r="R280" s="55"/>
      <c r="S280" s="55"/>
    </row>
    <row r="281" spans="1:19" ht="18.95" customHeight="1">
      <c r="A281" s="55"/>
      <c r="B281" s="55"/>
      <c r="C281" s="55"/>
      <c r="D281" s="55"/>
      <c r="E281" s="55"/>
      <c r="F281" s="55"/>
      <c r="G281" s="55"/>
      <c r="H281" s="55"/>
      <c r="I281" s="55"/>
      <c r="J281" s="55"/>
      <c r="K281" s="55"/>
      <c r="L281" s="48"/>
      <c r="M281" s="55"/>
      <c r="N281" s="55"/>
      <c r="O281" s="55"/>
      <c r="P281" s="55"/>
      <c r="Q281" s="55"/>
      <c r="R281" s="55"/>
      <c r="S281" s="55"/>
    </row>
    <row r="282" spans="1:19" ht="18.95" customHeight="1">
      <c r="A282" s="55"/>
      <c r="B282" s="55"/>
      <c r="C282" s="55"/>
      <c r="D282" s="55"/>
      <c r="E282" s="55"/>
      <c r="F282" s="55"/>
      <c r="G282" s="55"/>
      <c r="H282" s="55"/>
      <c r="I282" s="55"/>
      <c r="J282" s="55"/>
      <c r="K282" s="55"/>
      <c r="L282" s="48"/>
      <c r="M282" s="55"/>
      <c r="N282" s="55"/>
      <c r="O282" s="55"/>
      <c r="P282" s="55"/>
      <c r="Q282" s="55"/>
      <c r="R282" s="55"/>
      <c r="S282" s="55"/>
    </row>
    <row r="283" spans="1:19" ht="18.95" customHeight="1">
      <c r="A283" s="55"/>
      <c r="B283" s="55"/>
      <c r="C283" s="55"/>
      <c r="D283" s="55"/>
      <c r="E283" s="55"/>
      <c r="F283" s="55"/>
      <c r="G283" s="55"/>
      <c r="H283" s="55"/>
      <c r="I283" s="55"/>
      <c r="J283" s="55"/>
      <c r="K283" s="55"/>
      <c r="L283" s="48"/>
      <c r="M283" s="55"/>
      <c r="N283" s="55"/>
      <c r="O283" s="55"/>
      <c r="P283" s="55"/>
      <c r="Q283" s="55"/>
      <c r="R283" s="55"/>
      <c r="S283" s="55"/>
    </row>
    <row r="284" spans="1:19" ht="18.95" customHeight="1">
      <c r="A284" s="55"/>
      <c r="B284" s="55"/>
      <c r="C284" s="55"/>
      <c r="D284" s="55"/>
      <c r="E284" s="55"/>
      <c r="F284" s="55"/>
      <c r="G284" s="55"/>
      <c r="H284" s="55"/>
      <c r="I284" s="55"/>
      <c r="J284" s="55"/>
      <c r="K284" s="55"/>
      <c r="L284" s="48"/>
      <c r="M284" s="55"/>
      <c r="N284" s="55"/>
      <c r="O284" s="55"/>
      <c r="P284" s="55"/>
      <c r="Q284" s="55"/>
      <c r="R284" s="55"/>
      <c r="S284" s="55"/>
    </row>
    <row r="285" spans="1:19" ht="18.95" customHeight="1">
      <c r="A285" s="55"/>
      <c r="B285" s="55"/>
      <c r="C285" s="55"/>
      <c r="D285" s="55"/>
      <c r="E285" s="55"/>
      <c r="F285" s="55"/>
      <c r="G285" s="55"/>
      <c r="H285" s="55"/>
      <c r="I285" s="55"/>
      <c r="J285" s="55"/>
      <c r="K285" s="55"/>
      <c r="L285" s="48"/>
      <c r="M285" s="55"/>
      <c r="N285" s="55"/>
      <c r="O285" s="55"/>
      <c r="P285" s="55"/>
      <c r="Q285" s="55"/>
      <c r="R285" s="55"/>
      <c r="S285" s="55"/>
    </row>
    <row r="286" spans="1:19" ht="18.95" customHeight="1">
      <c r="A286" s="55"/>
      <c r="B286" s="55"/>
      <c r="C286" s="55"/>
      <c r="D286" s="55"/>
      <c r="E286" s="55"/>
      <c r="F286" s="55"/>
      <c r="G286" s="55"/>
      <c r="H286" s="55"/>
      <c r="I286" s="55"/>
      <c r="J286" s="55"/>
      <c r="K286" s="55"/>
      <c r="L286" s="48"/>
      <c r="M286" s="55"/>
      <c r="N286" s="55"/>
      <c r="O286" s="55"/>
      <c r="P286" s="55"/>
      <c r="Q286" s="55"/>
      <c r="R286" s="55"/>
      <c r="S286" s="55"/>
    </row>
    <row r="287" spans="1:19" ht="18.95" customHeight="1">
      <c r="A287" s="55"/>
      <c r="B287" s="55"/>
      <c r="C287" s="55"/>
      <c r="D287" s="55"/>
      <c r="E287" s="55"/>
      <c r="F287" s="55"/>
      <c r="G287" s="55"/>
      <c r="H287" s="55"/>
      <c r="I287" s="55"/>
      <c r="J287" s="55"/>
      <c r="K287" s="55"/>
      <c r="L287" s="48"/>
      <c r="M287" s="55"/>
      <c r="N287" s="55"/>
      <c r="O287" s="55"/>
      <c r="P287" s="55"/>
      <c r="Q287" s="55"/>
      <c r="R287" s="55"/>
      <c r="S287" s="55"/>
    </row>
    <row r="288" spans="1:19" ht="18.95" customHeight="1">
      <c r="A288" s="55"/>
      <c r="B288" s="55"/>
      <c r="C288" s="55"/>
      <c r="D288" s="55"/>
      <c r="E288" s="55"/>
      <c r="F288" s="55"/>
      <c r="G288" s="55"/>
      <c r="H288" s="55"/>
      <c r="I288" s="55"/>
      <c r="J288" s="55"/>
      <c r="K288" s="55"/>
      <c r="L288" s="48"/>
      <c r="M288" s="55"/>
      <c r="N288" s="55"/>
      <c r="O288" s="55"/>
      <c r="P288" s="55"/>
      <c r="Q288" s="55"/>
      <c r="R288" s="55"/>
      <c r="S288" s="55"/>
    </row>
    <row r="289" spans="1:19" ht="18.95" customHeight="1">
      <c r="A289" s="55"/>
      <c r="B289" s="55"/>
      <c r="C289" s="55"/>
      <c r="D289" s="55"/>
      <c r="E289" s="55"/>
      <c r="F289" s="55"/>
      <c r="G289" s="55"/>
      <c r="H289" s="55"/>
      <c r="I289" s="55"/>
      <c r="J289" s="55"/>
      <c r="K289" s="55"/>
      <c r="L289" s="48"/>
      <c r="M289" s="55"/>
      <c r="N289" s="55"/>
      <c r="O289" s="55"/>
      <c r="P289" s="55"/>
      <c r="Q289" s="55"/>
      <c r="R289" s="55"/>
      <c r="S289" s="55"/>
    </row>
    <row r="290" spans="1:19" ht="18.95" customHeight="1">
      <c r="A290" s="55"/>
      <c r="B290" s="55"/>
      <c r="C290" s="55"/>
      <c r="D290" s="55"/>
      <c r="E290" s="55"/>
      <c r="F290" s="55"/>
      <c r="G290" s="55"/>
      <c r="H290" s="55"/>
      <c r="I290" s="55"/>
      <c r="J290" s="55"/>
      <c r="K290" s="55"/>
      <c r="L290" s="48"/>
      <c r="M290" s="55"/>
      <c r="N290" s="55"/>
      <c r="O290" s="55"/>
      <c r="P290" s="55"/>
      <c r="Q290" s="55"/>
      <c r="R290" s="55"/>
      <c r="S290" s="55"/>
    </row>
    <row r="291" spans="1:19" ht="18.95" customHeight="1">
      <c r="A291" s="55"/>
      <c r="B291" s="55"/>
      <c r="C291" s="55"/>
      <c r="D291" s="55"/>
      <c r="E291" s="55"/>
      <c r="F291" s="55"/>
      <c r="G291" s="55"/>
      <c r="H291" s="55"/>
      <c r="I291" s="55"/>
      <c r="J291" s="55"/>
      <c r="K291" s="55"/>
      <c r="L291" s="48"/>
      <c r="M291" s="55"/>
      <c r="N291" s="55"/>
      <c r="O291" s="55"/>
      <c r="P291" s="55"/>
      <c r="Q291" s="55"/>
      <c r="R291" s="55"/>
      <c r="S291" s="55"/>
    </row>
    <row r="292" spans="1:19" ht="18.95" customHeight="1">
      <c r="A292" s="55"/>
      <c r="B292" s="55"/>
      <c r="C292" s="55"/>
      <c r="D292" s="55"/>
      <c r="E292" s="55"/>
      <c r="F292" s="55"/>
      <c r="G292" s="55"/>
      <c r="H292" s="55"/>
      <c r="I292" s="55"/>
      <c r="J292" s="55"/>
      <c r="K292" s="55"/>
      <c r="L292" s="48"/>
      <c r="M292" s="55"/>
      <c r="N292" s="55"/>
      <c r="O292" s="55"/>
      <c r="P292" s="55"/>
      <c r="Q292" s="55"/>
      <c r="R292" s="55"/>
      <c r="S292" s="55"/>
    </row>
    <row r="293" spans="1:19" ht="18.95" customHeight="1">
      <c r="A293" s="55"/>
      <c r="B293" s="55"/>
      <c r="C293" s="55"/>
      <c r="D293" s="55"/>
      <c r="E293" s="55"/>
      <c r="F293" s="55"/>
      <c r="G293" s="55"/>
      <c r="H293" s="55"/>
      <c r="I293" s="55"/>
      <c r="J293" s="55"/>
      <c r="K293" s="55"/>
      <c r="L293" s="48"/>
      <c r="M293" s="55"/>
      <c r="N293" s="55"/>
      <c r="O293" s="55"/>
      <c r="P293" s="55"/>
      <c r="Q293" s="55"/>
      <c r="R293" s="55"/>
      <c r="S293" s="55"/>
    </row>
    <row r="294" spans="1:19" ht="18.95" customHeight="1">
      <c r="A294" s="55"/>
      <c r="B294" s="55"/>
      <c r="C294" s="55"/>
      <c r="D294" s="55"/>
      <c r="E294" s="55"/>
      <c r="F294" s="55"/>
      <c r="G294" s="55"/>
      <c r="H294" s="55"/>
      <c r="I294" s="55"/>
      <c r="J294" s="55"/>
      <c r="K294" s="55"/>
      <c r="L294" s="48"/>
      <c r="M294" s="55"/>
      <c r="N294" s="55"/>
      <c r="O294" s="55"/>
      <c r="P294" s="55"/>
      <c r="Q294" s="55"/>
      <c r="R294" s="55"/>
      <c r="S294" s="55"/>
    </row>
    <row r="295" spans="1:19" ht="18.95" customHeight="1">
      <c r="A295" s="55"/>
      <c r="B295" s="55"/>
      <c r="C295" s="55"/>
      <c r="D295" s="55"/>
      <c r="E295" s="55"/>
      <c r="F295" s="55"/>
      <c r="G295" s="55"/>
      <c r="H295" s="55"/>
      <c r="I295" s="55"/>
      <c r="J295" s="55"/>
      <c r="K295" s="55"/>
      <c r="L295" s="48"/>
      <c r="M295" s="55"/>
      <c r="N295" s="55"/>
      <c r="O295" s="55"/>
      <c r="P295" s="55"/>
      <c r="Q295" s="55"/>
      <c r="R295" s="55"/>
      <c r="S295" s="55"/>
    </row>
    <row r="296" spans="1:19" ht="18.95" customHeight="1">
      <c r="A296" s="55"/>
      <c r="B296" s="55"/>
      <c r="C296" s="55"/>
      <c r="D296" s="55"/>
      <c r="E296" s="55"/>
      <c r="F296" s="55"/>
      <c r="G296" s="55"/>
      <c r="H296" s="55"/>
      <c r="I296" s="55"/>
      <c r="J296" s="55"/>
      <c r="K296" s="55"/>
      <c r="L296" s="48"/>
      <c r="M296" s="55"/>
      <c r="N296" s="55"/>
      <c r="O296" s="55"/>
      <c r="P296" s="55"/>
      <c r="Q296" s="55"/>
      <c r="R296" s="55"/>
      <c r="S296" s="55"/>
    </row>
    <row r="297" spans="1:19" ht="18.95" customHeight="1">
      <c r="A297" s="55"/>
      <c r="B297" s="55"/>
      <c r="C297" s="55"/>
      <c r="D297" s="55"/>
      <c r="E297" s="55"/>
      <c r="F297" s="55"/>
      <c r="G297" s="55"/>
      <c r="H297" s="55"/>
      <c r="I297" s="55"/>
      <c r="J297" s="55"/>
      <c r="K297" s="55"/>
      <c r="L297" s="48"/>
      <c r="M297" s="55"/>
      <c r="N297" s="55"/>
      <c r="O297" s="55"/>
      <c r="P297" s="55"/>
      <c r="Q297" s="55"/>
      <c r="R297" s="55"/>
      <c r="S297" s="55"/>
    </row>
    <row r="298" spans="1:19" ht="18.95" customHeight="1">
      <c r="A298" s="55"/>
      <c r="B298" s="55"/>
      <c r="C298" s="55"/>
      <c r="D298" s="55"/>
      <c r="E298" s="55"/>
      <c r="F298" s="55"/>
      <c r="G298" s="55"/>
      <c r="H298" s="55"/>
      <c r="I298" s="55"/>
      <c r="J298" s="55"/>
      <c r="K298" s="55"/>
      <c r="L298" s="48"/>
      <c r="M298" s="55"/>
      <c r="N298" s="55"/>
      <c r="O298" s="55"/>
      <c r="P298" s="55"/>
      <c r="Q298" s="55"/>
      <c r="R298" s="55"/>
      <c r="S298" s="55"/>
    </row>
    <row r="299" spans="1:19" ht="18.95" customHeight="1">
      <c r="A299" s="55"/>
      <c r="B299" s="55"/>
      <c r="C299" s="55"/>
      <c r="D299" s="55"/>
      <c r="E299" s="55"/>
      <c r="F299" s="55"/>
      <c r="G299" s="55"/>
      <c r="H299" s="55"/>
      <c r="I299" s="55"/>
      <c r="J299" s="55"/>
      <c r="K299" s="55"/>
      <c r="L299" s="48"/>
      <c r="M299" s="55"/>
      <c r="N299" s="55"/>
      <c r="O299" s="55"/>
      <c r="P299" s="55"/>
      <c r="Q299" s="55"/>
      <c r="R299" s="55"/>
      <c r="S299" s="55"/>
    </row>
    <row r="300" spans="1:19" ht="18.95" customHeight="1">
      <c r="A300" s="55"/>
      <c r="B300" s="55"/>
      <c r="C300" s="55"/>
      <c r="D300" s="55"/>
      <c r="E300" s="55"/>
      <c r="F300" s="55"/>
      <c r="G300" s="55"/>
      <c r="H300" s="55"/>
      <c r="I300" s="55"/>
      <c r="J300" s="55"/>
      <c r="K300" s="55"/>
      <c r="L300" s="48"/>
      <c r="M300" s="55"/>
      <c r="N300" s="55"/>
      <c r="O300" s="55"/>
      <c r="P300" s="55"/>
      <c r="Q300" s="55"/>
      <c r="R300" s="55"/>
      <c r="S300" s="55"/>
    </row>
    <row r="301" spans="1:19" ht="18.95" customHeight="1">
      <c r="A301" s="55"/>
      <c r="B301" s="55"/>
      <c r="C301" s="55"/>
      <c r="D301" s="55"/>
      <c r="E301" s="55"/>
      <c r="F301" s="55"/>
      <c r="G301" s="55"/>
      <c r="H301" s="55"/>
      <c r="I301" s="55"/>
      <c r="J301" s="55"/>
      <c r="K301" s="55"/>
      <c r="L301" s="48"/>
      <c r="M301" s="55"/>
      <c r="N301" s="55"/>
      <c r="O301" s="55"/>
      <c r="P301" s="55"/>
      <c r="Q301" s="55"/>
      <c r="R301" s="55"/>
      <c r="S301" s="55"/>
    </row>
    <row r="302" spans="1:19" ht="18.95" customHeight="1">
      <c r="A302" s="55"/>
      <c r="B302" s="55"/>
      <c r="C302" s="55"/>
      <c r="D302" s="55"/>
      <c r="E302" s="55"/>
      <c r="F302" s="55"/>
      <c r="G302" s="55"/>
      <c r="H302" s="55"/>
      <c r="I302" s="55"/>
      <c r="J302" s="55"/>
      <c r="K302" s="55"/>
      <c r="L302" s="48"/>
      <c r="M302" s="55"/>
      <c r="N302" s="55"/>
      <c r="O302" s="55"/>
      <c r="P302" s="55"/>
      <c r="Q302" s="55"/>
      <c r="R302" s="55"/>
      <c r="S302" s="55"/>
    </row>
    <row r="303" spans="1:19" ht="18.95" customHeight="1">
      <c r="A303" s="55"/>
      <c r="B303" s="55"/>
      <c r="C303" s="55"/>
      <c r="D303" s="55"/>
      <c r="E303" s="55"/>
      <c r="F303" s="55"/>
      <c r="G303" s="55"/>
      <c r="H303" s="55"/>
      <c r="I303" s="55"/>
      <c r="J303" s="55"/>
      <c r="K303" s="55"/>
      <c r="L303" s="48"/>
      <c r="M303" s="55"/>
      <c r="N303" s="55"/>
      <c r="O303" s="55"/>
      <c r="P303" s="55"/>
      <c r="Q303" s="55"/>
      <c r="R303" s="55"/>
      <c r="S303" s="55"/>
    </row>
    <row r="304" spans="1:19" ht="18.95" customHeight="1">
      <c r="A304" s="55"/>
      <c r="B304" s="55"/>
      <c r="C304" s="55"/>
      <c r="D304" s="55"/>
      <c r="E304" s="55"/>
      <c r="F304" s="55"/>
      <c r="G304" s="55"/>
      <c r="H304" s="55"/>
      <c r="I304" s="55"/>
      <c r="J304" s="55"/>
      <c r="K304" s="55"/>
      <c r="L304" s="48"/>
      <c r="M304" s="55"/>
      <c r="N304" s="55"/>
      <c r="O304" s="55"/>
      <c r="P304" s="55"/>
      <c r="Q304" s="55"/>
      <c r="R304" s="55"/>
      <c r="S304" s="55"/>
    </row>
    <row r="305" spans="1:19" ht="18.95" customHeight="1">
      <c r="A305" s="55"/>
      <c r="B305" s="55"/>
      <c r="C305" s="55"/>
      <c r="D305" s="55"/>
      <c r="E305" s="55"/>
      <c r="F305" s="55"/>
      <c r="G305" s="55"/>
      <c r="H305" s="55"/>
      <c r="I305" s="55"/>
      <c r="J305" s="55"/>
      <c r="K305" s="55"/>
      <c r="L305" s="48"/>
      <c r="M305" s="55"/>
      <c r="N305" s="55"/>
      <c r="O305" s="55"/>
      <c r="P305" s="55"/>
      <c r="Q305" s="55"/>
      <c r="R305" s="55"/>
      <c r="S305" s="55"/>
    </row>
    <row r="306" spans="1:19" ht="18.95" customHeight="1">
      <c r="A306" s="55"/>
      <c r="B306" s="55"/>
      <c r="C306" s="55"/>
      <c r="D306" s="55"/>
      <c r="E306" s="55"/>
      <c r="F306" s="55"/>
      <c r="G306" s="55"/>
      <c r="H306" s="55"/>
      <c r="I306" s="55"/>
      <c r="J306" s="55"/>
      <c r="K306" s="55"/>
      <c r="L306" s="48"/>
      <c r="M306" s="55"/>
      <c r="N306" s="55"/>
      <c r="O306" s="55"/>
      <c r="P306" s="55"/>
      <c r="Q306" s="55"/>
      <c r="R306" s="55"/>
      <c r="S306" s="55"/>
    </row>
    <row r="307" spans="1:19" ht="18.95" customHeight="1">
      <c r="A307" s="55"/>
      <c r="B307" s="55"/>
      <c r="C307" s="55"/>
      <c r="D307" s="55"/>
      <c r="E307" s="55"/>
      <c r="F307" s="55"/>
      <c r="G307" s="55"/>
      <c r="H307" s="55"/>
      <c r="I307" s="55"/>
      <c r="J307" s="55"/>
      <c r="K307" s="55"/>
      <c r="L307" s="48"/>
      <c r="M307" s="55"/>
      <c r="N307" s="55"/>
      <c r="O307" s="55"/>
      <c r="P307" s="55"/>
      <c r="Q307" s="55"/>
      <c r="R307" s="55"/>
      <c r="S307" s="55"/>
    </row>
    <row r="308" spans="1:19" ht="18.95" customHeight="1">
      <c r="A308" s="55"/>
      <c r="B308" s="55"/>
      <c r="C308" s="55"/>
      <c r="D308" s="55"/>
      <c r="E308" s="55"/>
      <c r="F308" s="55"/>
      <c r="G308" s="55"/>
      <c r="H308" s="55"/>
      <c r="I308" s="55"/>
      <c r="J308" s="55"/>
      <c r="K308" s="55"/>
      <c r="L308" s="48"/>
      <c r="M308" s="55"/>
      <c r="N308" s="55"/>
      <c r="O308" s="55"/>
      <c r="P308" s="55"/>
      <c r="Q308" s="55"/>
      <c r="R308" s="55"/>
      <c r="S308" s="55"/>
    </row>
    <row r="309" spans="1:19" ht="18.95" customHeight="1">
      <c r="A309" s="55"/>
      <c r="B309" s="55"/>
      <c r="C309" s="55"/>
      <c r="D309" s="55"/>
      <c r="E309" s="55"/>
      <c r="F309" s="55"/>
      <c r="G309" s="55"/>
      <c r="H309" s="55"/>
      <c r="I309" s="55"/>
      <c r="J309" s="55"/>
      <c r="K309" s="55"/>
      <c r="L309" s="48"/>
      <c r="M309" s="55"/>
      <c r="N309" s="55"/>
      <c r="O309" s="55"/>
      <c r="P309" s="55"/>
      <c r="Q309" s="55"/>
      <c r="R309" s="55"/>
      <c r="S309" s="55"/>
    </row>
    <row r="310" spans="1:19" ht="18.95" customHeight="1">
      <c r="A310" s="55"/>
      <c r="B310" s="55"/>
      <c r="C310" s="55"/>
      <c r="D310" s="55"/>
      <c r="E310" s="55"/>
      <c r="F310" s="55"/>
      <c r="G310" s="55"/>
      <c r="H310" s="55"/>
      <c r="I310" s="55"/>
      <c r="J310" s="55"/>
      <c r="K310" s="55"/>
      <c r="L310" s="48"/>
      <c r="M310" s="55"/>
      <c r="N310" s="55"/>
      <c r="O310" s="55"/>
      <c r="P310" s="55"/>
      <c r="Q310" s="55"/>
      <c r="R310" s="55"/>
      <c r="S310" s="55"/>
    </row>
    <row r="311" spans="1:19" ht="18.95" customHeight="1">
      <c r="A311" s="55"/>
      <c r="B311" s="55"/>
      <c r="C311" s="55"/>
      <c r="D311" s="55"/>
      <c r="E311" s="55"/>
      <c r="F311" s="55"/>
      <c r="G311" s="55"/>
      <c r="H311" s="55"/>
      <c r="I311" s="55"/>
      <c r="J311" s="55"/>
      <c r="K311" s="55"/>
      <c r="L311" s="48"/>
      <c r="M311" s="55"/>
      <c r="N311" s="55"/>
      <c r="O311" s="55"/>
      <c r="P311" s="55"/>
      <c r="Q311" s="55"/>
      <c r="R311" s="55"/>
      <c r="S311" s="55"/>
    </row>
    <row r="312" spans="1:19" ht="18.95" customHeight="1">
      <c r="A312" s="55"/>
      <c r="B312" s="55"/>
      <c r="C312" s="55"/>
      <c r="D312" s="55"/>
      <c r="E312" s="55"/>
      <c r="F312" s="55"/>
      <c r="G312" s="55"/>
      <c r="H312" s="55"/>
      <c r="I312" s="55"/>
      <c r="J312" s="55"/>
      <c r="K312" s="55"/>
      <c r="L312" s="48"/>
      <c r="M312" s="55"/>
      <c r="N312" s="55"/>
      <c r="O312" s="55"/>
      <c r="P312" s="55"/>
      <c r="Q312" s="55"/>
      <c r="R312" s="55"/>
      <c r="S312" s="55"/>
    </row>
    <row r="313" spans="1:19" ht="18.95" customHeight="1">
      <c r="A313" s="55"/>
      <c r="B313" s="55"/>
      <c r="C313" s="55"/>
      <c r="D313" s="55"/>
      <c r="E313" s="55"/>
      <c r="F313" s="55"/>
      <c r="G313" s="55"/>
      <c r="H313" s="55"/>
      <c r="I313" s="55"/>
      <c r="J313" s="55"/>
      <c r="K313" s="55"/>
      <c r="L313" s="48"/>
      <c r="M313" s="55"/>
      <c r="N313" s="55"/>
      <c r="O313" s="55"/>
      <c r="P313" s="55"/>
      <c r="Q313" s="55"/>
      <c r="R313" s="55"/>
      <c r="S313" s="55"/>
    </row>
    <row r="314" spans="1:19" ht="18.95" customHeight="1">
      <c r="A314" s="55"/>
      <c r="B314" s="55"/>
      <c r="C314" s="55"/>
      <c r="D314" s="55"/>
      <c r="E314" s="55"/>
      <c r="F314" s="55"/>
      <c r="G314" s="55"/>
      <c r="H314" s="55"/>
      <c r="I314" s="55"/>
      <c r="J314" s="55"/>
      <c r="K314" s="55"/>
      <c r="L314" s="48"/>
      <c r="M314" s="55"/>
      <c r="N314" s="55"/>
      <c r="O314" s="55"/>
      <c r="P314" s="55"/>
      <c r="Q314" s="55"/>
      <c r="R314" s="55"/>
      <c r="S314" s="55"/>
    </row>
    <row r="315" spans="1:19" ht="18.95" customHeight="1">
      <c r="A315" s="55"/>
      <c r="B315" s="55"/>
      <c r="C315" s="55"/>
      <c r="D315" s="55"/>
      <c r="E315" s="55"/>
      <c r="F315" s="55"/>
      <c r="G315" s="55"/>
      <c r="H315" s="55"/>
      <c r="I315" s="55"/>
      <c r="J315" s="55"/>
      <c r="K315" s="55"/>
      <c r="L315" s="48"/>
      <c r="M315" s="55"/>
      <c r="N315" s="55"/>
      <c r="O315" s="55"/>
      <c r="P315" s="55"/>
      <c r="Q315" s="55"/>
      <c r="R315" s="55"/>
      <c r="S315" s="55"/>
    </row>
    <row r="316" spans="1:19" ht="18.95" customHeight="1">
      <c r="A316" s="55"/>
      <c r="B316" s="55"/>
      <c r="C316" s="55"/>
      <c r="D316" s="55"/>
      <c r="E316" s="55"/>
      <c r="F316" s="55"/>
      <c r="G316" s="55"/>
      <c r="H316" s="55"/>
      <c r="I316" s="55"/>
      <c r="J316" s="55"/>
      <c r="K316" s="55"/>
      <c r="L316" s="48"/>
      <c r="M316" s="55"/>
      <c r="N316" s="55"/>
      <c r="O316" s="55"/>
      <c r="P316" s="55"/>
      <c r="Q316" s="55"/>
      <c r="R316" s="55"/>
      <c r="S316" s="55"/>
    </row>
    <row r="317" spans="1:19" ht="18.95" customHeight="1">
      <c r="A317" s="55"/>
      <c r="B317" s="55"/>
      <c r="C317" s="55"/>
      <c r="D317" s="55"/>
      <c r="E317" s="55"/>
      <c r="F317" s="55"/>
      <c r="G317" s="55"/>
      <c r="H317" s="55"/>
      <c r="I317" s="55"/>
      <c r="J317" s="55"/>
      <c r="K317" s="55"/>
      <c r="L317" s="48"/>
      <c r="M317" s="55"/>
      <c r="N317" s="55"/>
      <c r="O317" s="55"/>
      <c r="P317" s="55"/>
      <c r="Q317" s="55"/>
      <c r="R317" s="55"/>
      <c r="S317" s="55"/>
    </row>
    <row r="318" spans="1:19" ht="18.95" customHeight="1">
      <c r="A318" s="55"/>
      <c r="B318" s="55"/>
      <c r="C318" s="55"/>
      <c r="D318" s="55"/>
      <c r="E318" s="55"/>
      <c r="F318" s="55"/>
      <c r="G318" s="55"/>
      <c r="H318" s="55"/>
      <c r="I318" s="55"/>
      <c r="J318" s="55"/>
      <c r="K318" s="55"/>
      <c r="L318" s="48"/>
      <c r="M318" s="55"/>
      <c r="N318" s="55"/>
      <c r="O318" s="55"/>
      <c r="P318" s="55"/>
      <c r="Q318" s="55"/>
      <c r="R318" s="55"/>
      <c r="S318" s="55"/>
    </row>
    <row r="319" spans="1:19" ht="18.95" customHeight="1">
      <c r="A319" s="55"/>
      <c r="B319" s="55"/>
      <c r="C319" s="55"/>
      <c r="D319" s="55"/>
      <c r="E319" s="55"/>
      <c r="F319" s="55"/>
      <c r="G319" s="55"/>
      <c r="H319" s="55"/>
      <c r="I319" s="55"/>
      <c r="J319" s="55"/>
      <c r="K319" s="55"/>
      <c r="L319" s="48"/>
      <c r="M319" s="55"/>
      <c r="N319" s="55"/>
      <c r="O319" s="55"/>
      <c r="P319" s="55"/>
      <c r="Q319" s="55"/>
      <c r="R319" s="55"/>
      <c r="S319" s="55"/>
    </row>
    <row r="320" spans="1:19" ht="18.95" customHeight="1">
      <c r="A320" s="55"/>
      <c r="B320" s="55"/>
      <c r="C320" s="55"/>
      <c r="D320" s="55"/>
      <c r="E320" s="55"/>
      <c r="F320" s="55"/>
      <c r="G320" s="55"/>
      <c r="H320" s="55"/>
      <c r="I320" s="55"/>
      <c r="J320" s="55"/>
      <c r="K320" s="55"/>
      <c r="L320" s="48"/>
      <c r="M320" s="55"/>
      <c r="N320" s="55"/>
      <c r="O320" s="55"/>
      <c r="P320" s="55"/>
      <c r="Q320" s="55"/>
      <c r="R320" s="55"/>
      <c r="S320" s="55"/>
    </row>
    <row r="321" spans="1:19" ht="18.95" customHeight="1">
      <c r="A321" s="55"/>
      <c r="B321" s="55"/>
      <c r="C321" s="55"/>
      <c r="D321" s="55"/>
      <c r="E321" s="55"/>
      <c r="F321" s="55"/>
      <c r="G321" s="55"/>
      <c r="H321" s="55"/>
      <c r="I321" s="55"/>
      <c r="J321" s="55"/>
      <c r="K321" s="55"/>
      <c r="L321" s="48"/>
      <c r="M321" s="55"/>
      <c r="N321" s="55"/>
      <c r="O321" s="55"/>
      <c r="P321" s="55"/>
      <c r="Q321" s="55"/>
      <c r="R321" s="55"/>
      <c r="S321" s="55"/>
    </row>
    <row r="322" spans="1:19" ht="18.95" customHeight="1">
      <c r="A322" s="55"/>
      <c r="B322" s="55"/>
      <c r="C322" s="55"/>
      <c r="D322" s="55"/>
      <c r="E322" s="55"/>
      <c r="F322" s="55"/>
      <c r="G322" s="55"/>
      <c r="H322" s="55"/>
      <c r="I322" s="55"/>
      <c r="J322" s="55"/>
      <c r="K322" s="55"/>
      <c r="L322" s="48"/>
      <c r="M322" s="55"/>
      <c r="N322" s="55"/>
      <c r="O322" s="55"/>
      <c r="P322" s="55"/>
      <c r="Q322" s="55"/>
      <c r="R322" s="55"/>
      <c r="S322" s="55"/>
    </row>
    <row r="323" spans="1:19" ht="18.95" customHeight="1">
      <c r="A323" s="55"/>
      <c r="B323" s="55"/>
      <c r="C323" s="55"/>
      <c r="D323" s="55"/>
      <c r="E323" s="55"/>
      <c r="F323" s="55"/>
      <c r="G323" s="55"/>
      <c r="H323" s="55"/>
      <c r="I323" s="55"/>
      <c r="J323" s="55"/>
      <c r="K323" s="55"/>
      <c r="L323" s="48"/>
      <c r="M323" s="55"/>
      <c r="N323" s="55"/>
      <c r="O323" s="55"/>
      <c r="P323" s="55"/>
      <c r="Q323" s="55"/>
      <c r="R323" s="55"/>
      <c r="S323" s="55"/>
    </row>
    <row r="324" spans="1:19" ht="18.95" customHeight="1">
      <c r="A324" s="55"/>
      <c r="B324" s="55"/>
      <c r="C324" s="55"/>
      <c r="D324" s="55"/>
      <c r="E324" s="55"/>
      <c r="F324" s="55"/>
      <c r="G324" s="55"/>
      <c r="H324" s="55"/>
      <c r="I324" s="55"/>
      <c r="J324" s="55"/>
      <c r="K324" s="55"/>
      <c r="L324" s="48"/>
      <c r="M324" s="55"/>
      <c r="N324" s="55"/>
      <c r="O324" s="55"/>
      <c r="P324" s="55"/>
      <c r="Q324" s="55"/>
      <c r="R324" s="55"/>
      <c r="S324" s="55"/>
    </row>
    <row r="325" spans="1:19" ht="18.95" customHeight="1">
      <c r="A325" s="55"/>
      <c r="B325" s="55"/>
      <c r="C325" s="55"/>
      <c r="D325" s="55"/>
      <c r="E325" s="55"/>
      <c r="F325" s="55"/>
      <c r="G325" s="55"/>
      <c r="H325" s="55"/>
      <c r="I325" s="55"/>
      <c r="J325" s="55"/>
      <c r="K325" s="55"/>
      <c r="L325" s="48"/>
      <c r="M325" s="55"/>
      <c r="N325" s="55"/>
      <c r="O325" s="55"/>
      <c r="P325" s="55"/>
      <c r="Q325" s="55"/>
      <c r="R325" s="55"/>
      <c r="S325" s="55"/>
    </row>
    <row r="326" spans="1:19" ht="18.95" customHeight="1">
      <c r="A326" s="55"/>
      <c r="B326" s="55"/>
      <c r="C326" s="55"/>
      <c r="D326" s="55"/>
      <c r="E326" s="55"/>
      <c r="F326" s="55"/>
      <c r="G326" s="55"/>
      <c r="H326" s="55"/>
      <c r="I326" s="55"/>
      <c r="J326" s="55"/>
      <c r="K326" s="55"/>
      <c r="L326" s="48"/>
      <c r="M326" s="55"/>
      <c r="N326" s="55"/>
      <c r="O326" s="55"/>
      <c r="P326" s="55"/>
      <c r="Q326" s="55"/>
      <c r="R326" s="55"/>
      <c r="S326" s="55"/>
    </row>
    <row r="327" spans="1:19" ht="18.95" customHeight="1">
      <c r="A327" s="55"/>
      <c r="B327" s="55"/>
      <c r="C327" s="55"/>
      <c r="D327" s="55"/>
      <c r="E327" s="55"/>
      <c r="F327" s="55"/>
      <c r="G327" s="55"/>
      <c r="H327" s="55"/>
      <c r="I327" s="55"/>
      <c r="J327" s="55"/>
      <c r="K327" s="55"/>
      <c r="L327" s="48"/>
      <c r="M327" s="55"/>
      <c r="N327" s="55"/>
      <c r="O327" s="55"/>
      <c r="P327" s="55"/>
      <c r="Q327" s="55"/>
      <c r="R327" s="55"/>
      <c r="S327" s="55"/>
    </row>
    <row r="328" spans="1:19" ht="18.95" customHeight="1">
      <c r="A328" s="55"/>
      <c r="B328" s="55"/>
      <c r="C328" s="55"/>
      <c r="D328" s="55"/>
      <c r="E328" s="55"/>
      <c r="F328" s="55"/>
      <c r="G328" s="55"/>
      <c r="H328" s="55"/>
      <c r="I328" s="55"/>
      <c r="J328" s="55"/>
      <c r="K328" s="55"/>
      <c r="L328" s="48"/>
      <c r="M328" s="55"/>
      <c r="N328" s="55"/>
      <c r="O328" s="55"/>
      <c r="P328" s="55"/>
      <c r="Q328" s="55"/>
      <c r="R328" s="55"/>
      <c r="S328" s="55"/>
    </row>
    <row r="329" spans="1:19" ht="18.95" customHeight="1">
      <c r="A329" s="55"/>
      <c r="B329" s="55"/>
      <c r="C329" s="55"/>
      <c r="D329" s="55"/>
      <c r="E329" s="55"/>
      <c r="F329" s="55"/>
      <c r="G329" s="55"/>
      <c r="H329" s="55"/>
      <c r="I329" s="55"/>
      <c r="J329" s="55"/>
      <c r="K329" s="55"/>
      <c r="L329" s="48"/>
      <c r="M329" s="55"/>
      <c r="N329" s="55"/>
      <c r="O329" s="55"/>
      <c r="P329" s="55"/>
      <c r="Q329" s="55"/>
      <c r="R329" s="55"/>
      <c r="S329" s="55"/>
    </row>
    <row r="330" spans="1:19" ht="18.95" customHeight="1">
      <c r="A330" s="55"/>
      <c r="B330" s="55"/>
      <c r="C330" s="55"/>
      <c r="D330" s="55"/>
      <c r="E330" s="55"/>
      <c r="F330" s="55"/>
      <c r="G330" s="55"/>
      <c r="H330" s="55"/>
      <c r="I330" s="55"/>
      <c r="J330" s="55"/>
      <c r="K330" s="55"/>
      <c r="L330" s="48"/>
      <c r="M330" s="55"/>
      <c r="N330" s="55"/>
      <c r="O330" s="55"/>
      <c r="P330" s="55"/>
      <c r="Q330" s="55"/>
      <c r="R330" s="55"/>
      <c r="S330" s="55"/>
    </row>
    <row r="331" spans="1:19" ht="18.95" customHeight="1">
      <c r="A331" s="55"/>
      <c r="B331" s="55"/>
      <c r="C331" s="55"/>
      <c r="D331" s="55"/>
      <c r="E331" s="55"/>
      <c r="F331" s="55"/>
      <c r="G331" s="55"/>
      <c r="H331" s="55"/>
      <c r="I331" s="55"/>
      <c r="J331" s="55"/>
      <c r="K331" s="55"/>
      <c r="L331" s="48"/>
      <c r="M331" s="55"/>
      <c r="N331" s="55"/>
      <c r="O331" s="55"/>
      <c r="P331" s="55"/>
      <c r="Q331" s="55"/>
      <c r="R331" s="55"/>
      <c r="S331" s="55"/>
    </row>
    <row r="332" spans="1:19" ht="18.95" customHeight="1">
      <c r="A332" s="55"/>
      <c r="B332" s="55"/>
      <c r="C332" s="55"/>
      <c r="D332" s="55"/>
      <c r="E332" s="55"/>
      <c r="F332" s="55"/>
      <c r="G332" s="55"/>
      <c r="H332" s="55"/>
      <c r="I332" s="55"/>
      <c r="J332" s="55"/>
      <c r="K332" s="55"/>
      <c r="L332" s="48"/>
      <c r="M332" s="55"/>
      <c r="N332" s="55"/>
      <c r="O332" s="55"/>
      <c r="P332" s="55"/>
      <c r="Q332" s="55"/>
      <c r="R332" s="55"/>
      <c r="S332" s="55"/>
    </row>
    <row r="333" spans="1:19" ht="18.95" customHeight="1">
      <c r="A333" s="55"/>
      <c r="B333" s="55"/>
      <c r="C333" s="55"/>
      <c r="D333" s="55"/>
      <c r="E333" s="55"/>
      <c r="F333" s="55"/>
      <c r="G333" s="55"/>
      <c r="H333" s="55"/>
      <c r="I333" s="55"/>
      <c r="J333" s="55"/>
      <c r="K333" s="55"/>
      <c r="L333" s="48"/>
      <c r="M333" s="55"/>
      <c r="N333" s="55"/>
      <c r="O333" s="55"/>
      <c r="P333" s="55"/>
      <c r="Q333" s="55"/>
      <c r="R333" s="55"/>
      <c r="S333" s="55"/>
    </row>
    <row r="334" spans="1:19" ht="18.95" customHeight="1">
      <c r="A334" s="55"/>
      <c r="B334" s="55"/>
      <c r="C334" s="55"/>
      <c r="D334" s="55"/>
      <c r="E334" s="55"/>
      <c r="F334" s="55"/>
      <c r="G334" s="55"/>
      <c r="H334" s="55"/>
      <c r="I334" s="55"/>
      <c r="J334" s="55"/>
      <c r="K334" s="55"/>
      <c r="L334" s="48"/>
      <c r="M334" s="55"/>
      <c r="N334" s="55"/>
      <c r="O334" s="55"/>
      <c r="P334" s="55"/>
      <c r="Q334" s="55"/>
      <c r="R334" s="55"/>
      <c r="S334" s="55"/>
    </row>
    <row r="335" spans="1:19" ht="18.95" customHeight="1">
      <c r="A335" s="55"/>
      <c r="B335" s="55"/>
      <c r="C335" s="55"/>
      <c r="D335" s="55"/>
      <c r="E335" s="55"/>
      <c r="F335" s="55"/>
      <c r="G335" s="55"/>
      <c r="H335" s="55"/>
      <c r="I335" s="55"/>
      <c r="J335" s="55"/>
      <c r="K335" s="55"/>
      <c r="L335" s="48"/>
      <c r="M335" s="55"/>
      <c r="N335" s="55"/>
      <c r="O335" s="55"/>
      <c r="P335" s="55"/>
      <c r="Q335" s="55"/>
      <c r="R335" s="55"/>
      <c r="S335" s="55"/>
    </row>
    <row r="336" spans="1:19" ht="18.95" customHeight="1">
      <c r="A336" s="55"/>
      <c r="B336" s="55"/>
      <c r="C336" s="55"/>
      <c r="D336" s="55"/>
      <c r="E336" s="55"/>
      <c r="F336" s="55"/>
      <c r="G336" s="55"/>
      <c r="H336" s="55"/>
      <c r="I336" s="55"/>
      <c r="J336" s="55"/>
      <c r="K336" s="55"/>
      <c r="L336" s="48"/>
      <c r="M336" s="55"/>
      <c r="N336" s="55"/>
      <c r="O336" s="55"/>
      <c r="P336" s="55"/>
      <c r="Q336" s="55"/>
      <c r="R336" s="55"/>
      <c r="S336" s="55"/>
    </row>
    <row r="337" spans="1:19" ht="18.95" customHeight="1">
      <c r="A337" s="55"/>
      <c r="B337" s="55"/>
      <c r="C337" s="55"/>
      <c r="D337" s="55"/>
      <c r="E337" s="55"/>
      <c r="F337" s="55"/>
      <c r="G337" s="55"/>
      <c r="H337" s="55"/>
      <c r="I337" s="55"/>
      <c r="J337" s="55"/>
      <c r="K337" s="55"/>
      <c r="L337" s="48"/>
      <c r="M337" s="55"/>
      <c r="N337" s="55"/>
      <c r="O337" s="55"/>
      <c r="P337" s="55"/>
      <c r="Q337" s="55"/>
      <c r="R337" s="55"/>
      <c r="S337" s="55"/>
    </row>
    <row r="338" spans="1:19" ht="18.95" customHeight="1">
      <c r="A338" s="55"/>
      <c r="B338" s="55"/>
      <c r="C338" s="55"/>
      <c r="D338" s="55"/>
      <c r="E338" s="55"/>
      <c r="F338" s="55"/>
      <c r="G338" s="55"/>
      <c r="H338" s="55"/>
      <c r="I338" s="55"/>
      <c r="J338" s="55"/>
      <c r="K338" s="55"/>
      <c r="L338" s="48"/>
      <c r="M338" s="55"/>
      <c r="N338" s="55"/>
      <c r="O338" s="55"/>
      <c r="P338" s="55"/>
      <c r="Q338" s="55"/>
      <c r="R338" s="55"/>
      <c r="S338" s="55"/>
    </row>
    <row r="339" spans="1:19" ht="18.95" customHeight="1">
      <c r="A339" s="55"/>
      <c r="B339" s="55"/>
      <c r="C339" s="55"/>
      <c r="D339" s="55"/>
      <c r="E339" s="55"/>
      <c r="F339" s="55"/>
      <c r="G339" s="55"/>
      <c r="H339" s="55"/>
      <c r="I339" s="55"/>
      <c r="J339" s="55"/>
      <c r="K339" s="55"/>
      <c r="L339" s="48"/>
      <c r="M339" s="55"/>
      <c r="N339" s="55"/>
      <c r="O339" s="55"/>
      <c r="P339" s="55"/>
      <c r="Q339" s="55"/>
      <c r="R339" s="55"/>
      <c r="S339" s="55"/>
    </row>
    <row r="340" spans="1:19" ht="18.95" customHeight="1">
      <c r="A340" s="55"/>
      <c r="B340" s="55"/>
      <c r="C340" s="55"/>
      <c r="D340" s="55"/>
      <c r="E340" s="55"/>
      <c r="F340" s="55"/>
      <c r="G340" s="55"/>
      <c r="H340" s="55"/>
      <c r="I340" s="55"/>
      <c r="J340" s="55"/>
      <c r="K340" s="55"/>
      <c r="L340" s="48"/>
      <c r="M340" s="55"/>
      <c r="N340" s="55"/>
      <c r="O340" s="55"/>
      <c r="P340" s="55"/>
      <c r="Q340" s="55"/>
      <c r="R340" s="55"/>
      <c r="S340" s="55"/>
    </row>
    <row r="341" spans="1:19" ht="18.95" customHeight="1">
      <c r="A341" s="55"/>
      <c r="B341" s="55"/>
      <c r="C341" s="55"/>
      <c r="D341" s="55"/>
      <c r="E341" s="55"/>
      <c r="F341" s="55"/>
      <c r="G341" s="55"/>
      <c r="H341" s="55"/>
      <c r="I341" s="55"/>
      <c r="J341" s="55"/>
      <c r="K341" s="55"/>
      <c r="L341" s="48"/>
      <c r="M341" s="55"/>
      <c r="N341" s="55"/>
      <c r="O341" s="55"/>
      <c r="P341" s="55"/>
      <c r="Q341" s="55"/>
      <c r="R341" s="55"/>
      <c r="S341" s="55"/>
    </row>
    <row r="342" spans="1:19" ht="18.95" customHeight="1">
      <c r="A342" s="55"/>
      <c r="B342" s="55"/>
      <c r="C342" s="55"/>
      <c r="D342" s="55"/>
      <c r="E342" s="55"/>
      <c r="F342" s="55"/>
      <c r="G342" s="55"/>
      <c r="H342" s="55"/>
      <c r="I342" s="55"/>
      <c r="J342" s="55"/>
      <c r="K342" s="55"/>
      <c r="L342" s="48"/>
      <c r="M342" s="55"/>
      <c r="N342" s="55"/>
      <c r="O342" s="55"/>
      <c r="P342" s="55"/>
      <c r="Q342" s="55"/>
      <c r="R342" s="55"/>
      <c r="S342" s="55"/>
    </row>
    <row r="343" spans="1:19" ht="18.95" customHeight="1">
      <c r="A343" s="55"/>
      <c r="B343" s="55"/>
      <c r="C343" s="55"/>
      <c r="D343" s="55"/>
      <c r="E343" s="55"/>
      <c r="F343" s="55"/>
      <c r="G343" s="55"/>
      <c r="H343" s="55"/>
      <c r="I343" s="55"/>
      <c r="J343" s="55"/>
      <c r="K343" s="55"/>
      <c r="L343" s="48"/>
      <c r="M343" s="55"/>
      <c r="N343" s="55"/>
      <c r="O343" s="55"/>
      <c r="P343" s="55"/>
      <c r="Q343" s="55"/>
      <c r="R343" s="55"/>
      <c r="S343" s="55"/>
    </row>
    <row r="344" spans="1:19" ht="18.95" customHeight="1">
      <c r="A344" s="55"/>
      <c r="B344" s="55"/>
      <c r="C344" s="55"/>
      <c r="D344" s="55"/>
      <c r="E344" s="55"/>
      <c r="F344" s="55"/>
      <c r="G344" s="55"/>
      <c r="H344" s="55"/>
      <c r="I344" s="55"/>
      <c r="J344" s="55"/>
      <c r="K344" s="55"/>
      <c r="L344" s="48"/>
      <c r="M344" s="55"/>
      <c r="N344" s="55"/>
      <c r="O344" s="55"/>
      <c r="P344" s="55"/>
      <c r="Q344" s="55"/>
      <c r="R344" s="55"/>
      <c r="S344" s="55"/>
    </row>
    <row r="345" spans="1:19" ht="18.95" customHeight="1">
      <c r="A345" s="55"/>
      <c r="B345" s="55"/>
      <c r="C345" s="55"/>
      <c r="D345" s="55"/>
      <c r="E345" s="55"/>
      <c r="F345" s="55"/>
      <c r="G345" s="55"/>
      <c r="H345" s="55"/>
      <c r="I345" s="55"/>
      <c r="J345" s="55"/>
      <c r="K345" s="55"/>
      <c r="L345" s="48"/>
      <c r="M345" s="55"/>
      <c r="N345" s="55"/>
      <c r="O345" s="55"/>
      <c r="P345" s="55"/>
      <c r="Q345" s="55"/>
      <c r="R345" s="55"/>
      <c r="S345" s="55"/>
    </row>
    <row r="346" spans="1:19" ht="18.95" customHeight="1">
      <c r="A346" s="55"/>
      <c r="B346" s="55"/>
      <c r="C346" s="55"/>
      <c r="D346" s="55"/>
      <c r="E346" s="55"/>
      <c r="F346" s="55"/>
      <c r="G346" s="55"/>
      <c r="H346" s="55"/>
      <c r="I346" s="55"/>
      <c r="J346" s="55"/>
      <c r="K346" s="55"/>
      <c r="L346" s="48"/>
      <c r="M346" s="55"/>
      <c r="N346" s="55"/>
      <c r="O346" s="55"/>
      <c r="P346" s="55"/>
      <c r="Q346" s="55"/>
      <c r="R346" s="55"/>
      <c r="S346" s="55"/>
    </row>
    <row r="347" spans="1:19" ht="18.95" customHeight="1">
      <c r="A347" s="55"/>
      <c r="B347" s="55"/>
      <c r="C347" s="55"/>
      <c r="D347" s="55"/>
      <c r="E347" s="55"/>
      <c r="F347" s="55"/>
      <c r="G347" s="55"/>
      <c r="H347" s="55"/>
      <c r="I347" s="55"/>
      <c r="J347" s="55"/>
      <c r="K347" s="55"/>
      <c r="L347" s="48"/>
      <c r="M347" s="55"/>
      <c r="N347" s="55"/>
      <c r="O347" s="55"/>
      <c r="P347" s="55"/>
      <c r="Q347" s="55"/>
      <c r="R347" s="55"/>
      <c r="S347" s="55"/>
    </row>
    <row r="348" spans="1:19" ht="18.95" customHeight="1">
      <c r="A348" s="55"/>
      <c r="B348" s="55"/>
      <c r="C348" s="55"/>
      <c r="D348" s="55"/>
      <c r="E348" s="55"/>
      <c r="F348" s="55"/>
      <c r="G348" s="55"/>
      <c r="H348" s="55"/>
      <c r="I348" s="55"/>
      <c r="J348" s="55"/>
      <c r="K348" s="55"/>
      <c r="L348" s="48"/>
      <c r="M348" s="55"/>
      <c r="N348" s="55"/>
      <c r="O348" s="55"/>
      <c r="P348" s="55"/>
      <c r="Q348" s="55"/>
      <c r="R348" s="55"/>
      <c r="S348" s="55"/>
    </row>
    <row r="349" spans="1:19" ht="18.95" customHeight="1">
      <c r="A349" s="55"/>
      <c r="B349" s="55"/>
      <c r="C349" s="55"/>
      <c r="D349" s="55"/>
      <c r="E349" s="55"/>
      <c r="F349" s="55"/>
      <c r="G349" s="55"/>
      <c r="H349" s="55"/>
      <c r="I349" s="55"/>
      <c r="J349" s="55"/>
      <c r="K349" s="55"/>
      <c r="L349" s="48"/>
      <c r="M349" s="55"/>
      <c r="N349" s="55"/>
      <c r="O349" s="55"/>
      <c r="P349" s="55"/>
      <c r="Q349" s="55"/>
      <c r="R349" s="55"/>
      <c r="S349" s="55"/>
    </row>
    <row r="350" spans="1:19" ht="18.95" customHeight="1">
      <c r="A350" s="55"/>
      <c r="B350" s="55"/>
      <c r="C350" s="55"/>
      <c r="D350" s="55"/>
      <c r="E350" s="55"/>
      <c r="F350" s="55"/>
      <c r="G350" s="55"/>
      <c r="H350" s="55"/>
      <c r="I350" s="55"/>
      <c r="J350" s="55"/>
      <c r="K350" s="55"/>
      <c r="L350" s="48"/>
      <c r="M350" s="55"/>
      <c r="N350" s="55"/>
      <c r="O350" s="55"/>
      <c r="P350" s="55"/>
      <c r="Q350" s="55"/>
      <c r="R350" s="55"/>
      <c r="S350" s="55"/>
    </row>
    <row r="351" spans="1:19" ht="18.95" customHeight="1">
      <c r="A351" s="55"/>
      <c r="B351" s="55"/>
      <c r="C351" s="55"/>
      <c r="D351" s="55"/>
      <c r="E351" s="55"/>
      <c r="F351" s="55"/>
      <c r="G351" s="55"/>
      <c r="H351" s="55"/>
      <c r="I351" s="55"/>
      <c r="J351" s="55"/>
      <c r="K351" s="55"/>
      <c r="L351" s="48"/>
      <c r="M351" s="55"/>
      <c r="N351" s="55"/>
      <c r="O351" s="55"/>
      <c r="P351" s="55"/>
      <c r="Q351" s="55"/>
      <c r="R351" s="55"/>
      <c r="S351" s="55"/>
    </row>
    <row r="352" spans="1:19" ht="18.95" customHeight="1">
      <c r="A352" s="55"/>
      <c r="B352" s="55"/>
      <c r="C352" s="55"/>
      <c r="D352" s="55"/>
      <c r="E352" s="55"/>
      <c r="F352" s="55"/>
      <c r="G352" s="55"/>
      <c r="H352" s="55"/>
      <c r="I352" s="55"/>
      <c r="J352" s="55"/>
      <c r="K352" s="55"/>
      <c r="L352" s="48"/>
      <c r="M352" s="55"/>
      <c r="N352" s="55"/>
      <c r="O352" s="55"/>
      <c r="P352" s="55"/>
      <c r="Q352" s="55"/>
      <c r="R352" s="55"/>
      <c r="S352" s="55"/>
    </row>
    <row r="353" spans="1:19" ht="18.95" customHeight="1">
      <c r="A353" s="55"/>
      <c r="B353" s="55"/>
      <c r="C353" s="55"/>
      <c r="D353" s="55"/>
      <c r="E353" s="55"/>
      <c r="F353" s="55"/>
      <c r="G353" s="55"/>
      <c r="H353" s="55"/>
      <c r="I353" s="55"/>
      <c r="J353" s="55"/>
      <c r="K353" s="55"/>
      <c r="L353" s="48"/>
      <c r="M353" s="55"/>
      <c r="N353" s="55"/>
      <c r="O353" s="55"/>
      <c r="P353" s="55"/>
      <c r="Q353" s="55"/>
      <c r="R353" s="55"/>
      <c r="S353" s="55"/>
    </row>
    <row r="354" spans="1:19" ht="18.95" customHeight="1">
      <c r="A354" s="55"/>
      <c r="B354" s="55"/>
      <c r="C354" s="55"/>
      <c r="D354" s="55"/>
      <c r="E354" s="55"/>
      <c r="F354" s="55"/>
      <c r="G354" s="55"/>
      <c r="H354" s="55"/>
      <c r="I354" s="55"/>
      <c r="J354" s="55"/>
      <c r="K354" s="55"/>
      <c r="L354" s="48"/>
      <c r="M354" s="55"/>
      <c r="N354" s="55"/>
      <c r="O354" s="55"/>
      <c r="P354" s="55"/>
      <c r="Q354" s="55"/>
      <c r="R354" s="55"/>
      <c r="S354" s="55"/>
    </row>
    <row r="355" spans="1:19" ht="18.95" customHeight="1">
      <c r="A355" s="55"/>
      <c r="B355" s="55"/>
      <c r="C355" s="55"/>
      <c r="D355" s="55"/>
      <c r="E355" s="55"/>
      <c r="F355" s="55"/>
      <c r="G355" s="55"/>
      <c r="H355" s="55"/>
      <c r="I355" s="55"/>
      <c r="J355" s="55"/>
      <c r="K355" s="55"/>
      <c r="L355" s="48"/>
      <c r="M355" s="55"/>
      <c r="N355" s="55"/>
      <c r="O355" s="55"/>
      <c r="P355" s="55"/>
      <c r="Q355" s="55"/>
      <c r="R355" s="55"/>
      <c r="S355" s="55"/>
    </row>
    <row r="356" spans="1:19" ht="18.95" customHeight="1">
      <c r="A356" s="55"/>
      <c r="B356" s="55"/>
      <c r="C356" s="55"/>
      <c r="D356" s="55"/>
      <c r="E356" s="55"/>
      <c r="F356" s="55"/>
      <c r="G356" s="55"/>
      <c r="H356" s="55"/>
      <c r="I356" s="55"/>
      <c r="J356" s="55"/>
      <c r="K356" s="55"/>
      <c r="L356" s="48"/>
      <c r="M356" s="55"/>
      <c r="N356" s="55"/>
      <c r="O356" s="55"/>
      <c r="P356" s="55"/>
      <c r="Q356" s="55"/>
      <c r="R356" s="55"/>
      <c r="S356" s="55"/>
    </row>
    <row r="357" spans="1:19" ht="18.95" customHeight="1">
      <c r="A357" s="55"/>
      <c r="B357" s="55"/>
      <c r="C357" s="55"/>
      <c r="D357" s="55"/>
      <c r="E357" s="55"/>
      <c r="F357" s="55"/>
      <c r="G357" s="55"/>
      <c r="H357" s="55"/>
      <c r="I357" s="55"/>
      <c r="J357" s="55"/>
      <c r="K357" s="55"/>
      <c r="L357" s="48"/>
      <c r="M357" s="55"/>
      <c r="N357" s="55"/>
      <c r="O357" s="55"/>
      <c r="P357" s="55"/>
      <c r="Q357" s="55"/>
      <c r="R357" s="55"/>
      <c r="S357" s="55"/>
    </row>
    <row r="358" spans="1:19" ht="18.95" customHeight="1">
      <c r="A358" s="55"/>
      <c r="B358" s="55"/>
      <c r="C358" s="55"/>
      <c r="D358" s="55"/>
      <c r="E358" s="55"/>
      <c r="F358" s="55"/>
      <c r="G358" s="55"/>
      <c r="H358" s="55"/>
      <c r="I358" s="55"/>
      <c r="J358" s="55"/>
      <c r="K358" s="55"/>
      <c r="L358" s="48"/>
      <c r="M358" s="55"/>
      <c r="N358" s="55"/>
      <c r="O358" s="55"/>
      <c r="P358" s="55"/>
      <c r="Q358" s="55"/>
      <c r="R358" s="55"/>
      <c r="S358" s="55"/>
    </row>
    <row r="359" spans="1:19" ht="18.95" customHeight="1">
      <c r="A359" s="55"/>
      <c r="B359" s="55"/>
      <c r="C359" s="55"/>
      <c r="D359" s="55"/>
      <c r="E359" s="55"/>
      <c r="F359" s="55"/>
      <c r="G359" s="55"/>
      <c r="H359" s="55"/>
      <c r="I359" s="55"/>
      <c r="J359" s="55"/>
      <c r="K359" s="55"/>
      <c r="L359" s="48"/>
      <c r="M359" s="55"/>
      <c r="N359" s="55"/>
      <c r="O359" s="55"/>
      <c r="P359" s="55"/>
      <c r="Q359" s="55"/>
      <c r="R359" s="55"/>
      <c r="S359" s="55"/>
    </row>
    <row r="360" spans="1:19" ht="18.95" customHeight="1">
      <c r="A360" s="55"/>
      <c r="B360" s="55"/>
      <c r="C360" s="55"/>
      <c r="D360" s="55"/>
      <c r="E360" s="55"/>
      <c r="F360" s="55"/>
      <c r="G360" s="55"/>
      <c r="H360" s="55"/>
      <c r="I360" s="55"/>
      <c r="J360" s="55"/>
      <c r="K360" s="55"/>
      <c r="L360" s="48"/>
      <c r="M360" s="55"/>
      <c r="N360" s="55"/>
      <c r="O360" s="55"/>
      <c r="P360" s="55"/>
      <c r="Q360" s="55"/>
      <c r="R360" s="55"/>
      <c r="S360" s="55"/>
    </row>
    <row r="361" spans="1:19" ht="18.95" customHeight="1">
      <c r="A361" s="55"/>
      <c r="B361" s="55"/>
      <c r="C361" s="55"/>
      <c r="D361" s="55"/>
      <c r="E361" s="55"/>
      <c r="F361" s="55"/>
      <c r="G361" s="55"/>
      <c r="H361" s="55"/>
      <c r="I361" s="55"/>
      <c r="J361" s="55"/>
      <c r="K361" s="55"/>
      <c r="L361" s="48"/>
      <c r="M361" s="55"/>
      <c r="N361" s="55"/>
      <c r="O361" s="55"/>
      <c r="P361" s="55"/>
      <c r="Q361" s="55"/>
      <c r="R361" s="55"/>
      <c r="S361" s="55"/>
    </row>
    <row r="362" spans="1:19" ht="18.95" customHeight="1">
      <c r="A362" s="55"/>
      <c r="B362" s="55"/>
      <c r="C362" s="55"/>
      <c r="D362" s="55"/>
      <c r="E362" s="55"/>
      <c r="F362" s="55"/>
      <c r="G362" s="55"/>
      <c r="H362" s="55"/>
      <c r="I362" s="55"/>
      <c r="J362" s="55"/>
      <c r="K362" s="55"/>
      <c r="L362" s="48"/>
      <c r="M362" s="55"/>
      <c r="N362" s="55"/>
      <c r="O362" s="55"/>
      <c r="P362" s="55"/>
      <c r="Q362" s="55"/>
      <c r="R362" s="55"/>
      <c r="S362" s="55"/>
    </row>
    <row r="363" spans="1:19" ht="18.95" customHeight="1">
      <c r="A363" s="55"/>
      <c r="B363" s="55"/>
      <c r="C363" s="55"/>
      <c r="D363" s="55"/>
      <c r="E363" s="55"/>
      <c r="F363" s="55"/>
      <c r="G363" s="55"/>
      <c r="H363" s="55"/>
      <c r="I363" s="55"/>
      <c r="J363" s="55"/>
      <c r="K363" s="55"/>
      <c r="L363" s="48"/>
      <c r="M363" s="55"/>
      <c r="N363" s="55"/>
      <c r="O363" s="55"/>
      <c r="P363" s="55"/>
      <c r="Q363" s="55"/>
      <c r="R363" s="55"/>
      <c r="S363" s="55"/>
    </row>
    <row r="364" spans="1:19" ht="18.95" customHeight="1">
      <c r="A364" s="55"/>
      <c r="B364" s="55"/>
      <c r="C364" s="55"/>
      <c r="D364" s="55"/>
      <c r="E364" s="55"/>
      <c r="F364" s="55"/>
      <c r="G364" s="55"/>
      <c r="H364" s="55"/>
      <c r="I364" s="55"/>
      <c r="J364" s="55"/>
      <c r="K364" s="55"/>
      <c r="L364" s="48"/>
      <c r="M364" s="55"/>
      <c r="N364" s="55"/>
      <c r="O364" s="55"/>
      <c r="P364" s="55"/>
      <c r="Q364" s="55"/>
      <c r="R364" s="55"/>
      <c r="S364" s="55"/>
    </row>
    <row r="365" spans="1:19" ht="18.95" customHeight="1">
      <c r="A365" s="55"/>
      <c r="B365" s="55"/>
      <c r="C365" s="55"/>
      <c r="D365" s="55"/>
      <c r="E365" s="55"/>
      <c r="F365" s="55"/>
      <c r="G365" s="55"/>
      <c r="H365" s="55"/>
      <c r="I365" s="55"/>
      <c r="J365" s="55"/>
      <c r="K365" s="55"/>
      <c r="L365" s="48"/>
      <c r="M365" s="55"/>
      <c r="N365" s="55"/>
      <c r="O365" s="55"/>
      <c r="P365" s="55"/>
      <c r="Q365" s="55"/>
      <c r="R365" s="55"/>
      <c r="S365" s="55"/>
    </row>
    <row r="366" spans="1:19" ht="18.95" customHeight="1">
      <c r="A366" s="55"/>
      <c r="B366" s="55"/>
      <c r="C366" s="55"/>
      <c r="D366" s="55"/>
      <c r="E366" s="55"/>
      <c r="F366" s="55"/>
      <c r="G366" s="55"/>
      <c r="H366" s="55"/>
      <c r="I366" s="55"/>
      <c r="J366" s="55"/>
      <c r="K366" s="55"/>
      <c r="L366" s="48"/>
      <c r="M366" s="55"/>
      <c r="N366" s="55"/>
      <c r="O366" s="55"/>
      <c r="P366" s="55"/>
      <c r="Q366" s="55"/>
      <c r="R366" s="55"/>
      <c r="S366" s="55"/>
    </row>
    <row r="367" spans="1:19" ht="18.95" customHeight="1">
      <c r="A367" s="55"/>
      <c r="B367" s="55"/>
      <c r="C367" s="55"/>
      <c r="D367" s="55"/>
      <c r="E367" s="55"/>
      <c r="F367" s="55"/>
      <c r="G367" s="55"/>
      <c r="H367" s="55"/>
      <c r="I367" s="55"/>
      <c r="J367" s="55"/>
      <c r="K367" s="55"/>
      <c r="L367" s="48"/>
      <c r="M367" s="55"/>
      <c r="N367" s="55"/>
      <c r="O367" s="55"/>
      <c r="P367" s="55"/>
      <c r="Q367" s="55"/>
      <c r="R367" s="55"/>
      <c r="S367" s="55"/>
    </row>
    <row r="368" spans="1:19" ht="18.95" customHeight="1">
      <c r="A368" s="55"/>
      <c r="B368" s="55"/>
      <c r="C368" s="55"/>
      <c r="D368" s="55"/>
      <c r="E368" s="55"/>
      <c r="F368" s="55"/>
      <c r="G368" s="55"/>
      <c r="H368" s="55"/>
      <c r="I368" s="55"/>
      <c r="J368" s="55"/>
      <c r="K368" s="55"/>
      <c r="L368" s="48"/>
      <c r="M368" s="55"/>
      <c r="N368" s="55"/>
      <c r="O368" s="55"/>
      <c r="P368" s="55"/>
      <c r="Q368" s="55"/>
      <c r="R368" s="55"/>
      <c r="S368" s="55"/>
    </row>
    <row r="369" spans="1:19" ht="18.95" customHeight="1">
      <c r="A369" s="55"/>
      <c r="B369" s="55"/>
      <c r="C369" s="55"/>
      <c r="D369" s="55"/>
      <c r="E369" s="55"/>
      <c r="F369" s="55"/>
      <c r="G369" s="55"/>
      <c r="H369" s="55"/>
      <c r="I369" s="55"/>
      <c r="J369" s="55"/>
      <c r="K369" s="55"/>
      <c r="L369" s="48"/>
      <c r="M369" s="55"/>
      <c r="N369" s="55"/>
      <c r="O369" s="55"/>
      <c r="P369" s="55"/>
      <c r="Q369" s="55"/>
      <c r="R369" s="55"/>
      <c r="S369" s="55"/>
    </row>
    <row r="370" spans="1:19" ht="18.95" customHeight="1">
      <c r="A370" s="55"/>
      <c r="B370" s="55"/>
      <c r="C370" s="55"/>
      <c r="D370" s="55"/>
      <c r="E370" s="55"/>
      <c r="F370" s="55"/>
      <c r="G370" s="55"/>
      <c r="H370" s="55"/>
      <c r="I370" s="55"/>
      <c r="J370" s="55"/>
      <c r="K370" s="55"/>
      <c r="L370" s="48"/>
      <c r="M370" s="55"/>
      <c r="N370" s="55"/>
      <c r="O370" s="55"/>
      <c r="P370" s="55"/>
      <c r="Q370" s="55"/>
      <c r="R370" s="55"/>
      <c r="S370" s="55"/>
    </row>
    <row r="371" spans="1:19" ht="18.95" customHeight="1">
      <c r="A371" s="55"/>
      <c r="B371" s="55"/>
      <c r="C371" s="55"/>
      <c r="D371" s="55"/>
      <c r="E371" s="55"/>
      <c r="F371" s="55"/>
      <c r="G371" s="55"/>
      <c r="H371" s="55"/>
      <c r="I371" s="55"/>
      <c r="J371" s="55"/>
      <c r="K371" s="55"/>
      <c r="L371" s="48"/>
      <c r="M371" s="55"/>
      <c r="N371" s="55"/>
      <c r="O371" s="55"/>
      <c r="P371" s="55"/>
      <c r="Q371" s="55"/>
      <c r="R371" s="55"/>
      <c r="S371" s="55"/>
    </row>
    <row r="372" spans="1:19" ht="18.95" customHeight="1">
      <c r="A372" s="55"/>
      <c r="B372" s="55"/>
      <c r="C372" s="55"/>
      <c r="D372" s="55"/>
      <c r="E372" s="55"/>
      <c r="F372" s="55"/>
      <c r="G372" s="55"/>
      <c r="H372" s="55"/>
      <c r="I372" s="55"/>
      <c r="J372" s="55"/>
      <c r="K372" s="55"/>
      <c r="L372" s="48"/>
      <c r="M372" s="55"/>
      <c r="N372" s="55"/>
      <c r="O372" s="55"/>
      <c r="P372" s="55"/>
      <c r="Q372" s="55"/>
      <c r="R372" s="55"/>
      <c r="S372" s="55"/>
    </row>
    <row r="373" spans="1:19" ht="18.95" customHeight="1">
      <c r="A373" s="55"/>
      <c r="B373" s="55"/>
      <c r="C373" s="55"/>
      <c r="D373" s="55"/>
      <c r="E373" s="55"/>
      <c r="F373" s="55"/>
      <c r="G373" s="55"/>
      <c r="H373" s="55"/>
      <c r="I373" s="55"/>
      <c r="J373" s="55"/>
      <c r="K373" s="55"/>
      <c r="L373" s="48"/>
      <c r="M373" s="55"/>
      <c r="N373" s="55"/>
      <c r="O373" s="55"/>
      <c r="P373" s="55"/>
      <c r="Q373" s="55"/>
      <c r="R373" s="55"/>
      <c r="S373" s="55"/>
    </row>
    <row r="374" spans="1:19" ht="18.95" customHeight="1">
      <c r="A374" s="55"/>
      <c r="B374" s="55"/>
      <c r="C374" s="55"/>
      <c r="D374" s="55"/>
      <c r="E374" s="55"/>
      <c r="F374" s="55"/>
      <c r="G374" s="55"/>
      <c r="H374" s="55"/>
      <c r="I374" s="55"/>
      <c r="J374" s="55"/>
      <c r="K374" s="55"/>
      <c r="L374" s="48"/>
      <c r="M374" s="55"/>
      <c r="N374" s="55"/>
      <c r="O374" s="55"/>
      <c r="P374" s="55"/>
      <c r="Q374" s="55"/>
      <c r="R374" s="55"/>
      <c r="S374" s="55"/>
    </row>
    <row r="375" spans="1:19" ht="18.95" customHeight="1">
      <c r="A375" s="55"/>
      <c r="B375" s="55"/>
      <c r="C375" s="55"/>
      <c r="D375" s="55"/>
      <c r="E375" s="55"/>
      <c r="F375" s="55"/>
      <c r="G375" s="55"/>
      <c r="H375" s="55"/>
      <c r="I375" s="55"/>
      <c r="J375" s="55"/>
      <c r="K375" s="55"/>
      <c r="L375" s="48"/>
      <c r="M375" s="55"/>
      <c r="N375" s="55"/>
      <c r="O375" s="55"/>
      <c r="P375" s="55"/>
      <c r="Q375" s="55"/>
      <c r="R375" s="55"/>
      <c r="S375" s="55"/>
    </row>
    <row r="376" spans="1:19" ht="18.95" customHeight="1">
      <c r="A376" s="55"/>
      <c r="B376" s="55"/>
      <c r="C376" s="55"/>
      <c r="D376" s="55"/>
      <c r="E376" s="55"/>
      <c r="F376" s="55"/>
      <c r="G376" s="55"/>
      <c r="H376" s="55"/>
      <c r="I376" s="55"/>
      <c r="J376" s="55"/>
      <c r="K376" s="55"/>
      <c r="L376" s="48"/>
      <c r="M376" s="55"/>
      <c r="N376" s="55"/>
      <c r="O376" s="55"/>
      <c r="P376" s="55"/>
      <c r="Q376" s="55"/>
      <c r="R376" s="55"/>
      <c r="S376" s="55"/>
    </row>
    <row r="377" spans="1:19" ht="18.95" customHeight="1">
      <c r="A377" s="55"/>
      <c r="B377" s="55"/>
      <c r="C377" s="55"/>
      <c r="D377" s="55"/>
      <c r="E377" s="55"/>
      <c r="F377" s="55"/>
      <c r="G377" s="55"/>
      <c r="H377" s="55"/>
      <c r="I377" s="55"/>
      <c r="J377" s="55"/>
      <c r="K377" s="55"/>
      <c r="L377" s="48"/>
      <c r="M377" s="55"/>
      <c r="N377" s="55"/>
      <c r="O377" s="55"/>
      <c r="P377" s="55"/>
      <c r="Q377" s="55"/>
      <c r="R377" s="55"/>
      <c r="S377" s="55"/>
    </row>
    <row r="378" spans="1:19" ht="18.95" customHeight="1">
      <c r="A378" s="55"/>
      <c r="B378" s="55"/>
      <c r="C378" s="55"/>
      <c r="D378" s="55"/>
      <c r="E378" s="55"/>
      <c r="F378" s="55"/>
      <c r="G378" s="55"/>
      <c r="H378" s="55"/>
      <c r="I378" s="55"/>
      <c r="J378" s="55"/>
      <c r="K378" s="55"/>
      <c r="L378" s="48"/>
      <c r="M378" s="55"/>
      <c r="N378" s="55"/>
      <c r="O378" s="55"/>
      <c r="P378" s="55"/>
      <c r="Q378" s="55"/>
      <c r="R378" s="55"/>
      <c r="S378" s="55"/>
    </row>
    <row r="379" spans="1:19" ht="18.95" customHeight="1">
      <c r="A379" s="55"/>
      <c r="B379" s="55"/>
      <c r="C379" s="55"/>
      <c r="D379" s="55"/>
      <c r="E379" s="55"/>
      <c r="F379" s="55"/>
      <c r="G379" s="55"/>
      <c r="H379" s="55"/>
      <c r="I379" s="55"/>
      <c r="J379" s="55"/>
      <c r="K379" s="55"/>
      <c r="L379" s="48"/>
      <c r="M379" s="55"/>
      <c r="N379" s="55"/>
      <c r="O379" s="55"/>
      <c r="P379" s="55"/>
      <c r="Q379" s="55"/>
      <c r="R379" s="55"/>
      <c r="S379" s="55"/>
    </row>
    <row r="380" spans="1:19" ht="18.95" customHeight="1">
      <c r="A380" s="55"/>
      <c r="B380" s="55"/>
      <c r="C380" s="55"/>
      <c r="D380" s="55"/>
      <c r="E380" s="55"/>
      <c r="F380" s="55"/>
      <c r="G380" s="55"/>
      <c r="H380" s="55"/>
      <c r="I380" s="55"/>
      <c r="J380" s="55"/>
      <c r="K380" s="55"/>
      <c r="L380" s="48"/>
      <c r="M380" s="55"/>
      <c r="N380" s="55"/>
      <c r="O380" s="55"/>
      <c r="P380" s="55"/>
      <c r="Q380" s="55"/>
      <c r="R380" s="55"/>
      <c r="S380" s="55"/>
    </row>
    <row r="381" spans="1:19" ht="18.95" customHeight="1">
      <c r="A381" s="55"/>
      <c r="B381" s="55"/>
      <c r="C381" s="55"/>
      <c r="D381" s="55"/>
      <c r="E381" s="55"/>
      <c r="F381" s="55"/>
      <c r="G381" s="55"/>
      <c r="H381" s="55"/>
      <c r="I381" s="55"/>
      <c r="J381" s="55"/>
      <c r="K381" s="55"/>
      <c r="L381" s="48"/>
      <c r="M381" s="55"/>
      <c r="N381" s="55"/>
      <c r="O381" s="55"/>
      <c r="P381" s="55"/>
      <c r="Q381" s="55"/>
      <c r="R381" s="55"/>
      <c r="S381" s="55"/>
    </row>
    <row r="382" spans="1:19" ht="18.95" customHeight="1">
      <c r="A382" s="55"/>
      <c r="B382" s="55"/>
      <c r="C382" s="55"/>
      <c r="D382" s="55"/>
      <c r="E382" s="55"/>
      <c r="F382" s="55"/>
      <c r="G382" s="55"/>
      <c r="H382" s="55"/>
      <c r="I382" s="55"/>
      <c r="J382" s="55"/>
      <c r="K382" s="55"/>
      <c r="L382" s="48"/>
      <c r="M382" s="55"/>
      <c r="N382" s="55"/>
      <c r="O382" s="55"/>
      <c r="P382" s="55"/>
      <c r="Q382" s="55"/>
      <c r="R382" s="55"/>
      <c r="S382" s="55"/>
    </row>
    <row r="383" spans="1:19" ht="18.95" customHeight="1">
      <c r="A383" s="55"/>
      <c r="B383" s="55"/>
      <c r="C383" s="55"/>
      <c r="D383" s="55"/>
      <c r="E383" s="55"/>
      <c r="F383" s="55"/>
      <c r="G383" s="55"/>
      <c r="H383" s="55"/>
      <c r="I383" s="55"/>
      <c r="J383" s="55"/>
      <c r="K383" s="55"/>
      <c r="L383" s="48"/>
      <c r="M383" s="55"/>
      <c r="N383" s="55"/>
      <c r="O383" s="55"/>
      <c r="P383" s="55"/>
      <c r="Q383" s="55"/>
      <c r="R383" s="55"/>
      <c r="S383" s="55"/>
    </row>
    <row r="384" spans="1:19" ht="18.95" customHeight="1">
      <c r="A384" s="55"/>
      <c r="B384" s="55"/>
      <c r="C384" s="55"/>
      <c r="D384" s="55"/>
      <c r="E384" s="55"/>
      <c r="F384" s="55"/>
      <c r="G384" s="55"/>
      <c r="H384" s="55"/>
      <c r="I384" s="55"/>
      <c r="J384" s="55"/>
      <c r="K384" s="55"/>
      <c r="L384" s="48"/>
      <c r="M384" s="55"/>
      <c r="N384" s="55"/>
      <c r="O384" s="55"/>
      <c r="P384" s="55"/>
      <c r="Q384" s="55"/>
      <c r="R384" s="55"/>
      <c r="S384" s="55"/>
    </row>
    <row r="385" spans="1:19" ht="18.95" customHeight="1">
      <c r="A385" s="55"/>
      <c r="B385" s="55"/>
      <c r="C385" s="55"/>
      <c r="D385" s="55"/>
      <c r="E385" s="55"/>
      <c r="F385" s="55"/>
      <c r="G385" s="55"/>
      <c r="H385" s="55"/>
      <c r="I385" s="55"/>
      <c r="J385" s="55"/>
      <c r="K385" s="55"/>
      <c r="L385" s="48"/>
      <c r="M385" s="55"/>
      <c r="N385" s="55"/>
      <c r="O385" s="55"/>
      <c r="P385" s="55"/>
      <c r="Q385" s="55"/>
      <c r="R385" s="55"/>
      <c r="S385" s="55"/>
    </row>
    <row r="386" spans="1:19" ht="18.95" customHeight="1">
      <c r="A386" s="55"/>
      <c r="B386" s="55"/>
      <c r="C386" s="55"/>
      <c r="D386" s="55"/>
      <c r="E386" s="55"/>
      <c r="F386" s="55"/>
      <c r="G386" s="55"/>
      <c r="H386" s="55"/>
      <c r="I386" s="55"/>
      <c r="J386" s="55"/>
      <c r="K386" s="55"/>
      <c r="L386" s="48"/>
      <c r="M386" s="55"/>
      <c r="N386" s="55"/>
      <c r="O386" s="55"/>
      <c r="P386" s="55"/>
      <c r="Q386" s="55"/>
      <c r="R386" s="55"/>
      <c r="S386" s="55"/>
    </row>
    <row r="387" spans="1:19" ht="18.95" customHeight="1">
      <c r="A387" s="55"/>
      <c r="B387" s="55"/>
      <c r="C387" s="55"/>
      <c r="D387" s="55"/>
      <c r="E387" s="55"/>
      <c r="F387" s="55"/>
      <c r="G387" s="55"/>
      <c r="H387" s="55"/>
      <c r="I387" s="55"/>
      <c r="J387" s="55"/>
      <c r="K387" s="55"/>
      <c r="L387" s="48"/>
      <c r="M387" s="55"/>
      <c r="N387" s="55"/>
      <c r="O387" s="55"/>
      <c r="P387" s="55"/>
      <c r="Q387" s="55"/>
      <c r="R387" s="55"/>
      <c r="S387" s="55"/>
    </row>
    <row r="388" spans="1:19" ht="18.95" customHeight="1">
      <c r="A388" s="55"/>
      <c r="B388" s="55"/>
      <c r="C388" s="55"/>
      <c r="D388" s="55"/>
      <c r="E388" s="55"/>
      <c r="F388" s="55"/>
      <c r="G388" s="55"/>
      <c r="H388" s="55"/>
      <c r="I388" s="55"/>
      <c r="J388" s="55"/>
      <c r="K388" s="55"/>
      <c r="L388" s="48"/>
      <c r="M388" s="55"/>
      <c r="N388" s="55"/>
      <c r="O388" s="55"/>
      <c r="P388" s="55"/>
      <c r="Q388" s="55"/>
      <c r="R388" s="55"/>
      <c r="S388" s="55"/>
    </row>
    <row r="389" spans="1:19" ht="18.95" customHeight="1">
      <c r="A389" s="55"/>
      <c r="B389" s="55"/>
      <c r="C389" s="55"/>
      <c r="D389" s="55"/>
      <c r="E389" s="55"/>
      <c r="F389" s="55"/>
      <c r="G389" s="55"/>
      <c r="H389" s="55"/>
      <c r="I389" s="55"/>
      <c r="J389" s="55"/>
      <c r="K389" s="55"/>
      <c r="L389" s="48"/>
      <c r="M389" s="55"/>
      <c r="N389" s="55"/>
      <c r="O389" s="55"/>
      <c r="P389" s="55"/>
      <c r="Q389" s="55"/>
      <c r="R389" s="55"/>
      <c r="S389" s="55"/>
    </row>
    <row r="390" spans="1:19" ht="18.95" customHeight="1">
      <c r="A390" s="55"/>
      <c r="B390" s="55"/>
      <c r="C390" s="55"/>
      <c r="D390" s="55"/>
      <c r="E390" s="55"/>
      <c r="F390" s="55"/>
      <c r="G390" s="55"/>
      <c r="H390" s="55"/>
      <c r="I390" s="55"/>
      <c r="J390" s="55"/>
      <c r="K390" s="55"/>
      <c r="L390" s="48"/>
      <c r="M390" s="55"/>
      <c r="N390" s="55"/>
      <c r="O390" s="55"/>
      <c r="P390" s="55"/>
      <c r="Q390" s="55"/>
      <c r="R390" s="55"/>
      <c r="S390" s="55"/>
    </row>
    <row r="391" spans="1:19" ht="18.95" customHeight="1">
      <c r="A391" s="55"/>
      <c r="B391" s="55"/>
      <c r="C391" s="55"/>
      <c r="D391" s="55"/>
      <c r="E391" s="55"/>
      <c r="F391" s="55"/>
      <c r="G391" s="55"/>
      <c r="H391" s="55"/>
      <c r="I391" s="55"/>
      <c r="J391" s="55"/>
      <c r="K391" s="55"/>
      <c r="L391" s="48"/>
      <c r="M391" s="55"/>
      <c r="N391" s="55"/>
      <c r="O391" s="55"/>
      <c r="P391" s="55"/>
      <c r="Q391" s="55"/>
      <c r="R391" s="55"/>
      <c r="S391" s="55"/>
    </row>
    <row r="392" spans="1:19" ht="18.95" customHeight="1">
      <c r="A392" s="55"/>
      <c r="B392" s="55"/>
      <c r="C392" s="55"/>
      <c r="D392" s="55"/>
      <c r="E392" s="55"/>
      <c r="F392" s="55"/>
      <c r="G392" s="55"/>
      <c r="H392" s="55"/>
      <c r="I392" s="55"/>
      <c r="J392" s="55"/>
      <c r="K392" s="55"/>
      <c r="L392" s="48"/>
      <c r="M392" s="55"/>
      <c r="N392" s="55"/>
      <c r="O392" s="55"/>
      <c r="P392" s="55"/>
      <c r="Q392" s="55"/>
      <c r="R392" s="55"/>
      <c r="S392" s="55"/>
    </row>
    <row r="393" spans="1:19" ht="18.95" customHeight="1">
      <c r="A393" s="55"/>
      <c r="B393" s="55"/>
      <c r="C393" s="55"/>
      <c r="D393" s="55"/>
      <c r="E393" s="55"/>
      <c r="F393" s="55"/>
      <c r="G393" s="55"/>
      <c r="H393" s="55"/>
      <c r="I393" s="55"/>
      <c r="J393" s="55"/>
      <c r="K393" s="55"/>
      <c r="L393" s="48"/>
      <c r="M393" s="55"/>
      <c r="N393" s="55"/>
      <c r="O393" s="55"/>
      <c r="P393" s="55"/>
      <c r="Q393" s="55"/>
      <c r="R393" s="55"/>
      <c r="S393" s="55"/>
    </row>
    <row r="394" spans="1:19" ht="18.95" customHeight="1">
      <c r="A394" s="55"/>
      <c r="B394" s="55"/>
      <c r="C394" s="55"/>
      <c r="D394" s="55"/>
      <c r="E394" s="55"/>
      <c r="F394" s="55"/>
      <c r="G394" s="55"/>
      <c r="H394" s="55"/>
      <c r="I394" s="55"/>
      <c r="J394" s="55"/>
      <c r="K394" s="55"/>
      <c r="L394" s="48"/>
      <c r="M394" s="55"/>
      <c r="N394" s="55"/>
      <c r="O394" s="55"/>
      <c r="P394" s="55"/>
      <c r="Q394" s="55"/>
      <c r="R394" s="55"/>
      <c r="S394" s="55"/>
    </row>
    <row r="395" spans="1:19" ht="18.95" customHeight="1">
      <c r="A395" s="55"/>
      <c r="B395" s="55"/>
      <c r="C395" s="55"/>
      <c r="D395" s="55"/>
      <c r="E395" s="55"/>
      <c r="F395" s="55"/>
      <c r="G395" s="55"/>
      <c r="H395" s="55"/>
      <c r="I395" s="55"/>
      <c r="J395" s="55"/>
      <c r="K395" s="55"/>
      <c r="L395" s="48"/>
      <c r="M395" s="55"/>
      <c r="N395" s="55"/>
      <c r="O395" s="55"/>
      <c r="P395" s="55"/>
      <c r="Q395" s="55"/>
      <c r="R395" s="55"/>
      <c r="S395" s="55"/>
    </row>
    <row r="396" spans="1:19" ht="18.95" customHeight="1">
      <c r="A396" s="55"/>
      <c r="B396" s="55"/>
      <c r="C396" s="55"/>
      <c r="D396" s="55"/>
      <c r="E396" s="55"/>
      <c r="F396" s="55"/>
      <c r="G396" s="55"/>
      <c r="H396" s="55"/>
      <c r="I396" s="55"/>
      <c r="J396" s="55"/>
      <c r="K396" s="55"/>
      <c r="L396" s="48"/>
      <c r="M396" s="55"/>
      <c r="N396" s="55"/>
      <c r="O396" s="55"/>
      <c r="P396" s="55"/>
      <c r="Q396" s="55"/>
      <c r="R396" s="55"/>
      <c r="S396" s="55"/>
    </row>
    <row r="397" spans="1:19" ht="18.95" customHeight="1">
      <c r="A397" s="55"/>
      <c r="B397" s="55"/>
      <c r="C397" s="55"/>
      <c r="D397" s="55"/>
      <c r="E397" s="55"/>
      <c r="F397" s="55"/>
      <c r="G397" s="55"/>
      <c r="H397" s="55"/>
      <c r="I397" s="55"/>
      <c r="J397" s="55"/>
      <c r="K397" s="55"/>
      <c r="L397" s="48"/>
      <c r="M397" s="55"/>
      <c r="N397" s="55"/>
      <c r="O397" s="55"/>
      <c r="P397" s="55"/>
      <c r="Q397" s="55"/>
      <c r="R397" s="55"/>
      <c r="S397" s="55"/>
    </row>
    <row r="398" spans="1:19" ht="18.95" customHeight="1">
      <c r="A398" s="55"/>
      <c r="B398" s="55"/>
      <c r="C398" s="55"/>
      <c r="D398" s="55"/>
      <c r="E398" s="55"/>
      <c r="F398" s="55"/>
      <c r="G398" s="55"/>
      <c r="H398" s="55"/>
      <c r="I398" s="55"/>
      <c r="J398" s="55"/>
      <c r="K398" s="55"/>
      <c r="L398" s="48"/>
      <c r="M398" s="55"/>
      <c r="N398" s="55"/>
      <c r="O398" s="55"/>
      <c r="P398" s="55"/>
      <c r="Q398" s="55"/>
      <c r="R398" s="55"/>
      <c r="S398" s="55"/>
    </row>
    <row r="399" spans="1:19" ht="18.95" customHeight="1">
      <c r="A399" s="55"/>
      <c r="B399" s="55"/>
      <c r="C399" s="55"/>
      <c r="D399" s="55"/>
      <c r="E399" s="55"/>
      <c r="F399" s="55"/>
      <c r="G399" s="55"/>
      <c r="H399" s="55"/>
      <c r="I399" s="55"/>
      <c r="J399" s="55"/>
      <c r="K399" s="55"/>
      <c r="L399" s="48"/>
      <c r="M399" s="55"/>
      <c r="N399" s="55"/>
      <c r="O399" s="55"/>
      <c r="P399" s="55"/>
      <c r="Q399" s="55"/>
      <c r="R399" s="55"/>
      <c r="S399" s="55"/>
    </row>
    <row r="400" spans="1:19" ht="18.95" customHeight="1">
      <c r="A400" s="55"/>
      <c r="B400" s="55"/>
      <c r="C400" s="55"/>
      <c r="D400" s="55"/>
      <c r="E400" s="55"/>
      <c r="F400" s="55"/>
      <c r="G400" s="55"/>
      <c r="H400" s="55"/>
      <c r="I400" s="55"/>
      <c r="J400" s="55"/>
      <c r="K400" s="55"/>
      <c r="L400" s="48"/>
      <c r="M400" s="55"/>
      <c r="N400" s="55"/>
      <c r="O400" s="55"/>
      <c r="P400" s="55"/>
      <c r="Q400" s="55"/>
      <c r="R400" s="55"/>
      <c r="S400" s="55"/>
    </row>
    <row r="401" spans="1:19" ht="18.95" customHeight="1">
      <c r="A401" s="55"/>
      <c r="B401" s="55"/>
      <c r="C401" s="55"/>
      <c r="D401" s="55"/>
      <c r="E401" s="55"/>
      <c r="F401" s="55"/>
      <c r="G401" s="55"/>
      <c r="H401" s="55"/>
      <c r="I401" s="55"/>
      <c r="J401" s="55"/>
      <c r="K401" s="55"/>
      <c r="L401" s="48"/>
      <c r="M401" s="55"/>
      <c r="N401" s="55"/>
      <c r="O401" s="55"/>
      <c r="P401" s="55"/>
      <c r="Q401" s="55"/>
      <c r="R401" s="55"/>
      <c r="S401" s="55"/>
    </row>
    <row r="402" spans="1:19" ht="18.95" customHeight="1">
      <c r="A402" s="55"/>
      <c r="B402" s="55"/>
      <c r="C402" s="55"/>
      <c r="D402" s="55"/>
      <c r="E402" s="55"/>
      <c r="F402" s="55"/>
      <c r="G402" s="55"/>
      <c r="H402" s="55"/>
      <c r="I402" s="55"/>
      <c r="J402" s="55"/>
      <c r="K402" s="55"/>
      <c r="L402" s="48"/>
      <c r="M402" s="55"/>
      <c r="N402" s="55"/>
      <c r="O402" s="55"/>
      <c r="P402" s="55"/>
      <c r="Q402" s="55"/>
      <c r="R402" s="55"/>
      <c r="S402" s="55"/>
    </row>
    <row r="403" spans="1:19" ht="18.95" customHeight="1">
      <c r="A403" s="55"/>
      <c r="B403" s="55"/>
      <c r="C403" s="55"/>
      <c r="D403" s="55"/>
      <c r="E403" s="55"/>
      <c r="F403" s="55"/>
      <c r="G403" s="55"/>
      <c r="H403" s="55"/>
      <c r="I403" s="55"/>
      <c r="J403" s="55"/>
      <c r="K403" s="55"/>
      <c r="L403" s="48"/>
      <c r="M403" s="55"/>
      <c r="N403" s="55"/>
      <c r="O403" s="55"/>
      <c r="P403" s="55"/>
      <c r="Q403" s="55"/>
      <c r="R403" s="55"/>
      <c r="S403" s="55"/>
    </row>
    <row r="404" spans="1:19" ht="18.95" customHeight="1">
      <c r="A404" s="55"/>
      <c r="B404" s="55"/>
      <c r="C404" s="55"/>
      <c r="D404" s="55"/>
      <c r="E404" s="55"/>
      <c r="F404" s="55"/>
      <c r="G404" s="55"/>
      <c r="H404" s="55"/>
      <c r="I404" s="55"/>
      <c r="J404" s="55"/>
      <c r="K404" s="55"/>
      <c r="L404" s="48"/>
      <c r="M404" s="55"/>
      <c r="N404" s="55"/>
      <c r="O404" s="55"/>
      <c r="P404" s="55"/>
      <c r="Q404" s="55"/>
      <c r="R404" s="55"/>
      <c r="S404" s="55"/>
    </row>
    <row r="405" spans="1:19" ht="18.95" customHeight="1">
      <c r="A405" s="55"/>
      <c r="B405" s="55"/>
      <c r="C405" s="55"/>
      <c r="D405" s="55"/>
      <c r="E405" s="55"/>
      <c r="F405" s="55"/>
      <c r="G405" s="55"/>
      <c r="H405" s="55"/>
      <c r="I405" s="55"/>
      <c r="J405" s="55"/>
      <c r="K405" s="55"/>
      <c r="L405" s="48"/>
      <c r="M405" s="55"/>
      <c r="N405" s="55"/>
      <c r="O405" s="55"/>
      <c r="P405" s="55"/>
      <c r="Q405" s="55"/>
      <c r="R405" s="55"/>
      <c r="S405" s="55"/>
    </row>
    <row r="406" spans="1:19" ht="18.95" customHeight="1">
      <c r="A406" s="55"/>
      <c r="B406" s="55"/>
      <c r="C406" s="55"/>
      <c r="D406" s="55"/>
      <c r="E406" s="55"/>
      <c r="F406" s="55"/>
      <c r="G406" s="55"/>
      <c r="H406" s="55"/>
      <c r="I406" s="55"/>
      <c r="J406" s="55"/>
      <c r="K406" s="55"/>
      <c r="L406" s="48"/>
      <c r="M406" s="55"/>
      <c r="N406" s="55"/>
      <c r="O406" s="55"/>
      <c r="P406" s="55"/>
      <c r="Q406" s="55"/>
      <c r="R406" s="55"/>
      <c r="S406" s="55"/>
    </row>
    <row r="407" spans="1:19" ht="18.95" customHeight="1">
      <c r="A407" s="55"/>
      <c r="B407" s="55"/>
      <c r="C407" s="55"/>
      <c r="D407" s="55"/>
      <c r="E407" s="55"/>
      <c r="F407" s="55"/>
      <c r="G407" s="55"/>
      <c r="H407" s="55"/>
      <c r="I407" s="55"/>
      <c r="J407" s="55"/>
      <c r="K407" s="55"/>
      <c r="L407" s="48"/>
      <c r="M407" s="55"/>
      <c r="N407" s="55"/>
      <c r="O407" s="55"/>
      <c r="P407" s="55"/>
      <c r="Q407" s="55"/>
      <c r="R407" s="55"/>
      <c r="S407" s="55"/>
    </row>
    <row r="408" spans="1:19" ht="18.95" customHeight="1">
      <c r="A408" s="55"/>
      <c r="B408" s="55"/>
      <c r="C408" s="55"/>
      <c r="D408" s="55"/>
      <c r="E408" s="55"/>
      <c r="F408" s="55"/>
      <c r="G408" s="55"/>
      <c r="H408" s="55"/>
      <c r="I408" s="55"/>
      <c r="J408" s="55"/>
      <c r="K408" s="55"/>
      <c r="L408" s="48"/>
      <c r="M408" s="55"/>
      <c r="N408" s="55"/>
      <c r="O408" s="55"/>
      <c r="P408" s="55"/>
      <c r="Q408" s="55"/>
      <c r="R408" s="55"/>
      <c r="S408" s="55"/>
    </row>
    <row r="409" spans="1:19" ht="18.95" customHeight="1">
      <c r="A409" s="55"/>
      <c r="B409" s="55"/>
      <c r="C409" s="55"/>
      <c r="D409" s="55"/>
      <c r="E409" s="55"/>
      <c r="F409" s="55"/>
      <c r="G409" s="55"/>
      <c r="H409" s="55"/>
      <c r="I409" s="55"/>
      <c r="J409" s="55"/>
      <c r="K409" s="55"/>
      <c r="L409" s="48"/>
      <c r="M409" s="55"/>
      <c r="N409" s="55"/>
      <c r="O409" s="55"/>
      <c r="P409" s="55"/>
      <c r="Q409" s="55"/>
      <c r="R409" s="55"/>
      <c r="S409" s="55"/>
    </row>
    <row r="410" spans="1:19" ht="18.95" customHeight="1">
      <c r="A410" s="55"/>
      <c r="B410" s="55"/>
      <c r="C410" s="55"/>
      <c r="D410" s="55"/>
      <c r="E410" s="55"/>
      <c r="F410" s="55"/>
      <c r="G410" s="55"/>
      <c r="H410" s="55"/>
      <c r="I410" s="55"/>
      <c r="J410" s="55"/>
      <c r="K410" s="55"/>
      <c r="L410" s="48"/>
      <c r="M410" s="55"/>
      <c r="N410" s="55"/>
      <c r="O410" s="55"/>
      <c r="P410" s="55"/>
      <c r="Q410" s="55"/>
      <c r="R410" s="55"/>
      <c r="S410" s="55"/>
    </row>
    <row r="411" spans="1:19" ht="18.95" customHeight="1">
      <c r="A411" s="55"/>
      <c r="B411" s="55"/>
      <c r="C411" s="55"/>
      <c r="D411" s="55"/>
      <c r="E411" s="55"/>
      <c r="F411" s="55"/>
      <c r="G411" s="55"/>
      <c r="H411" s="55"/>
      <c r="I411" s="55"/>
      <c r="J411" s="55"/>
      <c r="K411" s="55"/>
      <c r="L411" s="48"/>
      <c r="M411" s="55"/>
      <c r="N411" s="55"/>
      <c r="O411" s="55"/>
      <c r="P411" s="55"/>
      <c r="Q411" s="55"/>
      <c r="R411" s="55"/>
      <c r="S411" s="55"/>
    </row>
    <row r="412" spans="1:19" ht="18.95" customHeight="1">
      <c r="A412" s="55"/>
      <c r="B412" s="55"/>
      <c r="C412" s="55"/>
      <c r="D412" s="55"/>
      <c r="E412" s="55"/>
      <c r="F412" s="55"/>
      <c r="G412" s="55"/>
      <c r="H412" s="55"/>
      <c r="I412" s="55"/>
      <c r="J412" s="55"/>
      <c r="K412" s="55"/>
      <c r="L412" s="48"/>
      <c r="M412" s="55"/>
      <c r="N412" s="55"/>
      <c r="O412" s="55"/>
      <c r="P412" s="55"/>
      <c r="Q412" s="55"/>
      <c r="R412" s="55"/>
      <c r="S412" s="55"/>
    </row>
    <row r="413" spans="1:19" ht="18.95" customHeight="1">
      <c r="A413" s="55"/>
      <c r="B413" s="55"/>
      <c r="C413" s="55"/>
      <c r="D413" s="55"/>
      <c r="E413" s="55"/>
      <c r="F413" s="55"/>
      <c r="G413" s="55"/>
      <c r="H413" s="55"/>
      <c r="I413" s="55"/>
      <c r="J413" s="55"/>
      <c r="K413" s="55"/>
      <c r="L413" s="48"/>
      <c r="M413" s="55"/>
      <c r="N413" s="55"/>
      <c r="O413" s="55"/>
      <c r="P413" s="55"/>
      <c r="Q413" s="55"/>
      <c r="R413" s="55"/>
      <c r="S413" s="55"/>
    </row>
    <row r="414" spans="1:19" ht="18.95" customHeight="1">
      <c r="A414" s="55"/>
      <c r="B414" s="55"/>
      <c r="C414" s="55"/>
      <c r="D414" s="55"/>
      <c r="E414" s="55"/>
      <c r="F414" s="55"/>
      <c r="G414" s="55"/>
      <c r="H414" s="55"/>
      <c r="I414" s="55"/>
      <c r="J414" s="55"/>
      <c r="K414" s="55"/>
      <c r="L414" s="48"/>
      <c r="M414" s="55"/>
      <c r="N414" s="55"/>
      <c r="O414" s="55"/>
      <c r="P414" s="55"/>
      <c r="Q414" s="55"/>
      <c r="R414" s="55"/>
      <c r="S414" s="55"/>
    </row>
    <row r="415" spans="1:19" ht="18.95" customHeight="1">
      <c r="A415" s="55"/>
      <c r="B415" s="55"/>
      <c r="C415" s="55"/>
      <c r="D415" s="55"/>
      <c r="E415" s="55"/>
      <c r="F415" s="55"/>
      <c r="G415" s="55"/>
      <c r="H415" s="55"/>
      <c r="I415" s="55"/>
      <c r="J415" s="55"/>
      <c r="K415" s="55"/>
      <c r="L415" s="48"/>
      <c r="M415" s="55"/>
      <c r="N415" s="55"/>
      <c r="O415" s="55"/>
      <c r="P415" s="55"/>
      <c r="Q415" s="55"/>
      <c r="R415" s="55"/>
      <c r="S415" s="55"/>
    </row>
    <row r="416" spans="1:19" ht="18.95" customHeight="1">
      <c r="A416" s="55"/>
      <c r="B416" s="55"/>
      <c r="C416" s="55"/>
      <c r="D416" s="55"/>
      <c r="E416" s="55"/>
      <c r="F416" s="55"/>
      <c r="G416" s="55"/>
      <c r="H416" s="55"/>
      <c r="I416" s="55"/>
      <c r="J416" s="55"/>
      <c r="K416" s="55"/>
      <c r="L416" s="48"/>
      <c r="M416" s="55"/>
      <c r="N416" s="55"/>
      <c r="O416" s="55"/>
      <c r="P416" s="55"/>
      <c r="Q416" s="55"/>
      <c r="R416" s="55"/>
      <c r="S416" s="55"/>
    </row>
    <row r="417" spans="1:19" ht="18.95" customHeight="1">
      <c r="A417" s="55"/>
      <c r="B417" s="55"/>
      <c r="C417" s="55"/>
      <c r="D417" s="55"/>
      <c r="E417" s="55"/>
      <c r="F417" s="55"/>
      <c r="G417" s="55"/>
      <c r="H417" s="55"/>
      <c r="I417" s="55"/>
      <c r="J417" s="55"/>
      <c r="K417" s="55"/>
      <c r="L417" s="48"/>
      <c r="M417" s="55"/>
      <c r="N417" s="55"/>
      <c r="O417" s="55"/>
      <c r="P417" s="55"/>
      <c r="Q417" s="55"/>
      <c r="R417" s="55"/>
      <c r="S417" s="55"/>
    </row>
    <row r="418" spans="1:19" ht="18.95" customHeight="1">
      <c r="A418" s="55"/>
      <c r="B418" s="55"/>
      <c r="C418" s="55"/>
      <c r="D418" s="55"/>
      <c r="E418" s="55"/>
      <c r="F418" s="55"/>
      <c r="G418" s="55"/>
      <c r="H418" s="55"/>
      <c r="I418" s="55"/>
      <c r="J418" s="55"/>
      <c r="K418" s="55"/>
      <c r="L418" s="48"/>
      <c r="M418" s="55"/>
      <c r="N418" s="55"/>
      <c r="O418" s="55"/>
      <c r="P418" s="55"/>
      <c r="Q418" s="55"/>
      <c r="R418" s="55"/>
      <c r="S418" s="55"/>
    </row>
    <row r="419" spans="1:19" ht="18.95" customHeight="1">
      <c r="A419" s="55"/>
      <c r="B419" s="55"/>
      <c r="C419" s="55"/>
      <c r="D419" s="55"/>
      <c r="E419" s="55"/>
      <c r="F419" s="55"/>
      <c r="G419" s="55"/>
      <c r="H419" s="55"/>
      <c r="I419" s="55"/>
      <c r="J419" s="55"/>
      <c r="K419" s="55"/>
      <c r="L419" s="48"/>
      <c r="M419" s="55"/>
      <c r="N419" s="55"/>
      <c r="O419" s="55"/>
      <c r="P419" s="55"/>
      <c r="Q419" s="55"/>
      <c r="R419" s="55"/>
      <c r="S419" s="55"/>
    </row>
    <row r="420" spans="1:19">
      <c r="A420" s="55"/>
      <c r="B420" s="55"/>
      <c r="C420" s="55"/>
      <c r="D420" s="55"/>
      <c r="E420" s="55"/>
      <c r="F420" s="55"/>
      <c r="G420" s="55"/>
      <c r="H420" s="55"/>
      <c r="I420" s="55"/>
      <c r="J420" s="55"/>
      <c r="K420" s="55"/>
      <c r="L420" s="48"/>
      <c r="M420" s="55"/>
      <c r="N420" s="55"/>
      <c r="O420" s="55"/>
      <c r="P420" s="55"/>
      <c r="Q420" s="55"/>
      <c r="R420" s="55"/>
      <c r="S420" s="55"/>
    </row>
  </sheetData>
  <mergeCells count="30">
    <mergeCell ref="A1:S1"/>
    <mergeCell ref="A151:L151"/>
    <mergeCell ref="E2:F2"/>
    <mergeCell ref="A6:L6"/>
    <mergeCell ref="A140:L140"/>
    <mergeCell ref="G4:H4"/>
    <mergeCell ref="I4:J4"/>
    <mergeCell ref="A88:L88"/>
    <mergeCell ref="K4:L4"/>
    <mergeCell ref="A55:L55"/>
    <mergeCell ref="A3:B4"/>
    <mergeCell ref="A128:L128"/>
    <mergeCell ref="G3:H3"/>
    <mergeCell ref="I3:J3"/>
    <mergeCell ref="A156:L156"/>
    <mergeCell ref="A21:L21"/>
    <mergeCell ref="A2:D2"/>
    <mergeCell ref="G2:L2"/>
    <mergeCell ref="A63:L63"/>
    <mergeCell ref="A44:L44"/>
    <mergeCell ref="C3:D3"/>
    <mergeCell ref="A20:L20"/>
    <mergeCell ref="E3:F3"/>
    <mergeCell ref="K3:L3"/>
    <mergeCell ref="A155:L155"/>
    <mergeCell ref="A14:L14"/>
    <mergeCell ref="E4:F4"/>
    <mergeCell ref="A111:L111"/>
    <mergeCell ref="A153:L153"/>
    <mergeCell ref="A154:L154"/>
  </mergeCells>
  <dataValidations count="4">
    <dataValidation type="list" allowBlank="1" errorTitle="Invalid entry" error="Select a value from the list." prompt="Use the dropdown choice." sqref="D16:D18 F46:F53 F57:F61" xr:uid="{00000000-0002-0000-0400-000000000000}">
      <formula1>"Not Started,In Progress,Complete,Gap,Hold,N/A"</formula1>
    </dataValidation>
    <dataValidation type="list" allowBlank="1" errorTitle="Invalid entry" error="Select a value from the list." prompt="Use the dropdown choice." sqref="E16:E18 E158:E160" xr:uid="{00000000-0002-0000-0400-000001000000}">
      <formula1>"Proceed,Proceed with Conditions,Hold,Backtrack,N/A"</formula1>
    </dataValidation>
    <dataValidation type="list" allowBlank="1" errorTitle="Invalid entry" error="Select a value from the list." prompt="Use the dropdown choice." sqref="C23:C42 C65:C86 C90:C109 C113:C126 C130:C138 C142:C149" xr:uid="{00000000-0002-0000-0400-000002000000}">
      <formula1>"TRUE,FALSE"</formula1>
    </dataValidation>
    <dataValidation type="list" allowBlank="1" errorTitle="Invalid entry" error="Select a value from the list." prompt="Use the dropdown choice." sqref="B142:C149 D130:D138" xr:uid="{00000000-0002-0000-0400-000003000000}">
      <formula1>"Y,N,N/A"</formula1>
    </dataValidation>
  </dataValidations>
  <hyperlinks>
    <hyperlink ref="E4" r:id="rId1" display="https://maxbiocare.sharepoint.com/:x:/s/cosmetics/IQB0XybrTyBNSq2Qof1KIQy8Aa3hu34JulCRsdlu1Co0qfA?e=YB2Hbr&amp;nav=MTVfezAwMDAwMDAwLTAwMDEtMDAwMC0wNjAwLTAwMDAwMDAwMDAwMH0"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P420"/>
  <sheetViews>
    <sheetView showGridLines="0" topLeftCell="A17" workbookViewId="0">
      <selection activeCell="M79" sqref="M79"/>
    </sheetView>
  </sheetViews>
  <sheetFormatPr defaultRowHeight="15"/>
  <cols>
    <col min="1" max="1" width="18.5703125" style="3" customWidth="1"/>
    <col min="2" max="2" width="33.5703125" style="3" customWidth="1"/>
    <col min="3" max="3" width="34" style="3" customWidth="1"/>
    <col min="4" max="4" width="23" style="3" customWidth="1"/>
    <col min="5" max="5" width="18" style="3" customWidth="1"/>
    <col min="6" max="6" width="28" style="3" customWidth="1"/>
    <col min="7" max="7" width="34" style="3" customWidth="1"/>
    <col min="8" max="8" width="20" style="3" customWidth="1"/>
    <col min="9" max="9" width="12" style="3" customWidth="1"/>
    <col min="10" max="10" width="18" style="3" customWidth="1"/>
    <col min="11" max="11" width="20" style="3" customWidth="1"/>
    <col min="12" max="12" width="22" customWidth="1"/>
    <col min="13" max="14" width="9.140625" style="3" customWidth="1"/>
    <col min="15" max="16384" width="9.140625" style="3"/>
  </cols>
  <sheetData>
    <row r="1" spans="1:16" s="55" customFormat="1">
      <c r="A1" s="152" t="s">
        <v>311</v>
      </c>
      <c r="B1" s="152"/>
      <c r="C1" s="152"/>
      <c r="D1" s="152"/>
      <c r="E1" s="152"/>
      <c r="F1" s="152"/>
      <c r="G1" s="152"/>
      <c r="H1" s="152"/>
      <c r="I1" s="152"/>
      <c r="J1" s="152"/>
      <c r="K1" s="152"/>
      <c r="L1" s="152"/>
      <c r="M1" s="152"/>
      <c r="N1" s="152"/>
      <c r="O1" s="152"/>
      <c r="P1" s="152"/>
    </row>
    <row r="2" spans="1:16" ht="38.1" customHeight="1">
      <c r="A2" s="146" t="s">
        <v>0</v>
      </c>
      <c r="B2" s="193"/>
      <c r="C2" s="193"/>
      <c r="D2" s="193"/>
      <c r="E2" s="146" t="s">
        <v>692</v>
      </c>
      <c r="F2" s="193"/>
      <c r="G2" s="146" t="s">
        <v>693</v>
      </c>
      <c r="H2" s="193"/>
      <c r="I2" s="193"/>
      <c r="J2" s="193"/>
      <c r="K2" s="193"/>
      <c r="L2" s="193"/>
      <c r="M2" s="55"/>
      <c r="N2" s="55"/>
      <c r="O2" s="55"/>
      <c r="P2" s="55"/>
    </row>
    <row r="3" spans="1:16" ht="30" customHeight="1">
      <c r="A3" s="153" t="s">
        <v>694</v>
      </c>
      <c r="B3" s="193"/>
      <c r="C3" s="147" t="s">
        <v>695</v>
      </c>
      <c r="D3" s="193"/>
      <c r="E3" s="148" t="s">
        <v>696</v>
      </c>
      <c r="F3" s="193"/>
      <c r="G3" s="148" t="s">
        <v>697</v>
      </c>
      <c r="H3" s="193"/>
      <c r="I3" s="148" t="s">
        <v>698</v>
      </c>
      <c r="J3" s="193"/>
      <c r="K3" s="148" t="s">
        <v>699</v>
      </c>
      <c r="L3" s="193"/>
      <c r="M3" s="55"/>
      <c r="N3" s="55"/>
      <c r="O3" s="55"/>
      <c r="P3" s="55"/>
    </row>
    <row r="4" spans="1:16" s="2" customFormat="1" ht="24" customHeight="1">
      <c r="A4" s="193"/>
      <c r="B4" s="193"/>
      <c r="C4" s="54"/>
      <c r="D4" s="54"/>
      <c r="E4" s="151" t="s">
        <v>320</v>
      </c>
      <c r="F4" s="193"/>
      <c r="G4" s="151" t="s">
        <v>320</v>
      </c>
      <c r="H4" s="193"/>
      <c r="I4" s="151" t="s">
        <v>320</v>
      </c>
      <c r="J4" s="193"/>
      <c r="K4" s="151" t="s">
        <v>320</v>
      </c>
      <c r="L4" s="193"/>
      <c r="M4" s="55"/>
      <c r="N4" s="55"/>
      <c r="O4" s="55"/>
      <c r="P4" s="55"/>
    </row>
    <row r="5" spans="1:16" s="2" customFormat="1" ht="18.95" customHeight="1">
      <c r="A5" s="55"/>
      <c r="B5" s="55"/>
      <c r="C5" s="55"/>
      <c r="D5" s="55"/>
      <c r="E5" s="55"/>
      <c r="F5" s="55"/>
      <c r="G5" s="55"/>
      <c r="H5" s="55"/>
      <c r="I5" s="55"/>
      <c r="J5" s="55"/>
      <c r="K5" s="55"/>
      <c r="L5" s="55"/>
      <c r="M5" s="55"/>
      <c r="N5" s="55"/>
      <c r="O5" s="55"/>
      <c r="P5" s="55"/>
    </row>
    <row r="6" spans="1:16" s="2" customFormat="1" ht="26.1" customHeight="1">
      <c r="A6" s="150" t="s">
        <v>321</v>
      </c>
      <c r="B6" s="194"/>
      <c r="C6" s="194"/>
      <c r="D6" s="194"/>
      <c r="E6" s="194"/>
      <c r="F6" s="194"/>
      <c r="G6" s="194"/>
      <c r="H6" s="194"/>
      <c r="I6" s="194"/>
      <c r="J6" s="194"/>
      <c r="K6" s="194"/>
      <c r="L6" s="195"/>
      <c r="M6" s="55"/>
      <c r="N6" s="55"/>
      <c r="O6" s="55"/>
      <c r="P6" s="55"/>
    </row>
    <row r="7" spans="1:16" s="2" customFormat="1" ht="24" customHeight="1">
      <c r="A7" s="22" t="s">
        <v>322</v>
      </c>
      <c r="B7" s="22" t="s">
        <v>323</v>
      </c>
      <c r="C7" s="22" t="s">
        <v>324</v>
      </c>
      <c r="D7" s="22" t="s">
        <v>322</v>
      </c>
      <c r="E7" s="22" t="s">
        <v>323</v>
      </c>
      <c r="F7" s="22" t="s">
        <v>324</v>
      </c>
      <c r="G7" s="22"/>
      <c r="H7" s="22"/>
      <c r="I7" s="22"/>
      <c r="J7" s="22"/>
      <c r="K7" s="22"/>
      <c r="L7" s="22"/>
      <c r="M7" s="55"/>
      <c r="N7" s="55"/>
      <c r="O7" s="55"/>
      <c r="P7" s="55"/>
    </row>
    <row r="8" spans="1:16" s="4" customFormat="1" ht="21" customHeight="1">
      <c r="A8" s="23" t="s">
        <v>325</v>
      </c>
      <c r="B8" s="24"/>
      <c r="C8" s="24"/>
      <c r="D8" s="23" t="s">
        <v>326</v>
      </c>
      <c r="E8" s="24"/>
      <c r="F8" s="24"/>
      <c r="G8" s="48"/>
      <c r="H8" s="48"/>
      <c r="I8" s="48"/>
      <c r="J8" s="48"/>
      <c r="K8" s="48"/>
      <c r="L8" s="48"/>
      <c r="M8" s="107"/>
      <c r="N8" s="107"/>
      <c r="O8" s="107"/>
      <c r="P8" s="107"/>
    </row>
    <row r="9" spans="1:16" s="4" customFormat="1" ht="21" customHeight="1">
      <c r="A9" s="23" t="s">
        <v>327</v>
      </c>
      <c r="B9" s="24"/>
      <c r="C9" s="24"/>
      <c r="D9" s="23" t="s">
        <v>328</v>
      </c>
      <c r="E9" s="24"/>
      <c r="F9" s="24"/>
      <c r="G9" s="48"/>
      <c r="H9" s="48"/>
      <c r="I9" s="48"/>
      <c r="J9" s="48"/>
      <c r="K9" s="48"/>
      <c r="L9" s="48"/>
      <c r="M9" s="107"/>
      <c r="N9" s="107"/>
      <c r="O9" s="107"/>
      <c r="P9" s="107"/>
    </row>
    <row r="10" spans="1:16" s="4" customFormat="1" ht="21" customHeight="1">
      <c r="A10" s="23" t="s">
        <v>329</v>
      </c>
      <c r="B10" s="24"/>
      <c r="C10" s="24"/>
      <c r="D10" s="23" t="s">
        <v>330</v>
      </c>
      <c r="E10" s="24"/>
      <c r="F10" s="24"/>
      <c r="G10" s="48"/>
      <c r="H10" s="48"/>
      <c r="I10" s="48"/>
      <c r="J10" s="48"/>
      <c r="K10" s="48"/>
      <c r="L10" s="48"/>
      <c r="M10" s="107"/>
      <c r="N10" s="107"/>
      <c r="O10" s="107"/>
      <c r="P10" s="107"/>
    </row>
    <row r="11" spans="1:16" ht="21" customHeight="1">
      <c r="A11" s="23" t="s">
        <v>331</v>
      </c>
      <c r="B11" s="24"/>
      <c r="C11" s="24"/>
      <c r="D11" s="23" t="s">
        <v>332</v>
      </c>
      <c r="E11" s="24"/>
      <c r="F11" s="24"/>
      <c r="G11" s="48"/>
      <c r="H11" s="48"/>
      <c r="I11" s="48"/>
      <c r="J11" s="48"/>
      <c r="K11" s="48"/>
      <c r="L11" s="48"/>
      <c r="M11" s="55"/>
      <c r="N11" s="55"/>
      <c r="O11" s="55"/>
      <c r="P11" s="55"/>
    </row>
    <row r="12" spans="1:16" ht="21" customHeight="1">
      <c r="A12" s="23" t="s">
        <v>333</v>
      </c>
      <c r="B12" s="24"/>
      <c r="C12" s="24"/>
      <c r="D12" s="23" t="s">
        <v>334</v>
      </c>
      <c r="E12" s="24"/>
      <c r="F12" s="24"/>
      <c r="G12" s="48"/>
      <c r="H12" s="48"/>
      <c r="I12" s="48"/>
      <c r="J12" s="48"/>
      <c r="K12" s="48"/>
      <c r="L12" s="48"/>
      <c r="M12" s="55"/>
      <c r="N12" s="55"/>
      <c r="O12" s="55"/>
      <c r="P12" s="55"/>
    </row>
    <row r="13" spans="1:16" s="2" customFormat="1" ht="18.95" customHeight="1">
      <c r="A13" s="55"/>
      <c r="B13" s="55"/>
      <c r="C13" s="55"/>
      <c r="D13" s="55"/>
      <c r="E13" s="55"/>
      <c r="F13" s="55"/>
      <c r="G13" s="55"/>
      <c r="H13" s="55"/>
      <c r="I13" s="55"/>
      <c r="J13" s="55"/>
      <c r="K13" s="55"/>
      <c r="L13" s="55"/>
      <c r="M13" s="55"/>
      <c r="N13" s="55"/>
      <c r="O13" s="55"/>
      <c r="P13" s="55"/>
    </row>
    <row r="14" spans="1:16" s="2" customFormat="1" ht="33.950000000000003" customHeight="1">
      <c r="A14" s="150" t="s">
        <v>335</v>
      </c>
      <c r="B14" s="194"/>
      <c r="C14" s="194"/>
      <c r="D14" s="194"/>
      <c r="E14" s="194"/>
      <c r="F14" s="194"/>
      <c r="G14" s="194"/>
      <c r="H14" s="194"/>
      <c r="I14" s="194"/>
      <c r="J14" s="194"/>
      <c r="K14" s="194"/>
      <c r="L14" s="195"/>
      <c r="M14" s="55"/>
      <c r="N14" s="55"/>
      <c r="O14" s="55"/>
      <c r="P14" s="55"/>
    </row>
    <row r="15" spans="1:16" s="2" customFormat="1" ht="26.1" customHeight="1">
      <c r="A15" s="22" t="s">
        <v>143</v>
      </c>
      <c r="B15" s="22" t="s">
        <v>336</v>
      </c>
      <c r="C15" s="22" t="s">
        <v>337</v>
      </c>
      <c r="D15" s="22" t="s">
        <v>338</v>
      </c>
      <c r="E15" s="22" t="s">
        <v>339</v>
      </c>
      <c r="F15" s="22" t="s">
        <v>144</v>
      </c>
      <c r="G15" s="22" t="s">
        <v>340</v>
      </c>
      <c r="H15" s="22" t="s">
        <v>341</v>
      </c>
      <c r="I15" s="22" t="s">
        <v>342</v>
      </c>
      <c r="J15" s="22"/>
      <c r="K15" s="22"/>
      <c r="L15" s="22"/>
      <c r="M15" s="55"/>
      <c r="N15" s="55"/>
      <c r="O15" s="55"/>
      <c r="P15" s="55"/>
    </row>
    <row r="16" spans="1:16" s="2" customFormat="1" ht="44.1" customHeight="1">
      <c r="A16" s="25" t="s">
        <v>175</v>
      </c>
      <c r="B16" s="26" t="s">
        <v>700</v>
      </c>
      <c r="C16" s="27" t="s">
        <v>701</v>
      </c>
      <c r="D16" s="27" t="s">
        <v>152</v>
      </c>
      <c r="E16" s="27"/>
      <c r="F16" s="27"/>
      <c r="G16" s="27"/>
      <c r="H16" s="28" t="s">
        <v>702</v>
      </c>
      <c r="I16" s="27"/>
      <c r="J16" s="55"/>
      <c r="K16" s="55"/>
      <c r="L16" s="55"/>
      <c r="M16" s="55"/>
      <c r="N16" s="55"/>
      <c r="O16" s="55"/>
      <c r="P16" s="55"/>
    </row>
    <row r="17" spans="1:16" s="2" customFormat="1" ht="44.1" customHeight="1">
      <c r="A17" s="25" t="s">
        <v>210</v>
      </c>
      <c r="B17" s="26" t="s">
        <v>703</v>
      </c>
      <c r="C17" s="27" t="s">
        <v>704</v>
      </c>
      <c r="D17" s="27" t="s">
        <v>152</v>
      </c>
      <c r="E17" s="27"/>
      <c r="F17" s="27"/>
      <c r="G17" s="27"/>
      <c r="H17" s="28" t="s">
        <v>705</v>
      </c>
      <c r="I17" s="27"/>
      <c r="J17" s="55"/>
      <c r="K17" s="55"/>
      <c r="L17" s="55"/>
      <c r="M17" s="55"/>
      <c r="N17" s="55"/>
      <c r="O17" s="55"/>
      <c r="P17" s="55"/>
    </row>
    <row r="18" spans="1:16" s="2" customFormat="1" ht="33.950000000000003" customHeight="1">
      <c r="A18" s="25" t="s">
        <v>706</v>
      </c>
      <c r="B18" s="26" t="s">
        <v>707</v>
      </c>
      <c r="C18" s="27" t="s">
        <v>708</v>
      </c>
      <c r="D18" s="27" t="s">
        <v>152</v>
      </c>
      <c r="E18" s="27"/>
      <c r="F18" s="27"/>
      <c r="G18" s="27"/>
      <c r="H18" s="28" t="s">
        <v>709</v>
      </c>
      <c r="I18" s="27"/>
      <c r="J18" s="55"/>
      <c r="K18" s="55"/>
      <c r="L18" s="55"/>
      <c r="M18" s="55"/>
      <c r="N18" s="55"/>
      <c r="O18" s="55"/>
      <c r="P18" s="55"/>
    </row>
    <row r="19" spans="1:16" ht="18.95" customHeight="1">
      <c r="A19" s="55"/>
      <c r="B19" s="55"/>
      <c r="C19" s="55"/>
      <c r="D19" s="55"/>
      <c r="E19" s="55"/>
      <c r="F19" s="55"/>
      <c r="G19" s="55"/>
      <c r="H19" s="55"/>
      <c r="I19" s="55"/>
      <c r="J19" s="55"/>
      <c r="K19" s="55"/>
      <c r="L19" s="48"/>
      <c r="M19" s="55"/>
      <c r="N19" s="55"/>
      <c r="O19" s="55"/>
      <c r="P19" s="55"/>
    </row>
    <row r="20" spans="1:16" ht="54" customHeight="1">
      <c r="A20" s="154" t="s">
        <v>710</v>
      </c>
      <c r="B20" s="194"/>
      <c r="C20" s="194"/>
      <c r="D20" s="194"/>
      <c r="E20" s="194"/>
      <c r="F20" s="194"/>
      <c r="G20" s="194"/>
      <c r="H20" s="194"/>
      <c r="I20" s="194"/>
      <c r="J20" s="194"/>
      <c r="K20" s="194"/>
      <c r="L20" s="195"/>
      <c r="M20" s="55"/>
      <c r="N20" s="55"/>
      <c r="O20" s="55"/>
      <c r="P20" s="55"/>
    </row>
    <row r="21" spans="1:16" ht="26.1" customHeight="1">
      <c r="A21" s="150" t="s">
        <v>711</v>
      </c>
      <c r="B21" s="194"/>
      <c r="C21" s="194"/>
      <c r="D21" s="194"/>
      <c r="E21" s="194"/>
      <c r="F21" s="194"/>
      <c r="G21" s="194"/>
      <c r="H21" s="194"/>
      <c r="I21" s="194"/>
      <c r="J21" s="194"/>
      <c r="K21" s="194"/>
      <c r="L21" s="195"/>
      <c r="M21" s="55"/>
      <c r="N21" s="55"/>
      <c r="O21" s="55"/>
      <c r="P21" s="55"/>
    </row>
    <row r="22" spans="1:16" s="2" customFormat="1" ht="26.1" customHeight="1">
      <c r="A22" s="22" t="s">
        <v>143</v>
      </c>
      <c r="B22" s="22" t="s">
        <v>575</v>
      </c>
      <c r="C22" s="22" t="s">
        <v>576</v>
      </c>
      <c r="D22" s="22" t="s">
        <v>577</v>
      </c>
      <c r="E22" s="22" t="s">
        <v>144</v>
      </c>
      <c r="F22" s="22" t="s">
        <v>145</v>
      </c>
      <c r="G22" s="22" t="s">
        <v>578</v>
      </c>
      <c r="H22" s="22" t="s">
        <v>499</v>
      </c>
      <c r="I22" s="22"/>
      <c r="J22" s="22"/>
      <c r="K22" s="22"/>
      <c r="L22" s="22"/>
      <c r="M22" s="55"/>
      <c r="N22" s="55"/>
      <c r="O22" s="55"/>
      <c r="P22" s="55"/>
    </row>
    <row r="23" spans="1:16" s="2" customFormat="1" ht="33.950000000000003" customHeight="1">
      <c r="A23" s="25" t="s">
        <v>175</v>
      </c>
      <c r="B23" s="26" t="s">
        <v>712</v>
      </c>
      <c r="C23" s="27" t="s">
        <v>713</v>
      </c>
      <c r="D23" s="27" t="s">
        <v>714</v>
      </c>
      <c r="E23" s="27" t="s">
        <v>518</v>
      </c>
      <c r="F23" s="27" t="s">
        <v>152</v>
      </c>
      <c r="G23" s="27"/>
      <c r="H23" s="27"/>
      <c r="I23" s="55"/>
      <c r="J23" s="55"/>
      <c r="K23" s="55"/>
      <c r="L23" s="55"/>
      <c r="M23" s="55"/>
      <c r="N23" s="55"/>
      <c r="O23" s="55"/>
      <c r="P23" s="55"/>
    </row>
    <row r="24" spans="1:16" s="2" customFormat="1" ht="33.950000000000003" customHeight="1">
      <c r="A24" s="25" t="s">
        <v>175</v>
      </c>
      <c r="B24" s="26" t="s">
        <v>715</v>
      </c>
      <c r="C24" s="27" t="s">
        <v>716</v>
      </c>
      <c r="D24" s="27" t="s">
        <v>717</v>
      </c>
      <c r="E24" s="27" t="s">
        <v>518</v>
      </c>
      <c r="F24" s="27" t="s">
        <v>152</v>
      </c>
      <c r="G24" s="27"/>
      <c r="H24" s="27"/>
      <c r="I24" s="55"/>
      <c r="J24" s="55"/>
      <c r="K24" s="55"/>
      <c r="L24" s="55"/>
      <c r="M24" s="55"/>
      <c r="N24" s="55"/>
      <c r="O24" s="55"/>
      <c r="P24" s="55"/>
    </row>
    <row r="25" spans="1:16" s="2" customFormat="1" ht="33.950000000000003" customHeight="1">
      <c r="A25" s="25" t="s">
        <v>175</v>
      </c>
      <c r="B25" s="26" t="s">
        <v>718</v>
      </c>
      <c r="C25" s="27" t="s">
        <v>719</v>
      </c>
      <c r="D25" s="27" t="s">
        <v>720</v>
      </c>
      <c r="E25" s="27" t="s">
        <v>518</v>
      </c>
      <c r="F25" s="27" t="s">
        <v>152</v>
      </c>
      <c r="G25" s="27"/>
      <c r="H25" s="27"/>
      <c r="I25" s="55"/>
      <c r="J25" s="55"/>
      <c r="K25" s="55"/>
      <c r="L25" s="55"/>
      <c r="M25" s="55"/>
      <c r="N25" s="55"/>
      <c r="O25" s="55"/>
      <c r="P25" s="55"/>
    </row>
    <row r="26" spans="1:16" s="2" customFormat="1" ht="33.950000000000003" customHeight="1">
      <c r="A26" s="25" t="s">
        <v>175</v>
      </c>
      <c r="B26" s="26" t="s">
        <v>721</v>
      </c>
      <c r="C26" s="27" t="s">
        <v>722</v>
      </c>
      <c r="D26" s="27" t="s">
        <v>723</v>
      </c>
      <c r="E26" s="27" t="s">
        <v>176</v>
      </c>
      <c r="F26" s="27" t="s">
        <v>152</v>
      </c>
      <c r="G26" s="27"/>
      <c r="H26" s="27"/>
      <c r="I26" s="55"/>
      <c r="J26" s="55"/>
      <c r="K26" s="55"/>
      <c r="L26" s="55"/>
      <c r="M26" s="55"/>
      <c r="N26" s="55"/>
      <c r="O26" s="55"/>
      <c r="P26" s="55"/>
    </row>
    <row r="27" spans="1:16" s="2" customFormat="1" ht="33.950000000000003" customHeight="1">
      <c r="A27" s="25" t="s">
        <v>175</v>
      </c>
      <c r="B27" s="26" t="s">
        <v>724</v>
      </c>
      <c r="C27" s="27" t="s">
        <v>725</v>
      </c>
      <c r="D27" s="27" t="s">
        <v>726</v>
      </c>
      <c r="E27" s="27" t="s">
        <v>518</v>
      </c>
      <c r="F27" s="27" t="s">
        <v>152</v>
      </c>
      <c r="G27" s="27"/>
      <c r="H27" s="27"/>
      <c r="I27" s="55"/>
      <c r="J27" s="55"/>
      <c r="K27" s="55"/>
      <c r="L27" s="55"/>
      <c r="M27" s="55"/>
      <c r="N27" s="55"/>
      <c r="O27" s="55"/>
      <c r="P27" s="55"/>
    </row>
    <row r="28" spans="1:16" ht="33.950000000000003" customHeight="1">
      <c r="A28" s="25" t="s">
        <v>175</v>
      </c>
      <c r="B28" s="26" t="s">
        <v>727</v>
      </c>
      <c r="C28" s="27" t="s">
        <v>728</v>
      </c>
      <c r="D28" s="27" t="s">
        <v>729</v>
      </c>
      <c r="E28" s="27" t="s">
        <v>730</v>
      </c>
      <c r="F28" s="27" t="s">
        <v>152</v>
      </c>
      <c r="G28" s="27"/>
      <c r="H28" s="27"/>
      <c r="I28" s="55"/>
      <c r="J28" s="55"/>
      <c r="K28" s="55"/>
      <c r="L28" s="48"/>
      <c r="M28" s="55"/>
      <c r="N28" s="55"/>
      <c r="O28" s="55"/>
      <c r="P28" s="55"/>
    </row>
    <row r="29" spans="1:16" s="2" customFormat="1" ht="18.95" customHeight="1">
      <c r="A29" s="55"/>
      <c r="B29" s="55"/>
      <c r="C29" s="55"/>
      <c r="D29" s="55"/>
      <c r="E29" s="55"/>
      <c r="F29" s="55"/>
      <c r="G29" s="55"/>
      <c r="H29" s="55"/>
      <c r="I29" s="55"/>
      <c r="J29" s="55"/>
      <c r="K29" s="55"/>
      <c r="L29" s="55"/>
      <c r="M29" s="55"/>
      <c r="N29" s="55"/>
      <c r="O29" s="55"/>
      <c r="P29" s="55"/>
    </row>
    <row r="30" spans="1:16" ht="26.1" customHeight="1">
      <c r="A30" s="150" t="s">
        <v>731</v>
      </c>
      <c r="B30" s="194"/>
      <c r="C30" s="194"/>
      <c r="D30" s="194"/>
      <c r="E30" s="194"/>
      <c r="F30" s="194"/>
      <c r="G30" s="194"/>
      <c r="H30" s="194"/>
      <c r="I30" s="194"/>
      <c r="J30" s="194"/>
      <c r="K30" s="194"/>
      <c r="L30" s="195"/>
      <c r="M30" s="55"/>
      <c r="N30" s="55"/>
      <c r="O30" s="55"/>
      <c r="P30" s="55"/>
    </row>
    <row r="31" spans="1:16" ht="26.1" customHeight="1">
      <c r="A31" s="22" t="s">
        <v>143</v>
      </c>
      <c r="B31" s="22" t="s">
        <v>732</v>
      </c>
      <c r="C31" s="22" t="s">
        <v>354</v>
      </c>
      <c r="D31" s="22" t="s">
        <v>355</v>
      </c>
      <c r="E31" s="22" t="s">
        <v>356</v>
      </c>
      <c r="F31" s="22" t="s">
        <v>357</v>
      </c>
      <c r="G31" s="22" t="s">
        <v>358</v>
      </c>
      <c r="H31" s="22" t="s">
        <v>733</v>
      </c>
      <c r="I31" s="22"/>
      <c r="J31" s="22"/>
      <c r="K31" s="22"/>
      <c r="L31" s="22"/>
      <c r="M31" s="55"/>
      <c r="N31" s="55"/>
      <c r="O31" s="55"/>
      <c r="P31" s="55"/>
    </row>
    <row r="32" spans="1:16" ht="26.1" customHeight="1">
      <c r="A32" s="24" t="s">
        <v>734</v>
      </c>
      <c r="B32" s="29" t="s">
        <v>735</v>
      </c>
      <c r="C32" s="60" t="b">
        <v>0</v>
      </c>
      <c r="D32" s="24" t="s">
        <v>736</v>
      </c>
      <c r="E32" s="24"/>
      <c r="F32" s="24"/>
      <c r="G32" s="24"/>
      <c r="H32" s="24"/>
      <c r="I32" s="55"/>
      <c r="J32" s="55"/>
      <c r="K32" s="55"/>
      <c r="L32" s="48"/>
      <c r="M32" s="55"/>
      <c r="N32" s="55"/>
      <c r="O32" s="55"/>
      <c r="P32" s="55"/>
    </row>
    <row r="33" spans="1:16" ht="26.1" customHeight="1">
      <c r="A33" s="24" t="s">
        <v>734</v>
      </c>
      <c r="B33" s="29" t="s">
        <v>737</v>
      </c>
      <c r="C33" s="60" t="b">
        <v>0</v>
      </c>
      <c r="D33" s="24" t="s">
        <v>736</v>
      </c>
      <c r="E33" s="24"/>
      <c r="F33" s="24"/>
      <c r="G33" s="24"/>
      <c r="H33" s="24"/>
      <c r="I33" s="55"/>
      <c r="J33" s="55"/>
      <c r="K33" s="55"/>
      <c r="L33" s="48"/>
      <c r="M33" s="55"/>
      <c r="N33" s="55"/>
      <c r="O33" s="55"/>
      <c r="P33" s="55"/>
    </row>
    <row r="34" spans="1:16" ht="26.1" customHeight="1">
      <c r="A34" s="24" t="s">
        <v>734</v>
      </c>
      <c r="B34" s="29" t="s">
        <v>738</v>
      </c>
      <c r="C34" s="60" t="b">
        <v>0</v>
      </c>
      <c r="D34" s="24" t="s">
        <v>736</v>
      </c>
      <c r="E34" s="24"/>
      <c r="F34" s="24"/>
      <c r="G34" s="24"/>
      <c r="H34" s="24"/>
      <c r="I34" s="55"/>
      <c r="J34" s="55"/>
      <c r="K34" s="55"/>
      <c r="L34" s="48"/>
      <c r="M34" s="55"/>
      <c r="N34" s="55"/>
      <c r="O34" s="55"/>
      <c r="P34" s="55"/>
    </row>
    <row r="35" spans="1:16" s="2" customFormat="1" ht="26.1" customHeight="1">
      <c r="A35" s="24" t="s">
        <v>734</v>
      </c>
      <c r="B35" s="29" t="s">
        <v>739</v>
      </c>
      <c r="C35" s="60" t="b">
        <v>0</v>
      </c>
      <c r="D35" s="24" t="s">
        <v>736</v>
      </c>
      <c r="E35" s="24"/>
      <c r="F35" s="24"/>
      <c r="G35" s="24"/>
      <c r="H35" s="24"/>
      <c r="I35" s="55"/>
      <c r="J35" s="55"/>
      <c r="K35" s="55"/>
      <c r="L35" s="55"/>
      <c r="M35" s="55"/>
      <c r="N35" s="55"/>
      <c r="O35" s="55"/>
      <c r="P35" s="55"/>
    </row>
    <row r="36" spans="1:16" s="2" customFormat="1" ht="21" customHeight="1">
      <c r="A36" s="24" t="s">
        <v>734</v>
      </c>
      <c r="B36" s="29" t="s">
        <v>740</v>
      </c>
      <c r="C36" s="60" t="b">
        <v>0</v>
      </c>
      <c r="D36" s="24" t="s">
        <v>736</v>
      </c>
      <c r="E36" s="24"/>
      <c r="F36" s="24"/>
      <c r="G36" s="24"/>
      <c r="H36" s="24"/>
      <c r="I36" s="55"/>
      <c r="J36" s="55"/>
      <c r="K36" s="55"/>
      <c r="L36" s="55"/>
      <c r="M36" s="55"/>
      <c r="N36" s="55"/>
      <c r="O36" s="55"/>
      <c r="P36" s="55"/>
    </row>
    <row r="37" spans="1:16" s="2" customFormat="1" ht="26.1" customHeight="1">
      <c r="A37" s="24" t="s">
        <v>734</v>
      </c>
      <c r="B37" s="29" t="s">
        <v>741</v>
      </c>
      <c r="C37" s="60" t="b">
        <v>0</v>
      </c>
      <c r="D37" s="24" t="s">
        <v>736</v>
      </c>
      <c r="E37" s="24"/>
      <c r="F37" s="24"/>
      <c r="G37" s="24"/>
      <c r="H37" s="24"/>
      <c r="I37" s="55"/>
      <c r="J37" s="55"/>
      <c r="K37" s="55"/>
      <c r="L37" s="55"/>
      <c r="M37" s="55"/>
      <c r="N37" s="55"/>
      <c r="O37" s="55"/>
      <c r="P37" s="55"/>
    </row>
    <row r="38" spans="1:16" s="2" customFormat="1" ht="21" customHeight="1">
      <c r="A38" s="24" t="s">
        <v>734</v>
      </c>
      <c r="B38" s="29" t="s">
        <v>742</v>
      </c>
      <c r="C38" s="60" t="b">
        <v>0</v>
      </c>
      <c r="D38" s="24" t="s">
        <v>736</v>
      </c>
      <c r="E38" s="24"/>
      <c r="F38" s="24"/>
      <c r="G38" s="24"/>
      <c r="H38" s="24"/>
      <c r="I38" s="55"/>
      <c r="J38" s="55"/>
      <c r="K38" s="55"/>
      <c r="L38" s="55"/>
      <c r="M38" s="55"/>
      <c r="N38" s="55"/>
      <c r="O38" s="55"/>
      <c r="P38" s="55"/>
    </row>
    <row r="39" spans="1:16" s="2" customFormat="1" ht="21" customHeight="1">
      <c r="A39" s="24" t="s">
        <v>734</v>
      </c>
      <c r="B39" s="29" t="s">
        <v>743</v>
      </c>
      <c r="C39" s="60" t="b">
        <v>0</v>
      </c>
      <c r="D39" s="24" t="s">
        <v>736</v>
      </c>
      <c r="E39" s="24"/>
      <c r="F39" s="24"/>
      <c r="G39" s="24"/>
      <c r="H39" s="24"/>
      <c r="I39" s="55"/>
      <c r="J39" s="55"/>
      <c r="K39" s="55"/>
      <c r="L39" s="55"/>
      <c r="M39" s="55"/>
      <c r="N39" s="55"/>
      <c r="O39" s="55"/>
      <c r="P39" s="55"/>
    </row>
    <row r="40" spans="1:16" s="2" customFormat="1" ht="21" customHeight="1">
      <c r="A40" s="24" t="s">
        <v>734</v>
      </c>
      <c r="B40" s="29" t="s">
        <v>744</v>
      </c>
      <c r="C40" s="60" t="b">
        <v>0</v>
      </c>
      <c r="D40" s="24" t="s">
        <v>736</v>
      </c>
      <c r="E40" s="24"/>
      <c r="F40" s="24"/>
      <c r="G40" s="24"/>
      <c r="H40" s="24"/>
      <c r="I40" s="55"/>
      <c r="J40" s="55"/>
      <c r="K40" s="55"/>
      <c r="L40" s="55"/>
      <c r="M40" s="55"/>
      <c r="N40" s="55"/>
      <c r="O40" s="55"/>
      <c r="P40" s="55"/>
    </row>
    <row r="41" spans="1:16" s="2" customFormat="1" ht="21" customHeight="1">
      <c r="A41" s="24" t="s">
        <v>734</v>
      </c>
      <c r="B41" s="29" t="s">
        <v>745</v>
      </c>
      <c r="C41" s="60" t="b">
        <v>0</v>
      </c>
      <c r="D41" s="24" t="s">
        <v>736</v>
      </c>
      <c r="E41" s="24"/>
      <c r="F41" s="24"/>
      <c r="G41" s="24"/>
      <c r="H41" s="24"/>
      <c r="I41" s="55"/>
      <c r="J41" s="55"/>
      <c r="K41" s="55"/>
      <c r="L41" s="55"/>
      <c r="M41" s="55"/>
      <c r="N41" s="55"/>
      <c r="O41" s="55"/>
      <c r="P41" s="55"/>
    </row>
    <row r="42" spans="1:16" s="2" customFormat="1" ht="21" customHeight="1">
      <c r="A42" s="24" t="s">
        <v>734</v>
      </c>
      <c r="B42" s="29" t="s">
        <v>746</v>
      </c>
      <c r="C42" s="60" t="b">
        <v>0</v>
      </c>
      <c r="D42" s="24" t="s">
        <v>736</v>
      </c>
      <c r="E42" s="24"/>
      <c r="F42" s="24"/>
      <c r="G42" s="24"/>
      <c r="H42" s="24"/>
      <c r="I42" s="55"/>
      <c r="J42" s="55"/>
      <c r="K42" s="55"/>
      <c r="L42" s="55"/>
      <c r="M42" s="55"/>
      <c r="N42" s="55"/>
      <c r="O42" s="55"/>
      <c r="P42" s="55"/>
    </row>
    <row r="43" spans="1:16" ht="26.1" customHeight="1">
      <c r="A43" s="24" t="s">
        <v>734</v>
      </c>
      <c r="B43" s="29" t="s">
        <v>747</v>
      </c>
      <c r="C43" s="60" t="b">
        <v>0</v>
      </c>
      <c r="D43" s="24" t="s">
        <v>736</v>
      </c>
      <c r="E43" s="24"/>
      <c r="F43" s="24"/>
      <c r="G43" s="24"/>
      <c r="H43" s="24"/>
      <c r="I43" s="55"/>
      <c r="J43" s="55"/>
      <c r="K43" s="55"/>
      <c r="L43" s="48"/>
      <c r="M43" s="55"/>
      <c r="N43" s="55"/>
      <c r="O43" s="55"/>
      <c r="P43" s="55"/>
    </row>
    <row r="44" spans="1:16" ht="26.1" customHeight="1">
      <c r="A44" s="24" t="s">
        <v>734</v>
      </c>
      <c r="B44" s="29" t="s">
        <v>748</v>
      </c>
      <c r="C44" s="60" t="b">
        <v>0</v>
      </c>
      <c r="D44" s="24" t="s">
        <v>736</v>
      </c>
      <c r="E44" s="24"/>
      <c r="F44" s="24"/>
      <c r="G44" s="24"/>
      <c r="H44" s="24"/>
      <c r="I44" s="55"/>
      <c r="J44" s="55"/>
      <c r="K44" s="55"/>
      <c r="L44" s="48"/>
      <c r="M44" s="55"/>
      <c r="N44" s="55"/>
      <c r="O44" s="55"/>
      <c r="P44" s="55"/>
    </row>
    <row r="45" spans="1:16" s="2" customFormat="1" ht="26.1" customHeight="1">
      <c r="A45" s="24" t="s">
        <v>734</v>
      </c>
      <c r="B45" s="29" t="s">
        <v>749</v>
      </c>
      <c r="C45" s="60" t="b">
        <v>0</v>
      </c>
      <c r="D45" s="24" t="s">
        <v>736</v>
      </c>
      <c r="E45" s="24"/>
      <c r="F45" s="24"/>
      <c r="G45" s="24"/>
      <c r="H45" s="24"/>
      <c r="I45" s="55"/>
      <c r="J45" s="55"/>
      <c r="K45" s="55"/>
      <c r="L45" s="55"/>
      <c r="M45" s="55"/>
      <c r="N45" s="55"/>
      <c r="O45" s="55"/>
      <c r="P45" s="55"/>
    </row>
    <row r="46" spans="1:16" ht="26.1" customHeight="1">
      <c r="A46" s="24" t="s">
        <v>734</v>
      </c>
      <c r="B46" s="29" t="s">
        <v>750</v>
      </c>
      <c r="C46" s="60" t="b">
        <v>0</v>
      </c>
      <c r="D46" s="24" t="s">
        <v>736</v>
      </c>
      <c r="E46" s="24"/>
      <c r="F46" s="24"/>
      <c r="G46" s="24"/>
      <c r="H46" s="24"/>
      <c r="I46" s="55"/>
      <c r="J46" s="55"/>
      <c r="K46" s="55"/>
      <c r="L46" s="48"/>
      <c r="M46" s="55"/>
      <c r="N46" s="55"/>
      <c r="O46" s="55"/>
      <c r="P46" s="55"/>
    </row>
    <row r="47" spans="1:16" ht="21" customHeight="1">
      <c r="A47" s="24" t="s">
        <v>734</v>
      </c>
      <c r="B47" s="29" t="s">
        <v>751</v>
      </c>
      <c r="C47" s="60" t="b">
        <v>0</v>
      </c>
      <c r="D47" s="24" t="s">
        <v>736</v>
      </c>
      <c r="E47" s="24"/>
      <c r="F47" s="24"/>
      <c r="G47" s="24"/>
      <c r="H47" s="24"/>
      <c r="I47" s="55"/>
      <c r="J47" s="55"/>
      <c r="K47" s="55"/>
      <c r="L47" s="48"/>
      <c r="M47" s="55"/>
      <c r="N47" s="55"/>
      <c r="O47" s="55"/>
      <c r="P47" s="55"/>
    </row>
    <row r="48" spans="1:16" ht="21" customHeight="1">
      <c r="A48" s="24" t="s">
        <v>734</v>
      </c>
      <c r="B48" s="29" t="s">
        <v>752</v>
      </c>
      <c r="C48" s="60" t="b">
        <v>0</v>
      </c>
      <c r="D48" s="24" t="s">
        <v>736</v>
      </c>
      <c r="E48" s="24"/>
      <c r="F48" s="24"/>
      <c r="G48" s="24"/>
      <c r="H48" s="24"/>
      <c r="I48" s="55"/>
      <c r="J48" s="55"/>
      <c r="K48" s="55"/>
      <c r="L48" s="48"/>
      <c r="M48" s="55"/>
      <c r="N48" s="55"/>
      <c r="O48" s="55"/>
      <c r="P48" s="55"/>
    </row>
    <row r="49" spans="1:16" ht="26.1" customHeight="1">
      <c r="A49" s="24" t="s">
        <v>734</v>
      </c>
      <c r="B49" s="29" t="s">
        <v>753</v>
      </c>
      <c r="C49" s="60" t="b">
        <v>0</v>
      </c>
      <c r="D49" s="24" t="s">
        <v>736</v>
      </c>
      <c r="E49" s="24"/>
      <c r="F49" s="24"/>
      <c r="G49" s="24"/>
      <c r="H49" s="24"/>
      <c r="I49" s="55"/>
      <c r="J49" s="55"/>
      <c r="K49" s="55"/>
      <c r="L49" s="48"/>
      <c r="M49" s="55"/>
      <c r="N49" s="55"/>
      <c r="O49" s="55"/>
      <c r="P49" s="55"/>
    </row>
    <row r="50" spans="1:16" ht="26.1" customHeight="1">
      <c r="A50" s="24" t="s">
        <v>734</v>
      </c>
      <c r="B50" s="29" t="s">
        <v>754</v>
      </c>
      <c r="C50" s="60" t="b">
        <v>0</v>
      </c>
      <c r="D50" s="24" t="s">
        <v>736</v>
      </c>
      <c r="E50" s="24"/>
      <c r="F50" s="24"/>
      <c r="G50" s="24"/>
      <c r="H50" s="24"/>
      <c r="I50" s="55"/>
      <c r="J50" s="55"/>
      <c r="K50" s="55"/>
      <c r="L50" s="48"/>
      <c r="M50" s="55"/>
      <c r="N50" s="55"/>
      <c r="O50" s="55"/>
      <c r="P50" s="55"/>
    </row>
    <row r="51" spans="1:16" ht="26.1" customHeight="1">
      <c r="A51" s="24" t="s">
        <v>734</v>
      </c>
      <c r="B51" s="29" t="s">
        <v>474</v>
      </c>
      <c r="C51" s="60" t="b">
        <v>0</v>
      </c>
      <c r="D51" s="24" t="s">
        <v>736</v>
      </c>
      <c r="E51" s="24"/>
      <c r="F51" s="24"/>
      <c r="G51" s="24"/>
      <c r="H51" s="24"/>
      <c r="I51" s="55"/>
      <c r="J51" s="55"/>
      <c r="K51" s="55"/>
      <c r="L51" s="48"/>
      <c r="M51" s="55"/>
      <c r="N51" s="55"/>
      <c r="O51" s="55"/>
      <c r="P51" s="55"/>
    </row>
    <row r="52" spans="1:16" ht="18.95" customHeight="1">
      <c r="A52" s="55"/>
      <c r="B52" s="55"/>
      <c r="C52" s="55"/>
      <c r="D52" s="55"/>
      <c r="E52" s="55"/>
      <c r="F52" s="55"/>
      <c r="G52" s="55"/>
      <c r="H52" s="55"/>
      <c r="I52" s="55"/>
      <c r="J52" s="55"/>
      <c r="K52" s="55"/>
      <c r="L52" s="48"/>
      <c r="M52" s="55"/>
      <c r="N52" s="55"/>
      <c r="O52" s="55"/>
      <c r="P52" s="55"/>
    </row>
    <row r="53" spans="1:16" ht="33.950000000000003" customHeight="1">
      <c r="A53" s="150" t="s">
        <v>755</v>
      </c>
      <c r="B53" s="194"/>
      <c r="C53" s="194"/>
      <c r="D53" s="194"/>
      <c r="E53" s="194"/>
      <c r="F53" s="194"/>
      <c r="G53" s="194"/>
      <c r="H53" s="194"/>
      <c r="I53" s="194"/>
      <c r="J53" s="194"/>
      <c r="K53" s="194"/>
      <c r="L53" s="195"/>
      <c r="M53" s="55"/>
      <c r="N53" s="55"/>
      <c r="O53" s="55"/>
      <c r="P53" s="55"/>
    </row>
    <row r="54" spans="1:16" ht="26.1" customHeight="1">
      <c r="A54" s="22" t="s">
        <v>143</v>
      </c>
      <c r="B54" s="22" t="s">
        <v>575</v>
      </c>
      <c r="C54" s="22" t="s">
        <v>576</v>
      </c>
      <c r="D54" s="22" t="s">
        <v>577</v>
      </c>
      <c r="E54" s="22" t="s">
        <v>144</v>
      </c>
      <c r="F54" s="22" t="s">
        <v>145</v>
      </c>
      <c r="G54" s="22" t="s">
        <v>578</v>
      </c>
      <c r="H54" s="22" t="s">
        <v>499</v>
      </c>
      <c r="I54" s="22"/>
      <c r="J54" s="22"/>
      <c r="K54" s="22"/>
      <c r="L54" s="22"/>
      <c r="M54" s="55"/>
      <c r="N54" s="55"/>
      <c r="O54" s="55"/>
      <c r="P54" s="55"/>
    </row>
    <row r="55" spans="1:16" s="2" customFormat="1" ht="33.950000000000003" customHeight="1">
      <c r="A55" s="25" t="s">
        <v>210</v>
      </c>
      <c r="B55" s="26" t="s">
        <v>756</v>
      </c>
      <c r="C55" s="27" t="s">
        <v>757</v>
      </c>
      <c r="D55" s="27" t="s">
        <v>758</v>
      </c>
      <c r="E55" s="27" t="s">
        <v>759</v>
      </c>
      <c r="F55" s="27" t="s">
        <v>152</v>
      </c>
      <c r="G55" s="27"/>
      <c r="H55" s="27"/>
      <c r="I55" s="55"/>
      <c r="J55" s="55"/>
      <c r="K55" s="55"/>
      <c r="L55" s="55"/>
      <c r="M55" s="55"/>
      <c r="N55" s="55"/>
      <c r="O55" s="55"/>
      <c r="P55" s="55"/>
    </row>
    <row r="56" spans="1:16" s="2" customFormat="1" ht="33.950000000000003" customHeight="1">
      <c r="A56" s="25" t="s">
        <v>210</v>
      </c>
      <c r="B56" s="26" t="s">
        <v>760</v>
      </c>
      <c r="C56" s="27" t="s">
        <v>761</v>
      </c>
      <c r="D56" s="27" t="s">
        <v>762</v>
      </c>
      <c r="E56" s="27" t="s">
        <v>759</v>
      </c>
      <c r="F56" s="27" t="s">
        <v>152</v>
      </c>
      <c r="G56" s="27"/>
      <c r="H56" s="27"/>
      <c r="I56" s="55"/>
      <c r="J56" s="55"/>
      <c r="K56" s="55"/>
      <c r="L56" s="55"/>
      <c r="M56" s="55"/>
      <c r="N56" s="55"/>
      <c r="O56" s="55"/>
      <c r="P56" s="55"/>
    </row>
    <row r="57" spans="1:16" s="2" customFormat="1" ht="33.950000000000003" customHeight="1">
      <c r="A57" s="25" t="s">
        <v>210</v>
      </c>
      <c r="B57" s="26" t="s">
        <v>763</v>
      </c>
      <c r="C57" s="27" t="s">
        <v>764</v>
      </c>
      <c r="D57" s="27" t="s">
        <v>765</v>
      </c>
      <c r="E57" s="27" t="s">
        <v>730</v>
      </c>
      <c r="F57" s="27" t="s">
        <v>152</v>
      </c>
      <c r="G57" s="27"/>
      <c r="H57" s="27"/>
      <c r="I57" s="55"/>
      <c r="J57" s="55"/>
      <c r="K57" s="55"/>
      <c r="L57" s="55"/>
      <c r="M57" s="55"/>
      <c r="N57" s="55"/>
      <c r="O57" s="55"/>
      <c r="P57" s="55"/>
    </row>
    <row r="58" spans="1:16" s="2" customFormat="1" ht="33.950000000000003" customHeight="1">
      <c r="A58" s="25" t="s">
        <v>210</v>
      </c>
      <c r="B58" s="26" t="s">
        <v>766</v>
      </c>
      <c r="C58" s="27" t="s">
        <v>767</v>
      </c>
      <c r="D58" s="27" t="s">
        <v>768</v>
      </c>
      <c r="E58" s="27" t="s">
        <v>759</v>
      </c>
      <c r="F58" s="27" t="s">
        <v>152</v>
      </c>
      <c r="G58" s="27"/>
      <c r="H58" s="27"/>
      <c r="I58" s="55"/>
      <c r="J58" s="55"/>
      <c r="K58" s="55"/>
      <c r="L58" s="55"/>
      <c r="M58" s="55"/>
      <c r="N58" s="55"/>
      <c r="O58" s="55"/>
      <c r="P58" s="55"/>
    </row>
    <row r="59" spans="1:16" s="2" customFormat="1" ht="33.950000000000003" customHeight="1">
      <c r="A59" s="25" t="s">
        <v>210</v>
      </c>
      <c r="B59" s="26" t="s">
        <v>769</v>
      </c>
      <c r="C59" s="27" t="s">
        <v>770</v>
      </c>
      <c r="D59" s="27" t="s">
        <v>771</v>
      </c>
      <c r="E59" s="27" t="s">
        <v>772</v>
      </c>
      <c r="F59" s="27" t="s">
        <v>152</v>
      </c>
      <c r="G59" s="27"/>
      <c r="H59" s="27"/>
      <c r="I59" s="55"/>
      <c r="J59" s="55"/>
      <c r="K59" s="55"/>
      <c r="L59" s="55"/>
      <c r="M59" s="55"/>
      <c r="N59" s="55"/>
      <c r="O59" s="55"/>
      <c r="P59" s="55"/>
    </row>
    <row r="60" spans="1:16" s="2" customFormat="1" ht="33.950000000000003" customHeight="1">
      <c r="A60" s="25" t="s">
        <v>210</v>
      </c>
      <c r="B60" s="26" t="s">
        <v>773</v>
      </c>
      <c r="C60" s="27" t="s">
        <v>774</v>
      </c>
      <c r="D60" s="27" t="s">
        <v>775</v>
      </c>
      <c r="E60" s="27" t="s">
        <v>759</v>
      </c>
      <c r="F60" s="27" t="s">
        <v>152</v>
      </c>
      <c r="G60" s="27"/>
      <c r="H60" s="27"/>
      <c r="I60" s="55"/>
      <c r="J60" s="55"/>
      <c r="K60" s="55"/>
      <c r="L60" s="55"/>
      <c r="M60" s="55"/>
      <c r="N60" s="55"/>
      <c r="O60" s="55"/>
      <c r="P60" s="55"/>
    </row>
    <row r="61" spans="1:16" s="2" customFormat="1" ht="18.95" customHeight="1">
      <c r="A61" s="55"/>
      <c r="B61" s="55"/>
      <c r="C61" s="55"/>
      <c r="D61" s="55"/>
      <c r="E61" s="55"/>
      <c r="F61" s="55"/>
      <c r="G61" s="55"/>
      <c r="H61" s="55"/>
      <c r="I61" s="55"/>
      <c r="J61" s="55"/>
      <c r="K61" s="55"/>
      <c r="L61" s="55"/>
      <c r="M61" s="55"/>
      <c r="N61" s="55"/>
      <c r="O61" s="55"/>
      <c r="P61" s="55"/>
    </row>
    <row r="62" spans="1:16" s="2" customFormat="1" ht="33.950000000000003" customHeight="1">
      <c r="A62" s="150" t="s">
        <v>776</v>
      </c>
      <c r="B62" s="194"/>
      <c r="C62" s="194"/>
      <c r="D62" s="194"/>
      <c r="E62" s="194"/>
      <c r="F62" s="194"/>
      <c r="G62" s="194"/>
      <c r="H62" s="194"/>
      <c r="I62" s="194"/>
      <c r="J62" s="194"/>
      <c r="K62" s="194"/>
      <c r="L62" s="195"/>
      <c r="M62" s="55"/>
      <c r="N62" s="55"/>
      <c r="O62" s="55"/>
      <c r="P62" s="55"/>
    </row>
    <row r="63" spans="1:16" s="2" customFormat="1" ht="26.1" customHeight="1">
      <c r="A63" s="22" t="s">
        <v>143</v>
      </c>
      <c r="B63" s="22" t="s">
        <v>575</v>
      </c>
      <c r="C63" s="22" t="s">
        <v>576</v>
      </c>
      <c r="D63" s="22" t="s">
        <v>577</v>
      </c>
      <c r="E63" s="22" t="s">
        <v>144</v>
      </c>
      <c r="F63" s="22" t="s">
        <v>145</v>
      </c>
      <c r="G63" s="22" t="s">
        <v>578</v>
      </c>
      <c r="H63" s="22" t="s">
        <v>499</v>
      </c>
      <c r="I63" s="22"/>
      <c r="J63" s="22"/>
      <c r="K63" s="22"/>
      <c r="L63" s="22"/>
      <c r="M63" s="55"/>
      <c r="N63" s="55"/>
      <c r="O63" s="55"/>
      <c r="P63" s="55"/>
    </row>
    <row r="64" spans="1:16" s="2" customFormat="1" ht="33.950000000000003" customHeight="1">
      <c r="A64" s="25" t="s">
        <v>706</v>
      </c>
      <c r="B64" s="26" t="s">
        <v>777</v>
      </c>
      <c r="C64" s="27" t="s">
        <v>778</v>
      </c>
      <c r="D64" s="27" t="s">
        <v>779</v>
      </c>
      <c r="E64" s="27" t="s">
        <v>211</v>
      </c>
      <c r="F64" s="27" t="s">
        <v>152</v>
      </c>
      <c r="G64" s="27"/>
      <c r="H64" s="27"/>
      <c r="I64" s="55"/>
      <c r="J64" s="55"/>
      <c r="K64" s="55"/>
      <c r="L64" s="55"/>
      <c r="M64" s="55"/>
      <c r="N64" s="55"/>
      <c r="O64" s="55"/>
      <c r="P64" s="55"/>
    </row>
    <row r="65" spans="1:16" s="2" customFormat="1" ht="33.950000000000003" customHeight="1">
      <c r="A65" s="25" t="s">
        <v>706</v>
      </c>
      <c r="B65" s="26" t="s">
        <v>780</v>
      </c>
      <c r="C65" s="27" t="s">
        <v>781</v>
      </c>
      <c r="D65" s="27" t="s">
        <v>782</v>
      </c>
      <c r="E65" s="27" t="s">
        <v>211</v>
      </c>
      <c r="F65" s="27" t="s">
        <v>152</v>
      </c>
      <c r="G65" s="27"/>
      <c r="H65" s="27"/>
      <c r="I65" s="55"/>
      <c r="J65" s="55"/>
      <c r="K65" s="55"/>
      <c r="L65" s="55"/>
      <c r="M65" s="55"/>
      <c r="N65" s="55"/>
      <c r="O65" s="55"/>
      <c r="P65" s="55"/>
    </row>
    <row r="66" spans="1:16" s="2" customFormat="1" ht="33.950000000000003" customHeight="1">
      <c r="A66" s="25" t="s">
        <v>706</v>
      </c>
      <c r="B66" s="26" t="s">
        <v>783</v>
      </c>
      <c r="C66" s="27" t="s">
        <v>784</v>
      </c>
      <c r="D66" s="27" t="s">
        <v>785</v>
      </c>
      <c r="E66" s="27" t="s">
        <v>786</v>
      </c>
      <c r="F66" s="27" t="s">
        <v>152</v>
      </c>
      <c r="G66" s="27"/>
      <c r="H66" s="27"/>
      <c r="I66" s="55"/>
      <c r="J66" s="55"/>
      <c r="K66" s="55"/>
      <c r="L66" s="55"/>
      <c r="M66" s="55"/>
      <c r="N66" s="55"/>
      <c r="O66" s="55"/>
      <c r="P66" s="55"/>
    </row>
    <row r="67" spans="1:16" s="2" customFormat="1" ht="33.950000000000003" customHeight="1">
      <c r="A67" s="25" t="s">
        <v>706</v>
      </c>
      <c r="B67" s="26" t="s">
        <v>787</v>
      </c>
      <c r="C67" s="27" t="s">
        <v>788</v>
      </c>
      <c r="D67" s="27" t="s">
        <v>789</v>
      </c>
      <c r="E67" s="27" t="s">
        <v>270</v>
      </c>
      <c r="F67" s="27" t="s">
        <v>152</v>
      </c>
      <c r="G67" s="27"/>
      <c r="H67" s="27"/>
      <c r="I67" s="55"/>
      <c r="J67" s="55"/>
      <c r="K67" s="55"/>
      <c r="L67" s="55"/>
      <c r="M67" s="55"/>
      <c r="N67" s="55"/>
      <c r="O67" s="55"/>
      <c r="P67" s="55"/>
    </row>
    <row r="68" spans="1:16" s="2" customFormat="1" ht="33.950000000000003" customHeight="1">
      <c r="A68" s="25" t="s">
        <v>706</v>
      </c>
      <c r="B68" s="26" t="s">
        <v>790</v>
      </c>
      <c r="C68" s="27" t="s">
        <v>791</v>
      </c>
      <c r="D68" s="27" t="s">
        <v>792</v>
      </c>
      <c r="E68" s="27" t="s">
        <v>211</v>
      </c>
      <c r="F68" s="27" t="s">
        <v>152</v>
      </c>
      <c r="G68" s="27"/>
      <c r="H68" s="27"/>
      <c r="I68" s="55"/>
      <c r="J68" s="55"/>
      <c r="K68" s="55"/>
      <c r="L68" s="55"/>
      <c r="M68" s="55"/>
      <c r="N68" s="55"/>
      <c r="O68" s="55"/>
      <c r="P68" s="55"/>
    </row>
    <row r="69" spans="1:16" s="2" customFormat="1" ht="18.95" customHeight="1">
      <c r="A69" s="55"/>
      <c r="B69" s="55"/>
      <c r="C69" s="55"/>
      <c r="D69" s="55"/>
      <c r="E69" s="55"/>
      <c r="F69" s="55"/>
      <c r="G69" s="55"/>
      <c r="H69" s="55"/>
      <c r="I69" s="55"/>
      <c r="J69" s="55"/>
      <c r="K69" s="55"/>
      <c r="L69" s="55"/>
      <c r="M69" s="55"/>
      <c r="N69" s="55"/>
      <c r="O69" s="55"/>
      <c r="P69" s="55"/>
    </row>
    <row r="70" spans="1:16" s="2" customFormat="1" ht="26.1" customHeight="1">
      <c r="A70" s="150" t="s">
        <v>793</v>
      </c>
      <c r="B70" s="194"/>
      <c r="C70" s="194"/>
      <c r="D70" s="194"/>
      <c r="E70" s="194"/>
      <c r="F70" s="194"/>
      <c r="G70" s="194"/>
      <c r="H70" s="194"/>
      <c r="I70" s="194"/>
      <c r="J70" s="194"/>
      <c r="K70" s="194"/>
      <c r="L70" s="195"/>
      <c r="M70" s="55"/>
      <c r="N70" s="55"/>
      <c r="O70" s="55"/>
      <c r="P70" s="55"/>
    </row>
    <row r="71" spans="1:16" s="2" customFormat="1" ht="24" customHeight="1">
      <c r="A71" s="22" t="s">
        <v>143</v>
      </c>
      <c r="B71" s="22" t="s">
        <v>491</v>
      </c>
      <c r="C71" s="22" t="s">
        <v>492</v>
      </c>
      <c r="D71" s="22" t="s">
        <v>493</v>
      </c>
      <c r="E71" s="22" t="s">
        <v>494</v>
      </c>
      <c r="F71" s="22" t="s">
        <v>495</v>
      </c>
      <c r="G71" s="22" t="s">
        <v>496</v>
      </c>
      <c r="H71" s="22" t="s">
        <v>497</v>
      </c>
      <c r="I71" s="22" t="s">
        <v>498</v>
      </c>
      <c r="J71" s="22" t="s">
        <v>499</v>
      </c>
      <c r="K71" s="22"/>
      <c r="L71" s="22"/>
      <c r="M71" s="55"/>
      <c r="N71" s="55"/>
      <c r="O71" s="55"/>
      <c r="P71" s="55"/>
    </row>
    <row r="72" spans="1:16" s="2" customFormat="1" ht="33.950000000000003" customHeight="1">
      <c r="A72" s="30" t="s">
        <v>175</v>
      </c>
      <c r="B72" s="24" t="s">
        <v>794</v>
      </c>
      <c r="C72" s="60" t="b">
        <v>0</v>
      </c>
      <c r="D72" s="24" t="s">
        <v>501</v>
      </c>
      <c r="E72" s="24"/>
      <c r="F72" s="103"/>
      <c r="G72" s="24"/>
      <c r="H72" s="103"/>
      <c r="I72" s="24"/>
      <c r="J72" s="24"/>
      <c r="K72" s="55"/>
      <c r="L72" s="55"/>
      <c r="M72" s="55"/>
      <c r="N72" s="55"/>
      <c r="O72" s="55"/>
      <c r="P72" s="55"/>
    </row>
    <row r="73" spans="1:16" ht="33.950000000000003" customHeight="1">
      <c r="A73" s="30" t="s">
        <v>175</v>
      </c>
      <c r="B73" s="24" t="s">
        <v>795</v>
      </c>
      <c r="C73" s="60" t="b">
        <v>0</v>
      </c>
      <c r="D73" s="24" t="s">
        <v>501</v>
      </c>
      <c r="E73" s="24"/>
      <c r="F73" s="24"/>
      <c r="G73" s="24"/>
      <c r="H73" s="24"/>
      <c r="I73" s="24"/>
      <c r="J73" s="24"/>
      <c r="K73" s="55"/>
      <c r="L73" s="48"/>
      <c r="M73" s="55"/>
      <c r="N73" s="55"/>
      <c r="O73" s="55"/>
      <c r="P73" s="55"/>
    </row>
    <row r="74" spans="1:16" ht="33.950000000000003" customHeight="1">
      <c r="A74" s="30" t="s">
        <v>175</v>
      </c>
      <c r="B74" s="24" t="s">
        <v>796</v>
      </c>
      <c r="C74" s="60" t="b">
        <v>0</v>
      </c>
      <c r="D74" s="24" t="s">
        <v>501</v>
      </c>
      <c r="E74" s="24"/>
      <c r="F74" s="24"/>
      <c r="G74" s="24"/>
      <c r="H74" s="24"/>
      <c r="I74" s="24"/>
      <c r="J74" s="24"/>
      <c r="K74" s="55"/>
      <c r="L74" s="48"/>
      <c r="M74" s="55"/>
      <c r="N74" s="55"/>
      <c r="O74" s="55"/>
      <c r="P74" s="55"/>
    </row>
    <row r="75" spans="1:16" s="2" customFormat="1" ht="33.950000000000003" customHeight="1">
      <c r="A75" s="30" t="s">
        <v>210</v>
      </c>
      <c r="B75" s="24" t="s">
        <v>797</v>
      </c>
      <c r="C75" s="60" t="b">
        <v>0</v>
      </c>
      <c r="D75" s="24" t="s">
        <v>501</v>
      </c>
      <c r="E75" s="24"/>
      <c r="F75" s="24"/>
      <c r="G75" s="24"/>
      <c r="H75" s="24"/>
      <c r="I75" s="24"/>
      <c r="J75" s="24"/>
      <c r="K75" s="55"/>
      <c r="L75" s="55"/>
      <c r="M75" s="55"/>
      <c r="N75" s="55"/>
      <c r="O75" s="55"/>
      <c r="P75" s="55"/>
    </row>
    <row r="76" spans="1:16" ht="33.950000000000003" customHeight="1">
      <c r="A76" s="30" t="s">
        <v>210</v>
      </c>
      <c r="B76" s="24" t="s">
        <v>798</v>
      </c>
      <c r="C76" s="60" t="b">
        <v>0</v>
      </c>
      <c r="D76" s="24" t="s">
        <v>501</v>
      </c>
      <c r="E76" s="24"/>
      <c r="F76" s="24"/>
      <c r="G76" s="24"/>
      <c r="H76" s="24"/>
      <c r="I76" s="24"/>
      <c r="J76" s="24"/>
      <c r="K76" s="55"/>
      <c r="L76" s="48"/>
      <c r="M76" s="55"/>
      <c r="N76" s="55"/>
      <c r="O76" s="55"/>
      <c r="P76" s="55"/>
    </row>
    <row r="77" spans="1:16" ht="33.950000000000003" customHeight="1">
      <c r="A77" s="30" t="s">
        <v>210</v>
      </c>
      <c r="B77" s="24" t="s">
        <v>799</v>
      </c>
      <c r="C77" s="60" t="b">
        <v>0</v>
      </c>
      <c r="D77" s="24" t="s">
        <v>501</v>
      </c>
      <c r="E77" s="24"/>
      <c r="F77" s="24"/>
      <c r="G77" s="24"/>
      <c r="H77" s="24"/>
      <c r="I77" s="24"/>
      <c r="J77" s="24"/>
      <c r="K77" s="55"/>
      <c r="L77" s="48"/>
      <c r="M77" s="55"/>
      <c r="N77" s="55"/>
      <c r="O77" s="55"/>
      <c r="P77" s="55"/>
    </row>
    <row r="78" spans="1:16" ht="33.950000000000003" customHeight="1">
      <c r="A78" s="30" t="s">
        <v>706</v>
      </c>
      <c r="B78" s="24" t="s">
        <v>800</v>
      </c>
      <c r="C78" s="60" t="b">
        <v>0</v>
      </c>
      <c r="D78" s="24" t="s">
        <v>501</v>
      </c>
      <c r="E78" s="24"/>
      <c r="F78" s="24"/>
      <c r="G78" s="24"/>
      <c r="H78" s="24"/>
      <c r="I78" s="24"/>
      <c r="J78" s="24"/>
      <c r="K78" s="55"/>
      <c r="L78" s="48"/>
      <c r="M78" s="55"/>
      <c r="N78" s="55"/>
      <c r="O78" s="55"/>
      <c r="P78" s="55"/>
    </row>
    <row r="79" spans="1:16" ht="26.1" customHeight="1">
      <c r="A79" s="30" t="s">
        <v>706</v>
      </c>
      <c r="B79" s="24" t="s">
        <v>801</v>
      </c>
      <c r="C79" s="60" t="b">
        <v>0</v>
      </c>
      <c r="D79" s="24" t="s">
        <v>501</v>
      </c>
      <c r="E79" s="24"/>
      <c r="F79" s="24"/>
      <c r="G79" s="24"/>
      <c r="H79" s="24"/>
      <c r="I79" s="24"/>
      <c r="J79" s="24"/>
      <c r="K79" s="55"/>
      <c r="L79" s="48"/>
      <c r="M79" s="55"/>
      <c r="N79" s="55"/>
      <c r="O79" s="55"/>
      <c r="P79" s="55"/>
    </row>
    <row r="80" spans="1:16" ht="33.950000000000003" customHeight="1">
      <c r="A80" s="30" t="s">
        <v>706</v>
      </c>
      <c r="B80" s="24" t="s">
        <v>802</v>
      </c>
      <c r="C80" s="60" t="b">
        <v>0</v>
      </c>
      <c r="D80" s="24" t="s">
        <v>501</v>
      </c>
      <c r="E80" s="24"/>
      <c r="F80" s="24"/>
      <c r="G80" s="24"/>
      <c r="H80" s="24"/>
      <c r="I80" s="24"/>
      <c r="J80" s="24"/>
      <c r="K80" s="55"/>
      <c r="L80" s="48"/>
      <c r="M80" s="55"/>
      <c r="N80" s="55"/>
      <c r="O80" s="55"/>
      <c r="P80" s="55"/>
    </row>
    <row r="81" spans="1:16" ht="18.95" customHeight="1">
      <c r="A81" s="55"/>
      <c r="B81" s="55"/>
      <c r="C81" s="55"/>
      <c r="D81" s="55"/>
      <c r="E81" s="55"/>
      <c r="F81" s="55"/>
      <c r="G81" s="55"/>
      <c r="H81" s="55"/>
      <c r="I81" s="55"/>
      <c r="J81" s="55"/>
      <c r="K81" s="55"/>
      <c r="L81" s="48"/>
      <c r="M81" s="55"/>
      <c r="N81" s="55"/>
      <c r="O81" s="55"/>
      <c r="P81" s="55"/>
    </row>
    <row r="82" spans="1:16" s="2" customFormat="1" ht="33.950000000000003" customHeight="1">
      <c r="A82" s="150" t="s">
        <v>510</v>
      </c>
      <c r="B82" s="194"/>
      <c r="C82" s="194"/>
      <c r="D82" s="194"/>
      <c r="E82" s="194"/>
      <c r="F82" s="194"/>
      <c r="G82" s="194"/>
      <c r="H82" s="194"/>
      <c r="I82" s="194"/>
      <c r="J82" s="194"/>
      <c r="K82" s="194"/>
      <c r="L82" s="195"/>
      <c r="M82" s="55"/>
      <c r="N82" s="55"/>
      <c r="O82" s="55"/>
      <c r="P82" s="55"/>
    </row>
    <row r="83" spans="1:16" s="2" customFormat="1" ht="24" customHeight="1">
      <c r="A83" s="22" t="s">
        <v>511</v>
      </c>
      <c r="B83" s="22" t="s">
        <v>493</v>
      </c>
      <c r="C83" s="22" t="s">
        <v>512</v>
      </c>
      <c r="D83" s="22" t="s">
        <v>494</v>
      </c>
      <c r="E83" s="22" t="s">
        <v>495</v>
      </c>
      <c r="F83" s="22" t="s">
        <v>497</v>
      </c>
      <c r="G83" s="22" t="s">
        <v>498</v>
      </c>
      <c r="H83" s="22" t="s">
        <v>513</v>
      </c>
      <c r="I83" s="22"/>
      <c r="J83" s="22"/>
      <c r="K83" s="22"/>
      <c r="L83" s="22"/>
      <c r="M83" s="55"/>
      <c r="N83" s="55"/>
      <c r="O83" s="55"/>
      <c r="P83" s="55"/>
    </row>
    <row r="84" spans="1:16" s="2" customFormat="1" ht="21" customHeight="1">
      <c r="A84" s="26" t="s">
        <v>514</v>
      </c>
      <c r="B84" s="35" t="s">
        <v>501</v>
      </c>
      <c r="C84" s="27"/>
      <c r="D84" s="27"/>
      <c r="E84" s="27"/>
      <c r="F84" s="27"/>
      <c r="G84" s="27"/>
      <c r="H84" s="27"/>
      <c r="I84" s="55"/>
      <c r="J84" s="55"/>
      <c r="K84" s="55"/>
      <c r="L84" s="55"/>
      <c r="M84" s="55"/>
      <c r="N84" s="55"/>
      <c r="O84" s="55"/>
      <c r="P84" s="55"/>
    </row>
    <row r="85" spans="1:16" s="2" customFormat="1" ht="26.1" customHeight="1">
      <c r="A85" s="26" t="s">
        <v>515</v>
      </c>
      <c r="B85" s="35" t="s">
        <v>501</v>
      </c>
      <c r="C85" s="27"/>
      <c r="D85" s="27"/>
      <c r="E85" s="27"/>
      <c r="F85" s="27"/>
      <c r="G85" s="27"/>
      <c r="H85" s="27"/>
      <c r="I85" s="55"/>
      <c r="J85" s="55"/>
      <c r="K85" s="55"/>
      <c r="L85" s="55"/>
      <c r="M85" s="55"/>
      <c r="N85" s="55"/>
      <c r="O85" s="55"/>
      <c r="P85" s="55"/>
    </row>
    <row r="86" spans="1:16" s="2" customFormat="1" ht="26.1" customHeight="1">
      <c r="A86" s="26" t="s">
        <v>516</v>
      </c>
      <c r="B86" s="35" t="s">
        <v>501</v>
      </c>
      <c r="C86" s="27"/>
      <c r="D86" s="27"/>
      <c r="E86" s="27"/>
      <c r="F86" s="27"/>
      <c r="G86" s="27"/>
      <c r="H86" s="27"/>
      <c r="I86" s="55"/>
      <c r="J86" s="55"/>
      <c r="K86" s="55"/>
      <c r="L86" s="55"/>
      <c r="M86" s="55"/>
      <c r="N86" s="55"/>
      <c r="O86" s="55"/>
      <c r="P86" s="55"/>
    </row>
    <row r="87" spans="1:16" s="2" customFormat="1" ht="26.1" customHeight="1">
      <c r="A87" s="26" t="s">
        <v>517</v>
      </c>
      <c r="B87" s="35" t="s">
        <v>501</v>
      </c>
      <c r="C87" s="27"/>
      <c r="D87" s="27"/>
      <c r="E87" s="27"/>
      <c r="F87" s="27"/>
      <c r="G87" s="27"/>
      <c r="H87" s="27"/>
      <c r="I87" s="55"/>
      <c r="J87" s="55"/>
      <c r="K87" s="55"/>
      <c r="L87" s="55"/>
      <c r="M87" s="55"/>
      <c r="N87" s="55"/>
      <c r="O87" s="55"/>
      <c r="P87" s="55"/>
    </row>
    <row r="88" spans="1:16" s="2" customFormat="1" ht="21" customHeight="1">
      <c r="A88" s="26" t="s">
        <v>518</v>
      </c>
      <c r="B88" s="35" t="s">
        <v>501</v>
      </c>
      <c r="C88" s="27"/>
      <c r="D88" s="27"/>
      <c r="E88" s="27"/>
      <c r="F88" s="27"/>
      <c r="G88" s="27"/>
      <c r="H88" s="27"/>
      <c r="I88" s="55"/>
      <c r="J88" s="55"/>
      <c r="K88" s="55"/>
      <c r="L88" s="55"/>
      <c r="M88" s="55"/>
      <c r="N88" s="55"/>
      <c r="O88" s="55"/>
      <c r="P88" s="55"/>
    </row>
    <row r="89" spans="1:16" s="2" customFormat="1" ht="21" customHeight="1">
      <c r="A89" s="26" t="s">
        <v>211</v>
      </c>
      <c r="B89" s="35" t="s">
        <v>501</v>
      </c>
      <c r="C89" s="27"/>
      <c r="D89" s="27"/>
      <c r="E89" s="27"/>
      <c r="F89" s="27"/>
      <c r="G89" s="27"/>
      <c r="H89" s="27"/>
      <c r="I89" s="55"/>
      <c r="J89" s="55"/>
      <c r="K89" s="55"/>
      <c r="L89" s="55"/>
      <c r="M89" s="55"/>
      <c r="N89" s="55"/>
      <c r="O89" s="55"/>
      <c r="P89" s="55"/>
    </row>
    <row r="90" spans="1:16" s="2" customFormat="1" ht="21" customHeight="1">
      <c r="A90" s="26" t="s">
        <v>519</v>
      </c>
      <c r="B90" s="35" t="s">
        <v>501</v>
      </c>
      <c r="C90" s="27"/>
      <c r="D90" s="27"/>
      <c r="E90" s="27"/>
      <c r="F90" s="27"/>
      <c r="G90" s="27"/>
      <c r="H90" s="27"/>
      <c r="I90" s="55"/>
      <c r="J90" s="55"/>
      <c r="K90" s="55"/>
      <c r="L90" s="55"/>
      <c r="M90" s="55"/>
      <c r="N90" s="55"/>
      <c r="O90" s="55"/>
      <c r="P90" s="55"/>
    </row>
    <row r="91" spans="1:16" s="2" customFormat="1" ht="26.1" customHeight="1">
      <c r="A91" s="26" t="s">
        <v>520</v>
      </c>
      <c r="B91" s="35" t="s">
        <v>501</v>
      </c>
      <c r="C91" s="27"/>
      <c r="D91" s="27"/>
      <c r="E91" s="27"/>
      <c r="F91" s="27"/>
      <c r="G91" s="27"/>
      <c r="H91" s="27"/>
      <c r="I91" s="55"/>
      <c r="J91" s="55"/>
      <c r="K91" s="55"/>
      <c r="L91" s="55"/>
      <c r="M91" s="55"/>
      <c r="N91" s="55"/>
      <c r="O91" s="55"/>
      <c r="P91" s="55"/>
    </row>
    <row r="92" spans="1:16" s="2" customFormat="1" ht="18.95" customHeight="1">
      <c r="A92" s="55"/>
      <c r="B92" s="55"/>
      <c r="C92" s="55"/>
      <c r="D92" s="55"/>
      <c r="E92" s="55"/>
      <c r="F92" s="55"/>
      <c r="G92" s="55"/>
      <c r="H92" s="55"/>
      <c r="I92" s="55"/>
      <c r="J92" s="55"/>
      <c r="K92" s="55"/>
      <c r="L92" s="55"/>
      <c r="M92" s="55"/>
      <c r="N92" s="55"/>
      <c r="O92" s="55"/>
      <c r="P92" s="55"/>
    </row>
    <row r="93" spans="1:16" ht="26.1" customHeight="1">
      <c r="A93" s="150" t="s">
        <v>521</v>
      </c>
      <c r="B93" s="194"/>
      <c r="C93" s="194"/>
      <c r="D93" s="194"/>
      <c r="E93" s="194"/>
      <c r="F93" s="194"/>
      <c r="G93" s="194"/>
      <c r="H93" s="194"/>
      <c r="I93" s="194"/>
      <c r="J93" s="194"/>
      <c r="K93" s="194"/>
      <c r="L93" s="195"/>
      <c r="M93" s="55"/>
      <c r="N93" s="55"/>
      <c r="O93" s="55"/>
      <c r="P93" s="55"/>
    </row>
    <row r="94" spans="1:16" ht="26.1" customHeight="1">
      <c r="A94" s="22" t="s">
        <v>522</v>
      </c>
      <c r="B94" s="22"/>
      <c r="C94" s="22"/>
      <c r="D94" s="22"/>
      <c r="E94" s="22"/>
      <c r="F94" s="22"/>
      <c r="G94" s="22"/>
      <c r="H94" s="22"/>
      <c r="I94" s="22"/>
      <c r="J94" s="22"/>
      <c r="K94" s="22"/>
      <c r="L94" s="22"/>
      <c r="M94" s="55"/>
      <c r="N94" s="55"/>
      <c r="O94" s="55"/>
      <c r="P94" s="55"/>
    </row>
    <row r="95" spans="1:16" s="2" customFormat="1" ht="24" customHeight="1">
      <c r="A95" s="149"/>
      <c r="B95" s="194"/>
      <c r="C95" s="194"/>
      <c r="D95" s="194"/>
      <c r="E95" s="194"/>
      <c r="F95" s="194"/>
      <c r="G95" s="194"/>
      <c r="H95" s="194"/>
      <c r="I95" s="194"/>
      <c r="J95" s="194"/>
      <c r="K95" s="194"/>
      <c r="L95" s="195"/>
      <c r="M95" s="55"/>
      <c r="N95" s="55"/>
      <c r="O95" s="55"/>
      <c r="P95" s="55"/>
    </row>
    <row r="96" spans="1:16" ht="24" customHeight="1">
      <c r="A96" s="149"/>
      <c r="B96" s="194"/>
      <c r="C96" s="194"/>
      <c r="D96" s="194"/>
      <c r="E96" s="194"/>
      <c r="F96" s="194"/>
      <c r="G96" s="194"/>
      <c r="H96" s="194"/>
      <c r="I96" s="194"/>
      <c r="J96" s="194"/>
      <c r="K96" s="194"/>
      <c r="L96" s="195"/>
      <c r="M96" s="55"/>
      <c r="N96" s="55"/>
      <c r="O96" s="55"/>
      <c r="P96" s="55"/>
    </row>
    <row r="97" spans="1:16" ht="24" customHeight="1">
      <c r="A97" s="149"/>
      <c r="B97" s="194"/>
      <c r="C97" s="194"/>
      <c r="D97" s="194"/>
      <c r="E97" s="194"/>
      <c r="F97" s="194"/>
      <c r="G97" s="194"/>
      <c r="H97" s="194"/>
      <c r="I97" s="194"/>
      <c r="J97" s="194"/>
      <c r="K97" s="194"/>
      <c r="L97" s="195"/>
      <c r="M97" s="55"/>
      <c r="N97" s="55"/>
      <c r="O97" s="55"/>
      <c r="P97" s="55"/>
    </row>
    <row r="98" spans="1:16" ht="24" customHeight="1">
      <c r="A98" s="149"/>
      <c r="B98" s="194"/>
      <c r="C98" s="194"/>
      <c r="D98" s="194"/>
      <c r="E98" s="194"/>
      <c r="F98" s="194"/>
      <c r="G98" s="194"/>
      <c r="H98" s="194"/>
      <c r="I98" s="194"/>
      <c r="J98" s="194"/>
      <c r="K98" s="194"/>
      <c r="L98" s="195"/>
      <c r="M98" s="55"/>
      <c r="N98" s="55"/>
      <c r="O98" s="55"/>
      <c r="P98" s="55"/>
    </row>
    <row r="99" spans="1:16" ht="26.1" customHeight="1">
      <c r="A99" s="22" t="s">
        <v>523</v>
      </c>
      <c r="B99" s="22" t="s">
        <v>524</v>
      </c>
      <c r="C99" s="22" t="s">
        <v>525</v>
      </c>
      <c r="D99" s="22" t="s">
        <v>494</v>
      </c>
      <c r="E99" s="22" t="s">
        <v>526</v>
      </c>
      <c r="F99" s="22" t="s">
        <v>527</v>
      </c>
      <c r="G99" s="22"/>
      <c r="H99" s="22"/>
      <c r="I99" s="22"/>
      <c r="J99" s="22"/>
      <c r="K99" s="22"/>
      <c r="L99" s="22"/>
      <c r="M99" s="55"/>
      <c r="N99" s="55"/>
      <c r="O99" s="55"/>
      <c r="P99" s="55"/>
    </row>
    <row r="100" spans="1:16" ht="21" customHeight="1">
      <c r="A100" s="31" t="s">
        <v>528</v>
      </c>
      <c r="B100" s="24"/>
      <c r="C100" s="24"/>
      <c r="D100" s="24"/>
      <c r="E100" s="24"/>
      <c r="F100" s="24"/>
      <c r="G100" s="55"/>
      <c r="H100" s="55"/>
      <c r="I100" s="55"/>
      <c r="J100" s="55"/>
      <c r="K100" s="55"/>
      <c r="L100" s="48"/>
      <c r="M100" s="55"/>
      <c r="N100" s="55"/>
      <c r="O100" s="55"/>
      <c r="P100" s="55"/>
    </row>
    <row r="101" spans="1:16" ht="21" customHeight="1">
      <c r="A101" s="31" t="s">
        <v>529</v>
      </c>
      <c r="B101" s="24"/>
      <c r="C101" s="24"/>
      <c r="D101" s="24"/>
      <c r="E101" s="24"/>
      <c r="F101" s="24"/>
      <c r="G101" s="55"/>
      <c r="H101" s="55"/>
      <c r="I101" s="55"/>
      <c r="J101" s="55"/>
      <c r="K101" s="55"/>
      <c r="L101" s="48"/>
      <c r="M101" s="55"/>
      <c r="N101" s="55"/>
      <c r="O101" s="55"/>
      <c r="P101" s="55"/>
    </row>
    <row r="102" spans="1:16" ht="21" customHeight="1">
      <c r="A102" s="31" t="s">
        <v>530</v>
      </c>
      <c r="B102" s="24"/>
      <c r="C102" s="24"/>
      <c r="D102" s="24"/>
      <c r="E102" s="24"/>
      <c r="F102" s="24"/>
      <c r="G102" s="55"/>
      <c r="H102" s="55"/>
      <c r="I102" s="55"/>
      <c r="J102" s="55"/>
      <c r="K102" s="55"/>
      <c r="L102" s="48"/>
      <c r="M102" s="55"/>
      <c r="N102" s="55"/>
      <c r="O102" s="55"/>
      <c r="P102" s="55"/>
    </row>
    <row r="103" spans="1:16" s="2" customFormat="1" ht="18.95" customHeight="1">
      <c r="A103" s="55"/>
      <c r="B103" s="55"/>
      <c r="C103" s="55"/>
      <c r="D103" s="55"/>
      <c r="E103" s="55"/>
      <c r="F103" s="55"/>
      <c r="G103" s="55"/>
      <c r="H103" s="55"/>
      <c r="I103" s="55"/>
      <c r="J103" s="55"/>
      <c r="K103" s="55"/>
      <c r="L103" s="55"/>
      <c r="M103" s="55"/>
      <c r="N103" s="55"/>
      <c r="O103" s="55"/>
      <c r="P103" s="55"/>
    </row>
    <row r="104" spans="1:16" s="2" customFormat="1" ht="21" customHeight="1">
      <c r="A104" s="32" t="s">
        <v>531</v>
      </c>
      <c r="B104" s="33"/>
      <c r="C104" s="33"/>
      <c r="D104" s="33"/>
      <c r="E104" s="33"/>
      <c r="F104" s="33"/>
      <c r="G104" s="33"/>
      <c r="H104" s="32" t="s">
        <v>532</v>
      </c>
      <c r="I104" s="33"/>
      <c r="J104" s="32" t="s">
        <v>144</v>
      </c>
      <c r="K104" s="33"/>
      <c r="L104" s="33"/>
      <c r="M104" s="55"/>
      <c r="N104" s="55"/>
      <c r="O104" s="55"/>
      <c r="P104" s="55"/>
    </row>
    <row r="105" spans="1:16" s="2" customFormat="1" ht="18.95" customHeight="1">
      <c r="A105" s="55"/>
      <c r="B105" s="55"/>
      <c r="C105" s="55"/>
      <c r="D105" s="55"/>
      <c r="E105" s="55"/>
      <c r="F105" s="55"/>
      <c r="G105" s="55"/>
      <c r="H105" s="55"/>
      <c r="I105" s="55"/>
      <c r="J105" s="55"/>
      <c r="K105" s="55"/>
      <c r="L105" s="55"/>
      <c r="M105" s="55"/>
      <c r="N105" s="55"/>
      <c r="O105" s="55"/>
      <c r="P105" s="55"/>
    </row>
    <row r="106" spans="1:16" s="2" customFormat="1" ht="18.95" customHeight="1">
      <c r="A106" s="55"/>
      <c r="B106" s="55"/>
      <c r="C106" s="55"/>
      <c r="D106" s="55"/>
      <c r="E106" s="55"/>
      <c r="F106" s="55"/>
      <c r="G106" s="55"/>
      <c r="H106" s="55"/>
      <c r="I106" s="55"/>
      <c r="J106" s="55"/>
      <c r="K106" s="55"/>
      <c r="L106" s="55"/>
      <c r="M106" s="55"/>
      <c r="N106" s="55"/>
      <c r="O106" s="55"/>
      <c r="P106" s="55"/>
    </row>
    <row r="107" spans="1:16" s="2" customFormat="1" ht="18.95" customHeight="1">
      <c r="A107" s="55"/>
      <c r="B107" s="55"/>
      <c r="C107" s="55"/>
      <c r="D107" s="55"/>
      <c r="E107" s="55"/>
      <c r="F107" s="55"/>
      <c r="G107" s="55"/>
      <c r="H107" s="55"/>
      <c r="I107" s="55"/>
      <c r="J107" s="55"/>
      <c r="K107" s="55"/>
      <c r="L107" s="55"/>
      <c r="M107" s="55"/>
      <c r="N107" s="55"/>
      <c r="O107" s="55"/>
      <c r="P107" s="55"/>
    </row>
    <row r="108" spans="1:16" s="2" customFormat="1" ht="18.95" customHeight="1">
      <c r="A108" s="156" t="s">
        <v>803</v>
      </c>
      <c r="B108" s="156"/>
      <c r="C108" s="156"/>
      <c r="D108" s="156"/>
      <c r="E108" s="156"/>
      <c r="F108" s="156"/>
      <c r="G108" s="156"/>
      <c r="H108" s="156"/>
      <c r="I108" s="156"/>
      <c r="J108" s="156"/>
      <c r="K108" s="156"/>
      <c r="L108" s="156"/>
      <c r="M108" s="156"/>
      <c r="N108" s="156"/>
      <c r="O108" s="156"/>
      <c r="P108" s="156"/>
    </row>
    <row r="109" spans="1:16" s="2" customFormat="1" ht="18.95" customHeight="1">
      <c r="A109" s="157" t="s">
        <v>804</v>
      </c>
      <c r="B109" s="157"/>
      <c r="C109" s="157"/>
      <c r="D109" s="157"/>
      <c r="E109" s="157"/>
      <c r="F109" s="157"/>
      <c r="G109" s="157"/>
      <c r="H109" s="157"/>
      <c r="I109" s="157"/>
      <c r="J109" s="157"/>
      <c r="K109" s="157"/>
      <c r="L109" s="157"/>
      <c r="M109" s="157"/>
      <c r="N109" s="157"/>
      <c r="O109" s="157"/>
      <c r="P109" s="157"/>
    </row>
    <row r="110" spans="1:16" s="2" customFormat="1" ht="18.95" customHeight="1">
      <c r="A110" s="55"/>
      <c r="B110" s="55"/>
      <c r="C110" s="55"/>
      <c r="D110" s="55"/>
      <c r="E110" s="55"/>
      <c r="F110" s="55"/>
      <c r="G110" s="55"/>
      <c r="H110" s="55"/>
      <c r="I110" s="55"/>
      <c r="J110" s="55"/>
      <c r="K110" s="55"/>
      <c r="L110" s="55"/>
      <c r="M110" s="55"/>
      <c r="N110" s="55"/>
      <c r="O110" s="55"/>
      <c r="P110" s="55"/>
    </row>
    <row r="111" spans="1:16" s="2" customFormat="1" ht="18.95" customHeight="1">
      <c r="A111" s="155" t="s">
        <v>805</v>
      </c>
      <c r="B111" s="155"/>
      <c r="C111" s="155"/>
      <c r="D111" s="155"/>
      <c r="E111" s="155"/>
      <c r="F111" s="155"/>
      <c r="G111" s="155"/>
      <c r="H111" s="155"/>
      <c r="I111" s="155"/>
      <c r="J111" s="155"/>
      <c r="K111" s="155"/>
      <c r="L111" s="155"/>
      <c r="M111" s="155"/>
      <c r="N111" s="155"/>
      <c r="O111" s="155"/>
      <c r="P111" s="155"/>
    </row>
    <row r="112" spans="1:16" s="2" customFormat="1" ht="18.95" customHeight="1">
      <c r="A112" s="117" t="s">
        <v>806</v>
      </c>
      <c r="B112" s="117" t="s">
        <v>807</v>
      </c>
      <c r="C112" s="117" t="s">
        <v>808</v>
      </c>
      <c r="D112" s="117" t="s">
        <v>577</v>
      </c>
      <c r="E112" s="117" t="s">
        <v>144</v>
      </c>
      <c r="F112" s="117" t="s">
        <v>145</v>
      </c>
      <c r="G112" s="117" t="s">
        <v>493</v>
      </c>
      <c r="H112" s="117" t="s">
        <v>809</v>
      </c>
      <c r="I112" s="55"/>
      <c r="J112" s="55"/>
      <c r="K112" s="55"/>
      <c r="L112" s="55"/>
      <c r="M112" s="55"/>
      <c r="N112" s="55"/>
      <c r="O112" s="55"/>
      <c r="P112" s="55"/>
    </row>
    <row r="113" spans="1:16" s="2" customFormat="1" ht="18.95" customHeight="1">
      <c r="A113" s="118" t="s">
        <v>810</v>
      </c>
      <c r="B113" s="118" t="s">
        <v>811</v>
      </c>
      <c r="C113" s="118" t="s">
        <v>812</v>
      </c>
      <c r="D113" s="118" t="s">
        <v>813</v>
      </c>
      <c r="E113" s="118" t="s">
        <v>518</v>
      </c>
      <c r="F113" s="118" t="s">
        <v>152</v>
      </c>
      <c r="G113" s="118"/>
      <c r="H113" s="118" t="s">
        <v>814</v>
      </c>
      <c r="I113" s="55"/>
      <c r="J113" s="55"/>
      <c r="K113" s="55"/>
      <c r="L113" s="55"/>
      <c r="M113" s="55"/>
      <c r="N113" s="55"/>
      <c r="O113" s="55"/>
      <c r="P113" s="55"/>
    </row>
    <row r="114" spans="1:16" s="2" customFormat="1" ht="18.95" customHeight="1">
      <c r="A114" s="118" t="s">
        <v>815</v>
      </c>
      <c r="B114" s="118" t="s">
        <v>816</v>
      </c>
      <c r="C114" s="118" t="s">
        <v>817</v>
      </c>
      <c r="D114" s="118" t="s">
        <v>818</v>
      </c>
      <c r="E114" s="118" t="s">
        <v>180</v>
      </c>
      <c r="F114" s="118" t="s">
        <v>152</v>
      </c>
      <c r="G114" s="118"/>
      <c r="H114" s="118" t="s">
        <v>819</v>
      </c>
      <c r="I114" s="55"/>
      <c r="J114" s="55"/>
      <c r="K114" s="55"/>
      <c r="L114" s="55"/>
      <c r="M114" s="55"/>
      <c r="N114" s="55"/>
      <c r="O114" s="55"/>
      <c r="P114" s="55"/>
    </row>
    <row r="115" spans="1:16" s="2" customFormat="1" ht="18.95" customHeight="1">
      <c r="A115" s="118" t="s">
        <v>820</v>
      </c>
      <c r="B115" s="118" t="s">
        <v>821</v>
      </c>
      <c r="C115" s="118" t="s">
        <v>822</v>
      </c>
      <c r="D115" s="118" t="s">
        <v>823</v>
      </c>
      <c r="E115" s="118" t="s">
        <v>176</v>
      </c>
      <c r="F115" s="118" t="s">
        <v>152</v>
      </c>
      <c r="G115" s="118"/>
      <c r="H115" s="118"/>
      <c r="I115" s="55"/>
      <c r="J115" s="55"/>
      <c r="K115" s="55"/>
      <c r="L115" s="55"/>
      <c r="M115" s="55"/>
      <c r="N115" s="55"/>
      <c r="O115" s="55"/>
      <c r="P115" s="55"/>
    </row>
    <row r="116" spans="1:16" s="2" customFormat="1" ht="18.95" customHeight="1">
      <c r="A116" s="118" t="s">
        <v>824</v>
      </c>
      <c r="B116" s="118" t="s">
        <v>825</v>
      </c>
      <c r="C116" s="118" t="s">
        <v>826</v>
      </c>
      <c r="D116" s="118" t="s">
        <v>827</v>
      </c>
      <c r="E116" s="118" t="s">
        <v>518</v>
      </c>
      <c r="F116" s="118" t="s">
        <v>152</v>
      </c>
      <c r="G116" s="118"/>
      <c r="H116" s="118"/>
      <c r="I116" s="55"/>
      <c r="J116" s="55"/>
      <c r="K116" s="55"/>
      <c r="L116" s="55"/>
      <c r="M116" s="55"/>
      <c r="N116" s="55"/>
      <c r="O116" s="55"/>
      <c r="P116" s="55"/>
    </row>
    <row r="117" spans="1:16" ht="18.95" customHeight="1">
      <c r="A117" s="118" t="s">
        <v>828</v>
      </c>
      <c r="B117" s="118" t="s">
        <v>829</v>
      </c>
      <c r="C117" s="118" t="s">
        <v>830</v>
      </c>
      <c r="D117" s="118" t="s">
        <v>831</v>
      </c>
      <c r="E117" s="118" t="s">
        <v>197</v>
      </c>
      <c r="F117" s="118" t="s">
        <v>152</v>
      </c>
      <c r="G117" s="118"/>
      <c r="H117" s="118" t="s">
        <v>832</v>
      </c>
      <c r="I117" s="55"/>
      <c r="J117" s="55"/>
      <c r="K117" s="55"/>
      <c r="L117" s="48"/>
      <c r="M117" s="55"/>
      <c r="N117" s="55"/>
      <c r="O117" s="55"/>
      <c r="P117" s="55"/>
    </row>
    <row r="118" spans="1:16" s="2" customFormat="1" ht="18.95" customHeight="1">
      <c r="A118" s="118" t="s">
        <v>833</v>
      </c>
      <c r="B118" s="118" t="s">
        <v>834</v>
      </c>
      <c r="C118" s="118" t="s">
        <v>835</v>
      </c>
      <c r="D118" s="118" t="s">
        <v>836</v>
      </c>
      <c r="E118" s="118" t="s">
        <v>837</v>
      </c>
      <c r="F118" s="118" t="s">
        <v>152</v>
      </c>
      <c r="G118" s="118"/>
      <c r="H118" s="118" t="s">
        <v>838</v>
      </c>
      <c r="I118" s="55"/>
      <c r="J118" s="55"/>
      <c r="K118" s="55"/>
      <c r="L118" s="55"/>
      <c r="M118" s="55"/>
      <c r="N118" s="55"/>
      <c r="O118" s="55"/>
      <c r="P118" s="55"/>
    </row>
    <row r="119" spans="1:16" ht="18.95" customHeight="1">
      <c r="A119" s="118" t="s">
        <v>839</v>
      </c>
      <c r="B119" s="118" t="s">
        <v>840</v>
      </c>
      <c r="C119" s="118" t="s">
        <v>841</v>
      </c>
      <c r="D119" s="118" t="s">
        <v>842</v>
      </c>
      <c r="E119" s="118" t="s">
        <v>176</v>
      </c>
      <c r="F119" s="118" t="s">
        <v>152</v>
      </c>
      <c r="G119" s="118"/>
      <c r="H119" s="118" t="s">
        <v>843</v>
      </c>
      <c r="I119" s="55"/>
      <c r="J119" s="55"/>
      <c r="K119" s="55"/>
      <c r="L119" s="48"/>
      <c r="M119" s="55"/>
      <c r="N119" s="55"/>
      <c r="O119" s="55"/>
      <c r="P119" s="55"/>
    </row>
    <row r="120" spans="1:16" ht="18.95" customHeight="1">
      <c r="A120" s="118" t="s">
        <v>844</v>
      </c>
      <c r="B120" s="118" t="s">
        <v>845</v>
      </c>
      <c r="C120" s="118" t="s">
        <v>846</v>
      </c>
      <c r="D120" s="118" t="s">
        <v>847</v>
      </c>
      <c r="E120" s="118" t="s">
        <v>848</v>
      </c>
      <c r="F120" s="118" t="s">
        <v>152</v>
      </c>
      <c r="G120" s="118"/>
      <c r="H120" s="118"/>
      <c r="I120" s="55"/>
      <c r="J120" s="55"/>
      <c r="K120" s="55"/>
      <c r="L120" s="48"/>
      <c r="M120" s="55"/>
      <c r="N120" s="55"/>
      <c r="O120" s="55"/>
      <c r="P120" s="55"/>
    </row>
    <row r="121" spans="1:16" ht="18.95" customHeight="1">
      <c r="A121" s="55"/>
      <c r="B121" s="55"/>
      <c r="C121" s="55"/>
      <c r="D121" s="55"/>
      <c r="E121" s="55"/>
      <c r="F121" s="55"/>
      <c r="G121" s="55"/>
      <c r="H121" s="55"/>
      <c r="I121" s="55"/>
      <c r="J121" s="55"/>
      <c r="K121" s="55"/>
      <c r="L121" s="48"/>
      <c r="M121" s="55"/>
      <c r="N121" s="55"/>
      <c r="O121" s="55"/>
      <c r="P121" s="55"/>
    </row>
    <row r="122" spans="1:16" ht="18.95" customHeight="1">
      <c r="A122" s="155" t="s">
        <v>849</v>
      </c>
      <c r="B122" s="155"/>
      <c r="C122" s="155"/>
      <c r="D122" s="155"/>
      <c r="E122" s="155"/>
      <c r="F122" s="155"/>
      <c r="G122" s="155"/>
      <c r="H122" s="155"/>
      <c r="I122" s="155"/>
      <c r="J122" s="155"/>
      <c r="K122" s="155"/>
      <c r="L122" s="155"/>
      <c r="M122" s="155"/>
      <c r="N122" s="155"/>
      <c r="O122" s="155"/>
      <c r="P122" s="155"/>
    </row>
    <row r="123" spans="1:16" ht="18.95" customHeight="1">
      <c r="A123" s="117" t="s">
        <v>806</v>
      </c>
      <c r="B123" s="117" t="s">
        <v>807</v>
      </c>
      <c r="C123" s="117" t="s">
        <v>808</v>
      </c>
      <c r="D123" s="117" t="s">
        <v>577</v>
      </c>
      <c r="E123" s="117" t="s">
        <v>144</v>
      </c>
      <c r="F123" s="117" t="s">
        <v>145</v>
      </c>
      <c r="G123" s="117" t="s">
        <v>493</v>
      </c>
      <c r="H123" s="117" t="s">
        <v>809</v>
      </c>
      <c r="I123" s="55"/>
      <c r="J123" s="55"/>
      <c r="K123" s="55"/>
      <c r="L123" s="48"/>
      <c r="M123" s="55"/>
      <c r="N123" s="55"/>
      <c r="O123" s="55"/>
      <c r="P123" s="55"/>
    </row>
    <row r="124" spans="1:16" ht="18.95" customHeight="1">
      <c r="A124" s="118" t="s">
        <v>850</v>
      </c>
      <c r="B124" s="118" t="s">
        <v>851</v>
      </c>
      <c r="C124" s="118" t="s">
        <v>852</v>
      </c>
      <c r="D124" s="118" t="s">
        <v>853</v>
      </c>
      <c r="E124" s="118" t="s">
        <v>518</v>
      </c>
      <c r="F124" s="118" t="s">
        <v>152</v>
      </c>
      <c r="G124" s="118"/>
      <c r="H124" s="118"/>
      <c r="I124" s="55"/>
      <c r="J124" s="55"/>
      <c r="K124" s="55"/>
      <c r="L124" s="48"/>
      <c r="M124" s="55"/>
      <c r="N124" s="55"/>
      <c r="O124" s="55"/>
      <c r="P124" s="55"/>
    </row>
    <row r="125" spans="1:16" ht="18.95" customHeight="1">
      <c r="A125" s="118" t="s">
        <v>854</v>
      </c>
      <c r="B125" s="118" t="s">
        <v>855</v>
      </c>
      <c r="C125" s="118" t="s">
        <v>856</v>
      </c>
      <c r="D125" s="118" t="s">
        <v>857</v>
      </c>
      <c r="E125" s="118" t="s">
        <v>518</v>
      </c>
      <c r="F125" s="118" t="s">
        <v>152</v>
      </c>
      <c r="G125" s="118"/>
      <c r="H125" s="118"/>
      <c r="I125" s="55"/>
      <c r="J125" s="55"/>
      <c r="K125" s="55"/>
      <c r="L125" s="48"/>
      <c r="M125" s="55"/>
      <c r="N125" s="55"/>
      <c r="O125" s="55"/>
      <c r="P125" s="55"/>
    </row>
    <row r="126" spans="1:16" ht="18.95" customHeight="1">
      <c r="A126" s="118" t="s">
        <v>858</v>
      </c>
      <c r="B126" s="118" t="s">
        <v>859</v>
      </c>
      <c r="C126" s="118" t="s">
        <v>860</v>
      </c>
      <c r="D126" s="118" t="s">
        <v>726</v>
      </c>
      <c r="E126" s="118" t="s">
        <v>180</v>
      </c>
      <c r="F126" s="118" t="s">
        <v>152</v>
      </c>
      <c r="G126" s="118"/>
      <c r="H126" s="118" t="s">
        <v>819</v>
      </c>
      <c r="I126" s="55"/>
      <c r="J126" s="55"/>
      <c r="K126" s="55"/>
      <c r="L126" s="48"/>
      <c r="M126" s="55"/>
      <c r="N126" s="55"/>
      <c r="O126" s="55"/>
      <c r="P126" s="55"/>
    </row>
    <row r="127" spans="1:16" ht="18.95" customHeight="1">
      <c r="A127" s="118" t="s">
        <v>861</v>
      </c>
      <c r="B127" s="118" t="s">
        <v>862</v>
      </c>
      <c r="C127" s="118" t="s">
        <v>863</v>
      </c>
      <c r="D127" s="118" t="s">
        <v>864</v>
      </c>
      <c r="E127" s="118" t="s">
        <v>518</v>
      </c>
      <c r="F127" s="118" t="s">
        <v>152</v>
      </c>
      <c r="G127" s="118"/>
      <c r="H127" s="118"/>
      <c r="I127" s="55"/>
      <c r="J127" s="55"/>
      <c r="K127" s="55"/>
      <c r="L127" s="48"/>
      <c r="M127" s="55"/>
      <c r="N127" s="55"/>
      <c r="O127" s="55"/>
      <c r="P127" s="55"/>
    </row>
    <row r="128" spans="1:16" ht="18.95" customHeight="1">
      <c r="A128" s="118" t="s">
        <v>865</v>
      </c>
      <c r="B128" s="118" t="s">
        <v>866</v>
      </c>
      <c r="C128" s="118" t="s">
        <v>867</v>
      </c>
      <c r="D128" s="118" t="s">
        <v>868</v>
      </c>
      <c r="E128" s="118" t="s">
        <v>197</v>
      </c>
      <c r="F128" s="118" t="s">
        <v>152</v>
      </c>
      <c r="G128" s="118"/>
      <c r="H128" s="118" t="s">
        <v>832</v>
      </c>
      <c r="I128" s="55"/>
      <c r="J128" s="55"/>
      <c r="K128" s="55"/>
      <c r="L128" s="48"/>
      <c r="M128" s="55"/>
      <c r="N128" s="55"/>
      <c r="O128" s="55"/>
      <c r="P128" s="55"/>
    </row>
    <row r="129" spans="1:16" ht="18.95" customHeight="1">
      <c r="A129" s="118" t="s">
        <v>869</v>
      </c>
      <c r="B129" s="118" t="s">
        <v>870</v>
      </c>
      <c r="C129" s="118" t="s">
        <v>871</v>
      </c>
      <c r="D129" s="118" t="s">
        <v>872</v>
      </c>
      <c r="E129" s="118" t="s">
        <v>837</v>
      </c>
      <c r="F129" s="118" t="s">
        <v>152</v>
      </c>
      <c r="G129" s="118"/>
      <c r="H129" s="118"/>
      <c r="I129" s="55"/>
      <c r="J129" s="55"/>
      <c r="K129" s="55"/>
      <c r="L129" s="48"/>
      <c r="M129" s="55"/>
      <c r="N129" s="55"/>
      <c r="O129" s="55"/>
      <c r="P129" s="55"/>
    </row>
    <row r="130" spans="1:16" ht="18.95" customHeight="1">
      <c r="A130" s="118" t="s">
        <v>873</v>
      </c>
      <c r="B130" s="118" t="s">
        <v>874</v>
      </c>
      <c r="C130" s="118" t="s">
        <v>875</v>
      </c>
      <c r="D130" s="118" t="s">
        <v>876</v>
      </c>
      <c r="E130" s="118" t="s">
        <v>176</v>
      </c>
      <c r="F130" s="118" t="s">
        <v>152</v>
      </c>
      <c r="G130" s="118"/>
      <c r="H130" s="118" t="s">
        <v>843</v>
      </c>
      <c r="I130" s="55"/>
      <c r="J130" s="55"/>
      <c r="K130" s="55"/>
      <c r="L130" s="48"/>
      <c r="M130" s="55"/>
      <c r="N130" s="55"/>
      <c r="O130" s="55"/>
      <c r="P130" s="55"/>
    </row>
    <row r="131" spans="1:16" s="2" customFormat="1" ht="18.95" customHeight="1">
      <c r="A131" s="55"/>
      <c r="B131" s="55"/>
      <c r="C131" s="55"/>
      <c r="D131" s="55"/>
      <c r="E131" s="55"/>
      <c r="F131" s="55"/>
      <c r="G131" s="55"/>
      <c r="H131" s="55"/>
      <c r="I131" s="55"/>
      <c r="J131" s="55"/>
      <c r="K131" s="55"/>
      <c r="L131" s="55"/>
      <c r="M131" s="55"/>
      <c r="N131" s="55"/>
      <c r="O131" s="55"/>
      <c r="P131" s="55"/>
    </row>
    <row r="132" spans="1:16" s="2" customFormat="1" ht="18.95" customHeight="1">
      <c r="A132" s="155" t="s">
        <v>877</v>
      </c>
      <c r="B132" s="155"/>
      <c r="C132" s="155"/>
      <c r="D132" s="155"/>
      <c r="E132" s="155"/>
      <c r="F132" s="155"/>
      <c r="G132" s="155"/>
      <c r="H132" s="155"/>
      <c r="I132" s="155"/>
      <c r="J132" s="155"/>
      <c r="K132" s="155"/>
      <c r="L132" s="155"/>
      <c r="M132" s="155"/>
      <c r="N132" s="155"/>
      <c r="O132" s="155"/>
      <c r="P132" s="155"/>
    </row>
    <row r="133" spans="1:16" s="2" customFormat="1" ht="18.95" customHeight="1">
      <c r="A133" s="119" t="s">
        <v>806</v>
      </c>
      <c r="B133" s="119" t="s">
        <v>807</v>
      </c>
      <c r="C133" s="119" t="s">
        <v>808</v>
      </c>
      <c r="D133" s="119" t="s">
        <v>577</v>
      </c>
      <c r="E133" s="119" t="s">
        <v>144</v>
      </c>
      <c r="F133" s="119" t="s">
        <v>145</v>
      </c>
      <c r="G133" s="119" t="s">
        <v>493</v>
      </c>
      <c r="H133" s="119" t="s">
        <v>809</v>
      </c>
      <c r="I133" s="55"/>
      <c r="J133" s="55"/>
      <c r="K133" s="55"/>
      <c r="L133" s="55"/>
      <c r="M133" s="55"/>
      <c r="N133" s="55"/>
      <c r="O133" s="55"/>
      <c r="P133" s="55"/>
    </row>
    <row r="134" spans="1:16" s="2" customFormat="1" ht="18.95" customHeight="1">
      <c r="A134" s="120" t="s">
        <v>878</v>
      </c>
      <c r="B134" s="120" t="s">
        <v>879</v>
      </c>
      <c r="C134" s="120" t="s">
        <v>880</v>
      </c>
      <c r="D134" s="120" t="s">
        <v>881</v>
      </c>
      <c r="E134" s="120" t="s">
        <v>518</v>
      </c>
      <c r="F134" s="120" t="s">
        <v>152</v>
      </c>
      <c r="G134" s="120"/>
      <c r="H134" s="120"/>
      <c r="I134" s="55"/>
      <c r="J134" s="55"/>
      <c r="K134" s="55"/>
      <c r="L134" s="55"/>
      <c r="M134" s="55"/>
      <c r="N134" s="55"/>
      <c r="O134" s="55"/>
      <c r="P134" s="55"/>
    </row>
    <row r="135" spans="1:16" s="2" customFormat="1" ht="18.95" customHeight="1">
      <c r="A135" s="120" t="s">
        <v>882</v>
      </c>
      <c r="B135" s="120" t="s">
        <v>883</v>
      </c>
      <c r="C135" s="120" t="s">
        <v>884</v>
      </c>
      <c r="D135" s="120" t="s">
        <v>885</v>
      </c>
      <c r="E135" s="120" t="s">
        <v>518</v>
      </c>
      <c r="F135" s="120" t="s">
        <v>152</v>
      </c>
      <c r="G135" s="120"/>
      <c r="H135" s="120"/>
      <c r="I135" s="55"/>
      <c r="J135" s="55"/>
      <c r="K135" s="55"/>
      <c r="L135" s="55"/>
      <c r="M135" s="55"/>
      <c r="N135" s="55"/>
      <c r="O135" s="55"/>
      <c r="P135" s="55"/>
    </row>
    <row r="136" spans="1:16" s="2" customFormat="1" ht="18.95" customHeight="1">
      <c r="A136" s="120" t="s">
        <v>886</v>
      </c>
      <c r="B136" s="120" t="s">
        <v>887</v>
      </c>
      <c r="C136" s="120" t="s">
        <v>888</v>
      </c>
      <c r="D136" s="120" t="s">
        <v>889</v>
      </c>
      <c r="E136" s="120" t="s">
        <v>518</v>
      </c>
      <c r="F136" s="120" t="s">
        <v>152</v>
      </c>
      <c r="G136" s="120"/>
      <c r="H136" s="120"/>
      <c r="I136" s="55"/>
      <c r="J136" s="55"/>
      <c r="K136" s="55"/>
      <c r="L136" s="55"/>
      <c r="M136" s="55"/>
      <c r="N136" s="55"/>
      <c r="O136" s="55"/>
      <c r="P136" s="55"/>
    </row>
    <row r="137" spans="1:16" s="2" customFormat="1" ht="18.95" customHeight="1">
      <c r="A137" s="120" t="s">
        <v>890</v>
      </c>
      <c r="B137" s="120" t="s">
        <v>891</v>
      </c>
      <c r="C137" s="120" t="s">
        <v>892</v>
      </c>
      <c r="D137" s="120" t="s">
        <v>893</v>
      </c>
      <c r="E137" s="120" t="s">
        <v>894</v>
      </c>
      <c r="F137" s="120" t="s">
        <v>152</v>
      </c>
      <c r="G137" s="120"/>
      <c r="H137" s="120"/>
      <c r="I137" s="55"/>
      <c r="J137" s="55"/>
      <c r="K137" s="55"/>
      <c r="L137" s="55"/>
      <c r="M137" s="55"/>
      <c r="N137" s="55"/>
      <c r="O137" s="55"/>
      <c r="P137" s="55"/>
    </row>
    <row r="138" spans="1:16" s="2" customFormat="1" ht="18.95" customHeight="1">
      <c r="A138" s="120" t="s">
        <v>895</v>
      </c>
      <c r="B138" s="120" t="s">
        <v>896</v>
      </c>
      <c r="C138" s="120" t="s">
        <v>897</v>
      </c>
      <c r="D138" s="120" t="s">
        <v>898</v>
      </c>
      <c r="E138" s="120" t="s">
        <v>736</v>
      </c>
      <c r="F138" s="120" t="s">
        <v>152</v>
      </c>
      <c r="G138" s="120"/>
      <c r="H138" s="120"/>
      <c r="I138" s="55"/>
      <c r="J138" s="55"/>
      <c r="K138" s="55"/>
      <c r="L138" s="55"/>
      <c r="M138" s="55"/>
      <c r="N138" s="55"/>
      <c r="O138" s="55"/>
      <c r="P138" s="55"/>
    </row>
    <row r="139" spans="1:16" s="2" customFormat="1" ht="18.95" customHeight="1">
      <c r="A139" s="120" t="s">
        <v>899</v>
      </c>
      <c r="B139" s="120" t="s">
        <v>900</v>
      </c>
      <c r="C139" s="120" t="s">
        <v>901</v>
      </c>
      <c r="D139" s="120" t="s">
        <v>902</v>
      </c>
      <c r="E139" s="120" t="s">
        <v>222</v>
      </c>
      <c r="F139" s="120" t="s">
        <v>152</v>
      </c>
      <c r="G139" s="120"/>
      <c r="H139" s="120" t="s">
        <v>903</v>
      </c>
      <c r="I139" s="55"/>
      <c r="J139" s="55"/>
      <c r="K139" s="55"/>
      <c r="L139" s="55"/>
      <c r="M139" s="55"/>
      <c r="N139" s="55"/>
      <c r="O139" s="55"/>
      <c r="P139" s="55"/>
    </row>
    <row r="140" spans="1:16" s="2" customFormat="1" ht="18.95" customHeight="1">
      <c r="A140" s="120" t="s">
        <v>904</v>
      </c>
      <c r="B140" s="120" t="s">
        <v>905</v>
      </c>
      <c r="C140" s="120" t="s">
        <v>906</v>
      </c>
      <c r="D140" s="120" t="s">
        <v>907</v>
      </c>
      <c r="E140" s="120" t="s">
        <v>837</v>
      </c>
      <c r="F140" s="120" t="s">
        <v>152</v>
      </c>
      <c r="G140" s="120"/>
      <c r="H140" s="120"/>
      <c r="I140" s="55"/>
      <c r="J140" s="55"/>
      <c r="K140" s="55"/>
      <c r="L140" s="55"/>
      <c r="M140" s="55"/>
      <c r="N140" s="55"/>
      <c r="O140" s="55"/>
      <c r="P140" s="55"/>
    </row>
    <row r="141" spans="1:16" s="2" customFormat="1" ht="18.95" customHeight="1">
      <c r="A141" s="120" t="s">
        <v>908</v>
      </c>
      <c r="B141" s="120" t="s">
        <v>909</v>
      </c>
      <c r="C141" s="120" t="s">
        <v>910</v>
      </c>
      <c r="D141" s="120" t="s">
        <v>876</v>
      </c>
      <c r="E141" s="120" t="s">
        <v>176</v>
      </c>
      <c r="F141" s="120" t="s">
        <v>152</v>
      </c>
      <c r="G141" s="120"/>
      <c r="H141" s="120" t="s">
        <v>843</v>
      </c>
      <c r="I141" s="55"/>
      <c r="J141" s="55"/>
      <c r="K141" s="55"/>
      <c r="L141" s="55"/>
      <c r="M141" s="55"/>
      <c r="N141" s="55"/>
      <c r="O141" s="55"/>
      <c r="P141" s="55"/>
    </row>
    <row r="142" spans="1:16" s="2" customFormat="1" ht="18.95" customHeight="1">
      <c r="A142" s="55"/>
      <c r="B142" s="55"/>
      <c r="C142" s="55"/>
      <c r="D142" s="55"/>
      <c r="E142" s="55"/>
      <c r="F142" s="55"/>
      <c r="G142" s="55"/>
      <c r="H142" s="55"/>
      <c r="I142" s="55"/>
      <c r="J142" s="55"/>
      <c r="K142" s="55"/>
      <c r="L142" s="55"/>
      <c r="M142" s="55"/>
      <c r="N142" s="55"/>
      <c r="O142" s="55"/>
      <c r="P142" s="55"/>
    </row>
    <row r="143" spans="1:16" s="2" customFormat="1" ht="18.95" customHeight="1">
      <c r="A143" s="155" t="s">
        <v>911</v>
      </c>
      <c r="B143" s="155"/>
      <c r="C143" s="155"/>
      <c r="D143" s="155"/>
      <c r="E143" s="155"/>
      <c r="F143" s="155"/>
      <c r="G143" s="155"/>
      <c r="H143" s="155"/>
      <c r="I143" s="155"/>
      <c r="J143" s="155"/>
      <c r="K143" s="155"/>
      <c r="L143" s="155"/>
      <c r="M143" s="155"/>
      <c r="N143" s="155"/>
      <c r="O143" s="155"/>
      <c r="P143" s="155"/>
    </row>
    <row r="144" spans="1:16" s="2" customFormat="1" ht="18.95" customHeight="1">
      <c r="A144" s="119" t="s">
        <v>806</v>
      </c>
      <c r="B144" s="119" t="s">
        <v>807</v>
      </c>
      <c r="C144" s="119" t="s">
        <v>808</v>
      </c>
      <c r="D144" s="119" t="s">
        <v>577</v>
      </c>
      <c r="E144" s="119" t="s">
        <v>144</v>
      </c>
      <c r="F144" s="119" t="s">
        <v>145</v>
      </c>
      <c r="G144" s="119" t="s">
        <v>493</v>
      </c>
      <c r="H144" s="119" t="s">
        <v>809</v>
      </c>
      <c r="I144" s="55"/>
      <c r="J144" s="55"/>
      <c r="K144" s="55"/>
      <c r="L144" s="55"/>
      <c r="M144" s="55"/>
      <c r="N144" s="55"/>
      <c r="O144" s="55"/>
      <c r="P144" s="55"/>
    </row>
    <row r="145" spans="1:16" s="2" customFormat="1" ht="18.95" customHeight="1">
      <c r="A145" s="120" t="s">
        <v>912</v>
      </c>
      <c r="B145" s="120" t="s">
        <v>913</v>
      </c>
      <c r="C145" s="120" t="s">
        <v>914</v>
      </c>
      <c r="D145" s="120" t="s">
        <v>915</v>
      </c>
      <c r="E145" s="120" t="s">
        <v>736</v>
      </c>
      <c r="F145" s="120" t="s">
        <v>152</v>
      </c>
      <c r="G145" s="120"/>
      <c r="H145" s="120" t="s">
        <v>916</v>
      </c>
      <c r="I145" s="55"/>
      <c r="J145" s="55"/>
      <c r="K145" s="55"/>
      <c r="L145" s="55"/>
      <c r="M145" s="55"/>
      <c r="N145" s="55"/>
      <c r="O145" s="55"/>
      <c r="P145" s="55"/>
    </row>
    <row r="146" spans="1:16" s="2" customFormat="1" ht="18.95" customHeight="1">
      <c r="A146" s="120" t="s">
        <v>917</v>
      </c>
      <c r="B146" s="120" t="s">
        <v>918</v>
      </c>
      <c r="C146" s="120" t="s">
        <v>919</v>
      </c>
      <c r="D146" s="120" t="s">
        <v>920</v>
      </c>
      <c r="E146" s="120" t="s">
        <v>736</v>
      </c>
      <c r="F146" s="120" t="s">
        <v>152</v>
      </c>
      <c r="G146" s="120"/>
      <c r="H146" s="120"/>
      <c r="I146" s="55"/>
      <c r="J146" s="55"/>
      <c r="K146" s="55"/>
      <c r="L146" s="55"/>
      <c r="M146" s="55"/>
      <c r="N146" s="55"/>
      <c r="O146" s="55"/>
      <c r="P146" s="55"/>
    </row>
    <row r="147" spans="1:16" s="2" customFormat="1" ht="18.95" customHeight="1">
      <c r="A147" s="120" t="s">
        <v>921</v>
      </c>
      <c r="B147" s="120" t="s">
        <v>922</v>
      </c>
      <c r="C147" s="120" t="s">
        <v>923</v>
      </c>
      <c r="D147" s="120" t="s">
        <v>924</v>
      </c>
      <c r="E147" s="120" t="s">
        <v>772</v>
      </c>
      <c r="F147" s="120" t="s">
        <v>152</v>
      </c>
      <c r="G147" s="120"/>
      <c r="H147" s="120"/>
      <c r="I147" s="55"/>
      <c r="J147" s="55"/>
      <c r="K147" s="55"/>
      <c r="L147" s="55"/>
      <c r="M147" s="55"/>
      <c r="N147" s="55"/>
      <c r="O147" s="55"/>
      <c r="P147" s="55"/>
    </row>
    <row r="148" spans="1:16" s="2" customFormat="1" ht="18.95" customHeight="1">
      <c r="A148" s="120" t="s">
        <v>925</v>
      </c>
      <c r="B148" s="120" t="s">
        <v>926</v>
      </c>
      <c r="C148" s="120" t="s">
        <v>927</v>
      </c>
      <c r="D148" s="120" t="s">
        <v>928</v>
      </c>
      <c r="E148" s="120" t="s">
        <v>772</v>
      </c>
      <c r="F148" s="120" t="s">
        <v>152</v>
      </c>
      <c r="G148" s="120"/>
      <c r="H148" s="120"/>
      <c r="I148" s="55"/>
      <c r="J148" s="55"/>
      <c r="K148" s="55"/>
      <c r="L148" s="55"/>
      <c r="M148" s="55"/>
      <c r="N148" s="55"/>
      <c r="O148" s="55"/>
      <c r="P148" s="55"/>
    </row>
    <row r="149" spans="1:16" s="2" customFormat="1" ht="18.95" customHeight="1">
      <c r="A149" s="120" t="s">
        <v>929</v>
      </c>
      <c r="B149" s="120" t="s">
        <v>930</v>
      </c>
      <c r="C149" s="120" t="s">
        <v>931</v>
      </c>
      <c r="D149" s="120" t="s">
        <v>932</v>
      </c>
      <c r="E149" s="120" t="s">
        <v>933</v>
      </c>
      <c r="F149" s="120" t="s">
        <v>152</v>
      </c>
      <c r="G149" s="120"/>
      <c r="H149" s="120"/>
      <c r="I149" s="55"/>
      <c r="J149" s="55"/>
      <c r="K149" s="55"/>
      <c r="L149" s="55"/>
      <c r="M149" s="55"/>
      <c r="N149" s="55"/>
      <c r="O149" s="55"/>
      <c r="P149" s="55"/>
    </row>
    <row r="150" spans="1:16" s="2" customFormat="1" ht="18.95" customHeight="1">
      <c r="A150" s="120" t="s">
        <v>934</v>
      </c>
      <c r="B150" s="120" t="s">
        <v>935</v>
      </c>
      <c r="C150" s="120" t="s">
        <v>936</v>
      </c>
      <c r="D150" s="120" t="s">
        <v>937</v>
      </c>
      <c r="E150" s="120" t="s">
        <v>736</v>
      </c>
      <c r="F150" s="120" t="s">
        <v>152</v>
      </c>
      <c r="G150" s="120"/>
      <c r="H150" s="120"/>
      <c r="I150" s="55"/>
      <c r="J150" s="55"/>
      <c r="K150" s="55"/>
      <c r="L150" s="55"/>
      <c r="M150" s="55"/>
      <c r="N150" s="55"/>
      <c r="O150" s="55"/>
      <c r="P150" s="55"/>
    </row>
    <row r="151" spans="1:16" s="2" customFormat="1" ht="18.95" customHeight="1">
      <c r="A151" s="120" t="s">
        <v>938</v>
      </c>
      <c r="B151" s="120" t="s">
        <v>939</v>
      </c>
      <c r="C151" s="120" t="s">
        <v>940</v>
      </c>
      <c r="D151" s="120" t="s">
        <v>941</v>
      </c>
      <c r="E151" s="120" t="s">
        <v>222</v>
      </c>
      <c r="F151" s="120" t="s">
        <v>152</v>
      </c>
      <c r="G151" s="120"/>
      <c r="H151" s="120" t="s">
        <v>903</v>
      </c>
      <c r="I151" s="55"/>
      <c r="J151" s="55"/>
      <c r="K151" s="55"/>
      <c r="L151" s="55"/>
      <c r="M151" s="55"/>
      <c r="N151" s="55"/>
      <c r="O151" s="55"/>
      <c r="P151" s="55"/>
    </row>
    <row r="152" spans="1:16" s="2" customFormat="1" ht="18.95" customHeight="1">
      <c r="A152" s="120" t="s">
        <v>942</v>
      </c>
      <c r="B152" s="120" t="s">
        <v>943</v>
      </c>
      <c r="C152" s="120" t="s">
        <v>944</v>
      </c>
      <c r="D152" s="120" t="s">
        <v>945</v>
      </c>
      <c r="E152" s="120" t="s">
        <v>946</v>
      </c>
      <c r="F152" s="120" t="s">
        <v>152</v>
      </c>
      <c r="G152" s="120"/>
      <c r="H152" s="120" t="s">
        <v>843</v>
      </c>
      <c r="I152" s="55"/>
      <c r="J152" s="55"/>
      <c r="K152" s="55"/>
      <c r="L152" s="55"/>
      <c r="M152" s="55"/>
      <c r="N152" s="55"/>
      <c r="O152" s="55"/>
      <c r="P152" s="55"/>
    </row>
    <row r="153" spans="1:16" ht="18.95" customHeight="1">
      <c r="A153" s="120" t="s">
        <v>947</v>
      </c>
      <c r="B153" s="120" t="s">
        <v>948</v>
      </c>
      <c r="C153" s="120" t="s">
        <v>949</v>
      </c>
      <c r="D153" s="120" t="s">
        <v>950</v>
      </c>
      <c r="E153" s="120" t="s">
        <v>946</v>
      </c>
      <c r="F153" s="120" t="s">
        <v>152</v>
      </c>
      <c r="G153" s="120"/>
      <c r="H153" s="120" t="s">
        <v>838</v>
      </c>
      <c r="I153" s="55"/>
      <c r="J153" s="55"/>
      <c r="K153" s="55"/>
      <c r="L153" s="48"/>
      <c r="M153" s="55"/>
      <c r="N153" s="55"/>
      <c r="O153" s="55"/>
      <c r="P153" s="55"/>
    </row>
    <row r="154" spans="1:16" ht="18.95" customHeight="1">
      <c r="A154" s="120" t="s">
        <v>951</v>
      </c>
      <c r="B154" s="120" t="s">
        <v>952</v>
      </c>
      <c r="C154" s="120" t="s">
        <v>953</v>
      </c>
      <c r="D154" s="120" t="s">
        <v>954</v>
      </c>
      <c r="E154" s="120" t="s">
        <v>518</v>
      </c>
      <c r="F154" s="120" t="s">
        <v>152</v>
      </c>
      <c r="G154" s="120"/>
      <c r="H154" s="120"/>
      <c r="I154" s="55"/>
      <c r="J154" s="55"/>
      <c r="K154" s="55"/>
      <c r="L154" s="48"/>
      <c r="M154" s="55"/>
      <c r="N154" s="55"/>
      <c r="O154" s="55"/>
      <c r="P154" s="55"/>
    </row>
    <row r="155" spans="1:16" ht="18.95" customHeight="1">
      <c r="A155" s="120" t="s">
        <v>955</v>
      </c>
      <c r="B155" s="120" t="s">
        <v>956</v>
      </c>
      <c r="C155" s="120" t="s">
        <v>957</v>
      </c>
      <c r="D155" s="120" t="s">
        <v>958</v>
      </c>
      <c r="E155" s="120" t="s">
        <v>786</v>
      </c>
      <c r="F155" s="120" t="s">
        <v>152</v>
      </c>
      <c r="G155" s="120"/>
      <c r="H155" s="120"/>
      <c r="I155" s="55"/>
      <c r="J155" s="55"/>
      <c r="K155" s="55"/>
      <c r="L155" s="48"/>
      <c r="M155" s="55"/>
      <c r="N155" s="55"/>
      <c r="O155" s="55"/>
      <c r="P155" s="55"/>
    </row>
    <row r="156" spans="1:16" ht="18.95" customHeight="1">
      <c r="A156" s="120" t="s">
        <v>959</v>
      </c>
      <c r="B156" s="120" t="s">
        <v>960</v>
      </c>
      <c r="C156" s="120" t="s">
        <v>961</v>
      </c>
      <c r="D156" s="120" t="s">
        <v>962</v>
      </c>
      <c r="E156" s="120" t="s">
        <v>837</v>
      </c>
      <c r="F156" s="120" t="s">
        <v>152</v>
      </c>
      <c r="G156" s="120"/>
      <c r="H156" s="120" t="s">
        <v>838</v>
      </c>
      <c r="I156" s="55"/>
      <c r="J156" s="55"/>
      <c r="K156" s="55"/>
      <c r="L156" s="48"/>
      <c r="M156" s="55"/>
      <c r="N156" s="55"/>
      <c r="O156" s="55"/>
      <c r="P156" s="55"/>
    </row>
    <row r="157" spans="1:16" ht="18.95" customHeight="1">
      <c r="A157" s="120" t="s">
        <v>963</v>
      </c>
      <c r="B157" s="120" t="s">
        <v>964</v>
      </c>
      <c r="C157" s="120" t="s">
        <v>965</v>
      </c>
      <c r="D157" s="120" t="s">
        <v>876</v>
      </c>
      <c r="E157" s="120" t="s">
        <v>176</v>
      </c>
      <c r="F157" s="120" t="s">
        <v>152</v>
      </c>
      <c r="G157" s="120"/>
      <c r="H157" s="120" t="s">
        <v>843</v>
      </c>
      <c r="I157" s="55"/>
      <c r="J157" s="55"/>
      <c r="K157" s="55"/>
      <c r="L157" s="48"/>
      <c r="M157" s="55"/>
      <c r="N157" s="55"/>
      <c r="O157" s="55"/>
      <c r="P157" s="55"/>
    </row>
    <row r="158" spans="1:16" ht="18.95" customHeight="1">
      <c r="A158" s="120" t="s">
        <v>966</v>
      </c>
      <c r="B158" s="120" t="s">
        <v>967</v>
      </c>
      <c r="C158" s="120" t="s">
        <v>846</v>
      </c>
      <c r="D158" s="120" t="s">
        <v>847</v>
      </c>
      <c r="E158" s="120" t="s">
        <v>848</v>
      </c>
      <c r="F158" s="120" t="s">
        <v>152</v>
      </c>
      <c r="G158" s="120"/>
      <c r="H158" s="120"/>
      <c r="I158" s="55"/>
      <c r="J158" s="55"/>
      <c r="K158" s="55"/>
      <c r="L158" s="48"/>
      <c r="M158" s="55"/>
      <c r="N158" s="55"/>
      <c r="O158" s="55"/>
      <c r="P158" s="55"/>
    </row>
    <row r="159" spans="1:16" ht="18.95" customHeight="1">
      <c r="A159" s="55"/>
      <c r="B159" s="55"/>
      <c r="C159" s="55"/>
      <c r="D159" s="55"/>
      <c r="E159" s="55"/>
      <c r="F159" s="55"/>
      <c r="G159" s="55"/>
      <c r="H159" s="55"/>
      <c r="I159" s="55"/>
      <c r="J159" s="55"/>
      <c r="K159" s="55"/>
      <c r="L159" s="48"/>
      <c r="M159" s="55"/>
      <c r="N159" s="55"/>
      <c r="O159" s="55"/>
      <c r="P159" s="55"/>
    </row>
    <row r="160" spans="1:16" ht="18.95" customHeight="1">
      <c r="A160" s="55"/>
      <c r="B160" s="55"/>
      <c r="C160" s="55"/>
      <c r="D160" s="55"/>
      <c r="E160" s="55"/>
      <c r="F160" s="55"/>
      <c r="G160" s="55"/>
      <c r="H160" s="55"/>
      <c r="I160" s="55"/>
      <c r="J160" s="55"/>
      <c r="K160" s="55"/>
      <c r="L160" s="48"/>
      <c r="M160" s="55"/>
      <c r="N160" s="55"/>
      <c r="O160" s="55"/>
      <c r="P160" s="55"/>
    </row>
    <row r="161" spans="1:16" ht="18.95" customHeight="1">
      <c r="A161" s="55"/>
      <c r="B161" s="55"/>
      <c r="C161" s="55"/>
      <c r="D161" s="55"/>
      <c r="E161" s="55"/>
      <c r="F161" s="55"/>
      <c r="G161" s="55"/>
      <c r="H161" s="55"/>
      <c r="I161" s="55"/>
      <c r="J161" s="55"/>
      <c r="K161" s="55"/>
      <c r="L161" s="48"/>
      <c r="M161" s="55"/>
      <c r="N161" s="55"/>
      <c r="O161" s="55"/>
      <c r="P161" s="55"/>
    </row>
    <row r="162" spans="1:16" ht="18.95" customHeight="1">
      <c r="A162" s="55"/>
      <c r="B162" s="55"/>
      <c r="C162" s="55"/>
      <c r="D162" s="55"/>
      <c r="E162" s="55"/>
      <c r="F162" s="55"/>
      <c r="G162" s="55"/>
      <c r="H162" s="55"/>
      <c r="I162" s="55"/>
      <c r="J162" s="55"/>
      <c r="K162" s="55"/>
      <c r="L162" s="48"/>
      <c r="M162" s="55"/>
      <c r="N162" s="55"/>
      <c r="O162" s="55"/>
      <c r="P162" s="55"/>
    </row>
    <row r="163" spans="1:16" s="2" customFormat="1" ht="18.95" customHeight="1">
      <c r="A163" s="55"/>
      <c r="B163" s="55"/>
      <c r="C163" s="55"/>
      <c r="D163" s="55"/>
      <c r="E163" s="55"/>
      <c r="F163" s="55"/>
      <c r="G163" s="55"/>
      <c r="H163" s="55"/>
      <c r="I163" s="55"/>
      <c r="J163" s="55"/>
      <c r="K163" s="55"/>
      <c r="L163" s="55"/>
      <c r="M163" s="55"/>
      <c r="N163" s="55"/>
      <c r="O163" s="55"/>
      <c r="P163" s="55"/>
    </row>
    <row r="164" spans="1:16" s="2" customFormat="1" ht="18.95" customHeight="1">
      <c r="A164" s="55"/>
      <c r="B164" s="55"/>
      <c r="C164" s="55"/>
      <c r="D164" s="55"/>
      <c r="E164" s="55"/>
      <c r="F164" s="55"/>
      <c r="G164" s="55"/>
      <c r="H164" s="55"/>
      <c r="I164" s="55"/>
      <c r="J164" s="55"/>
      <c r="K164" s="55"/>
      <c r="L164" s="55"/>
      <c r="M164" s="55"/>
      <c r="N164" s="55"/>
      <c r="O164" s="55"/>
      <c r="P164" s="55"/>
    </row>
    <row r="165" spans="1:16" s="2" customFormat="1" ht="18.95" customHeight="1">
      <c r="A165" s="55"/>
      <c r="B165" s="55"/>
      <c r="C165" s="55"/>
      <c r="D165" s="55"/>
      <c r="E165" s="55"/>
      <c r="F165" s="55"/>
      <c r="G165" s="55"/>
      <c r="H165" s="55"/>
      <c r="I165" s="55"/>
      <c r="J165" s="55"/>
      <c r="K165" s="55"/>
      <c r="L165" s="55"/>
      <c r="M165" s="55"/>
      <c r="N165" s="55"/>
      <c r="O165" s="55"/>
      <c r="P165" s="55"/>
    </row>
    <row r="166" spans="1:16" s="2" customFormat="1" ht="18.95" customHeight="1">
      <c r="A166" s="55"/>
      <c r="B166" s="55"/>
      <c r="C166" s="55"/>
      <c r="D166" s="55"/>
      <c r="E166" s="55"/>
      <c r="F166" s="55"/>
      <c r="G166" s="55"/>
      <c r="H166" s="55"/>
      <c r="I166" s="55"/>
      <c r="J166" s="55"/>
      <c r="K166" s="55"/>
      <c r="L166" s="55"/>
      <c r="M166" s="55"/>
      <c r="N166" s="55"/>
      <c r="O166" s="55"/>
      <c r="P166" s="55"/>
    </row>
    <row r="167" spans="1:16" s="2" customFormat="1" ht="18.95" customHeight="1">
      <c r="A167" s="55"/>
      <c r="B167" s="55"/>
      <c r="C167" s="55"/>
      <c r="D167" s="55"/>
      <c r="E167" s="55"/>
      <c r="F167" s="55"/>
      <c r="G167" s="55"/>
      <c r="H167" s="55"/>
      <c r="I167" s="55"/>
      <c r="J167" s="55"/>
      <c r="K167" s="55"/>
      <c r="L167" s="55"/>
      <c r="M167" s="55"/>
      <c r="N167" s="55"/>
      <c r="O167" s="55"/>
      <c r="P167" s="55"/>
    </row>
    <row r="168" spans="1:16" s="2" customFormat="1" ht="18.95" customHeight="1">
      <c r="A168" s="55"/>
      <c r="B168" s="55"/>
      <c r="C168" s="55"/>
      <c r="D168" s="55"/>
      <c r="E168" s="55"/>
      <c r="F168" s="55"/>
      <c r="G168" s="55"/>
      <c r="H168" s="55"/>
      <c r="I168" s="55"/>
      <c r="J168" s="55"/>
      <c r="K168" s="55"/>
      <c r="L168" s="55"/>
      <c r="M168" s="55"/>
      <c r="N168" s="55"/>
      <c r="O168" s="55"/>
      <c r="P168" s="55"/>
    </row>
    <row r="169" spans="1:16" s="2" customFormat="1" ht="18.95" customHeight="1">
      <c r="A169" s="55"/>
      <c r="B169" s="55"/>
      <c r="C169" s="55"/>
      <c r="D169" s="55"/>
      <c r="E169" s="55"/>
      <c r="F169" s="55"/>
      <c r="G169" s="55"/>
      <c r="H169" s="55"/>
      <c r="I169" s="55"/>
      <c r="J169" s="55"/>
      <c r="K169" s="55"/>
      <c r="L169" s="55"/>
      <c r="M169" s="55"/>
      <c r="N169" s="55"/>
      <c r="O169" s="55"/>
      <c r="P169" s="55"/>
    </row>
    <row r="170" spans="1:16" s="2" customFormat="1" ht="18.95" customHeight="1">
      <c r="A170" s="55"/>
      <c r="B170" s="55"/>
      <c r="C170" s="55"/>
      <c r="D170" s="55"/>
      <c r="E170" s="55"/>
      <c r="F170" s="55"/>
      <c r="G170" s="55"/>
      <c r="H170" s="55"/>
      <c r="I170" s="55"/>
      <c r="J170" s="55"/>
      <c r="K170" s="55"/>
      <c r="L170" s="55"/>
      <c r="M170" s="55"/>
      <c r="N170" s="55"/>
      <c r="O170" s="55"/>
      <c r="P170" s="55"/>
    </row>
    <row r="171" spans="1:16" s="2" customFormat="1" ht="18.95" customHeight="1">
      <c r="A171" s="55"/>
      <c r="B171" s="55"/>
      <c r="C171" s="55"/>
      <c r="D171" s="55"/>
      <c r="E171" s="55"/>
      <c r="F171" s="55"/>
      <c r="G171" s="55"/>
      <c r="H171" s="55"/>
      <c r="I171" s="55"/>
      <c r="J171" s="55"/>
      <c r="K171" s="55"/>
      <c r="L171" s="55"/>
      <c r="M171" s="55"/>
      <c r="N171" s="55"/>
      <c r="O171" s="55"/>
      <c r="P171" s="55"/>
    </row>
    <row r="172" spans="1:16" s="2" customFormat="1" ht="18.95" customHeight="1">
      <c r="A172" s="55"/>
      <c r="B172" s="55"/>
      <c r="C172" s="55"/>
      <c r="D172" s="55"/>
      <c r="E172" s="55"/>
      <c r="F172" s="55"/>
      <c r="G172" s="55"/>
      <c r="H172" s="55"/>
      <c r="I172" s="55"/>
      <c r="J172" s="55"/>
      <c r="K172" s="55"/>
      <c r="L172" s="55"/>
      <c r="M172" s="55"/>
      <c r="N172" s="55"/>
      <c r="O172" s="55"/>
      <c r="P172" s="55"/>
    </row>
    <row r="173" spans="1:16" s="2" customFormat="1" ht="18.95" customHeight="1">
      <c r="A173" s="55"/>
      <c r="B173" s="55"/>
      <c r="C173" s="55"/>
      <c r="D173" s="55"/>
      <c r="E173" s="55"/>
      <c r="F173" s="55"/>
      <c r="G173" s="55"/>
      <c r="H173" s="55"/>
      <c r="I173" s="55"/>
      <c r="J173" s="55"/>
      <c r="K173" s="55"/>
      <c r="L173" s="55"/>
      <c r="M173" s="55"/>
      <c r="N173" s="55"/>
      <c r="O173" s="55"/>
      <c r="P173" s="55"/>
    </row>
    <row r="174" spans="1:16" s="2" customFormat="1" ht="18.95" customHeight="1">
      <c r="A174" s="55"/>
      <c r="B174" s="55"/>
      <c r="C174" s="55"/>
      <c r="D174" s="55"/>
      <c r="E174" s="55"/>
      <c r="F174" s="55"/>
      <c r="G174" s="55"/>
      <c r="H174" s="55"/>
      <c r="I174" s="55"/>
      <c r="J174" s="55"/>
      <c r="K174" s="55"/>
      <c r="L174" s="55"/>
      <c r="M174" s="55"/>
      <c r="N174" s="55"/>
      <c r="O174" s="55"/>
      <c r="P174" s="55"/>
    </row>
    <row r="175" spans="1:16" s="2" customFormat="1" ht="18.95" customHeight="1">
      <c r="A175" s="55"/>
      <c r="B175" s="55"/>
      <c r="C175" s="55"/>
      <c r="D175" s="55"/>
      <c r="E175" s="55"/>
      <c r="F175" s="55"/>
      <c r="G175" s="55"/>
      <c r="H175" s="55"/>
      <c r="I175" s="55"/>
      <c r="J175" s="55"/>
      <c r="K175" s="55"/>
      <c r="L175" s="55"/>
      <c r="M175" s="55"/>
      <c r="N175" s="55"/>
      <c r="O175" s="55"/>
      <c r="P175" s="55"/>
    </row>
    <row r="176" spans="1:16" s="2" customFormat="1" ht="18.95" customHeight="1">
      <c r="A176" s="55"/>
      <c r="B176" s="55"/>
      <c r="C176" s="55"/>
      <c r="D176" s="55"/>
      <c r="E176" s="55"/>
      <c r="F176" s="55"/>
      <c r="G176" s="55"/>
      <c r="H176" s="55"/>
      <c r="I176" s="55"/>
      <c r="J176" s="55"/>
      <c r="K176" s="55"/>
      <c r="L176" s="55"/>
      <c r="M176" s="55"/>
      <c r="N176" s="55"/>
      <c r="O176" s="55"/>
      <c r="P176" s="55"/>
    </row>
    <row r="177" spans="1:16" s="2" customFormat="1" ht="18.95" customHeight="1">
      <c r="A177" s="55"/>
      <c r="B177" s="55"/>
      <c r="C177" s="55"/>
      <c r="D177" s="55"/>
      <c r="E177" s="55"/>
      <c r="F177" s="55"/>
      <c r="G177" s="55"/>
      <c r="H177" s="55"/>
      <c r="I177" s="55"/>
      <c r="J177" s="55"/>
      <c r="K177" s="55"/>
      <c r="L177" s="55"/>
      <c r="M177" s="55"/>
      <c r="N177" s="55"/>
      <c r="O177" s="55"/>
      <c r="P177" s="55"/>
    </row>
    <row r="178" spans="1:16" s="2" customFormat="1" ht="18.95" customHeight="1">
      <c r="A178" s="55"/>
      <c r="B178" s="55"/>
      <c r="C178" s="55"/>
      <c r="D178" s="55"/>
      <c r="E178" s="55"/>
      <c r="F178" s="55"/>
      <c r="G178" s="55"/>
      <c r="H178" s="55"/>
      <c r="I178" s="55"/>
      <c r="J178" s="55"/>
      <c r="K178" s="55"/>
      <c r="L178" s="55"/>
      <c r="M178" s="55"/>
      <c r="N178" s="55"/>
      <c r="O178" s="55"/>
      <c r="P178" s="55"/>
    </row>
    <row r="179" spans="1:16" ht="18.95" customHeight="1">
      <c r="A179" s="55"/>
      <c r="B179" s="55"/>
      <c r="C179" s="55"/>
      <c r="D179" s="55"/>
      <c r="E179" s="55"/>
      <c r="F179" s="55"/>
      <c r="G179" s="55"/>
      <c r="H179" s="55"/>
      <c r="I179" s="55"/>
      <c r="J179" s="55"/>
      <c r="K179" s="55"/>
      <c r="L179" s="48"/>
      <c r="M179" s="55"/>
      <c r="N179" s="55"/>
      <c r="O179" s="55"/>
      <c r="P179" s="55"/>
    </row>
    <row r="180" spans="1:16" ht="18.95" customHeight="1">
      <c r="A180" s="55"/>
      <c r="B180" s="55"/>
      <c r="C180" s="55"/>
      <c r="D180" s="55"/>
      <c r="E180" s="55"/>
      <c r="F180" s="55"/>
      <c r="G180" s="55"/>
      <c r="H180" s="55"/>
      <c r="I180" s="55"/>
      <c r="J180" s="55"/>
      <c r="K180" s="55"/>
      <c r="L180" s="48"/>
      <c r="M180" s="55"/>
      <c r="N180" s="55"/>
      <c r="O180" s="55"/>
      <c r="P180" s="55"/>
    </row>
    <row r="181" spans="1:16" ht="18.95" customHeight="1">
      <c r="A181" s="55"/>
      <c r="B181" s="55"/>
      <c r="C181" s="55"/>
      <c r="D181" s="55"/>
      <c r="E181" s="55"/>
      <c r="F181" s="55"/>
      <c r="G181" s="55"/>
      <c r="H181" s="55"/>
      <c r="I181" s="55"/>
      <c r="J181" s="55"/>
      <c r="K181" s="55"/>
      <c r="L181" s="48"/>
      <c r="M181" s="55"/>
      <c r="N181" s="55"/>
      <c r="O181" s="55"/>
      <c r="P181" s="55"/>
    </row>
    <row r="182" spans="1:16" ht="18.95" customHeight="1">
      <c r="A182" s="55"/>
      <c r="B182" s="55"/>
      <c r="C182" s="55"/>
      <c r="D182" s="55"/>
      <c r="E182" s="55"/>
      <c r="F182" s="55"/>
      <c r="G182" s="55"/>
      <c r="H182" s="55"/>
      <c r="I182" s="55"/>
      <c r="J182" s="55"/>
      <c r="K182" s="55"/>
      <c r="L182" s="48"/>
      <c r="M182" s="55"/>
      <c r="N182" s="55"/>
      <c r="O182" s="55"/>
      <c r="P182" s="55"/>
    </row>
    <row r="183" spans="1:16" ht="18.95" customHeight="1">
      <c r="A183" s="55"/>
      <c r="B183" s="55"/>
      <c r="C183" s="55"/>
      <c r="D183" s="55"/>
      <c r="E183" s="55"/>
      <c r="F183" s="55"/>
      <c r="G183" s="55"/>
      <c r="H183" s="55"/>
      <c r="I183" s="55"/>
      <c r="J183" s="55"/>
      <c r="K183" s="55"/>
      <c r="L183" s="48"/>
      <c r="M183" s="55"/>
      <c r="N183" s="55"/>
      <c r="O183" s="55"/>
      <c r="P183" s="55"/>
    </row>
    <row r="184" spans="1:16" ht="18.95" customHeight="1">
      <c r="A184" s="55"/>
      <c r="B184" s="55"/>
      <c r="C184" s="55"/>
      <c r="D184" s="55"/>
      <c r="E184" s="55"/>
      <c r="F184" s="55"/>
      <c r="G184" s="55"/>
      <c r="H184" s="55"/>
      <c r="I184" s="55"/>
      <c r="J184" s="55"/>
      <c r="K184" s="55"/>
      <c r="L184" s="48"/>
      <c r="M184" s="55"/>
      <c r="N184" s="55"/>
      <c r="O184" s="55"/>
      <c r="P184" s="55"/>
    </row>
    <row r="185" spans="1:16" ht="18.95" customHeight="1">
      <c r="A185" s="55"/>
      <c r="B185" s="55"/>
      <c r="C185" s="55"/>
      <c r="D185" s="55"/>
      <c r="E185" s="55"/>
      <c r="F185" s="55"/>
      <c r="G185" s="55"/>
      <c r="H185" s="55"/>
      <c r="I185" s="55"/>
      <c r="J185" s="55"/>
      <c r="K185" s="55"/>
      <c r="L185" s="48"/>
      <c r="M185" s="55"/>
      <c r="N185" s="55"/>
      <c r="O185" s="55"/>
      <c r="P185" s="55"/>
    </row>
    <row r="186" spans="1:16" ht="18.95" customHeight="1">
      <c r="A186" s="55"/>
      <c r="B186" s="55"/>
      <c r="C186" s="55"/>
      <c r="D186" s="55"/>
      <c r="E186" s="55"/>
      <c r="F186" s="55"/>
      <c r="G186" s="55"/>
      <c r="H186" s="55"/>
      <c r="I186" s="55"/>
      <c r="J186" s="55"/>
      <c r="K186" s="55"/>
      <c r="L186" s="48"/>
      <c r="M186" s="55"/>
      <c r="N186" s="55"/>
      <c r="O186" s="55"/>
      <c r="P186" s="55"/>
    </row>
    <row r="187" spans="1:16" ht="18.95" customHeight="1">
      <c r="A187" s="55"/>
      <c r="B187" s="55"/>
      <c r="C187" s="55"/>
      <c r="D187" s="55"/>
      <c r="E187" s="55"/>
      <c r="F187" s="55"/>
      <c r="G187" s="55"/>
      <c r="H187" s="55"/>
      <c r="I187" s="55"/>
      <c r="J187" s="55"/>
      <c r="K187" s="55"/>
      <c r="L187" s="48"/>
      <c r="M187" s="55"/>
      <c r="N187" s="55"/>
      <c r="O187" s="55"/>
      <c r="P187" s="55"/>
    </row>
    <row r="188" spans="1:16" s="2" customFormat="1" ht="18.95" customHeight="1">
      <c r="A188" s="55"/>
      <c r="B188" s="55"/>
      <c r="C188" s="55"/>
      <c r="D188" s="55"/>
      <c r="E188" s="55"/>
      <c r="F188" s="55"/>
      <c r="G188" s="55"/>
      <c r="H188" s="55"/>
      <c r="I188" s="55"/>
      <c r="J188" s="55"/>
      <c r="K188" s="55"/>
      <c r="L188" s="55"/>
      <c r="M188" s="55"/>
      <c r="N188" s="55"/>
      <c r="O188" s="55"/>
      <c r="P188" s="55"/>
    </row>
    <row r="189" spans="1:16" s="2" customFormat="1" ht="18.95" customHeight="1">
      <c r="A189" s="55"/>
      <c r="B189" s="55"/>
      <c r="C189" s="55"/>
      <c r="D189" s="55"/>
      <c r="E189" s="55"/>
      <c r="F189" s="55"/>
      <c r="G189" s="55"/>
      <c r="H189" s="55"/>
      <c r="I189" s="55"/>
      <c r="J189" s="55"/>
      <c r="K189" s="55"/>
      <c r="L189" s="55"/>
      <c r="M189" s="55"/>
      <c r="N189" s="55"/>
      <c r="O189" s="55"/>
      <c r="P189" s="55"/>
    </row>
    <row r="190" spans="1:16" s="2" customFormat="1" ht="18.95" customHeight="1">
      <c r="A190" s="55"/>
      <c r="B190" s="55"/>
      <c r="C190" s="55"/>
      <c r="D190" s="55"/>
      <c r="E190" s="55"/>
      <c r="F190" s="55"/>
      <c r="G190" s="55"/>
      <c r="H190" s="55"/>
      <c r="I190" s="55"/>
      <c r="J190" s="55"/>
      <c r="K190" s="55"/>
      <c r="L190" s="55"/>
      <c r="M190" s="55"/>
      <c r="N190" s="55"/>
      <c r="O190" s="55"/>
      <c r="P190" s="55"/>
    </row>
    <row r="191" spans="1:16" s="2" customFormat="1" ht="18.95" customHeight="1">
      <c r="A191" s="55"/>
      <c r="B191" s="55"/>
      <c r="C191" s="55"/>
      <c r="D191" s="55"/>
      <c r="E191" s="55"/>
      <c r="F191" s="55"/>
      <c r="G191" s="55"/>
      <c r="H191" s="55"/>
      <c r="I191" s="55"/>
      <c r="J191" s="55"/>
      <c r="K191" s="55"/>
      <c r="L191" s="55"/>
      <c r="M191" s="55"/>
      <c r="N191" s="55"/>
      <c r="O191" s="55"/>
      <c r="P191" s="55"/>
    </row>
    <row r="192" spans="1:16" s="2" customFormat="1" ht="18.95" customHeight="1">
      <c r="A192" s="55"/>
      <c r="B192" s="55"/>
      <c r="C192" s="55"/>
      <c r="D192" s="55"/>
      <c r="E192" s="55"/>
      <c r="F192" s="55"/>
      <c r="G192" s="55"/>
      <c r="H192" s="55"/>
      <c r="I192" s="55"/>
      <c r="J192" s="55"/>
      <c r="K192" s="55"/>
      <c r="L192" s="55"/>
      <c r="M192" s="55"/>
      <c r="N192" s="55"/>
      <c r="O192" s="55"/>
      <c r="P192" s="55"/>
    </row>
    <row r="193" spans="1:16" s="2" customFormat="1" ht="18.95" customHeight="1">
      <c r="A193" s="55"/>
      <c r="B193" s="55"/>
      <c r="C193" s="55"/>
      <c r="D193" s="55"/>
      <c r="E193" s="55"/>
      <c r="F193" s="55"/>
      <c r="G193" s="55"/>
      <c r="H193" s="55"/>
      <c r="I193" s="55"/>
      <c r="J193" s="55"/>
      <c r="K193" s="55"/>
      <c r="L193" s="55"/>
      <c r="M193" s="55"/>
      <c r="N193" s="55"/>
      <c r="O193" s="55"/>
      <c r="P193" s="55"/>
    </row>
    <row r="194" spans="1:16" s="2" customFormat="1" ht="18.95" customHeight="1">
      <c r="A194" s="55"/>
      <c r="B194" s="55"/>
      <c r="C194" s="55"/>
      <c r="D194" s="55"/>
      <c r="E194" s="55"/>
      <c r="F194" s="55"/>
      <c r="G194" s="55"/>
      <c r="H194" s="55"/>
      <c r="I194" s="55"/>
      <c r="J194" s="55"/>
      <c r="K194" s="55"/>
      <c r="L194" s="55"/>
      <c r="M194" s="55"/>
      <c r="N194" s="55"/>
      <c r="O194" s="55"/>
      <c r="P194" s="55"/>
    </row>
    <row r="195" spans="1:16" s="2" customFormat="1" ht="18.95" customHeight="1">
      <c r="A195" s="55"/>
      <c r="B195" s="55"/>
      <c r="C195" s="55"/>
      <c r="D195" s="55"/>
      <c r="E195" s="55"/>
      <c r="F195" s="55"/>
      <c r="G195" s="55"/>
      <c r="H195" s="55"/>
      <c r="I195" s="55"/>
      <c r="J195" s="55"/>
      <c r="K195" s="55"/>
      <c r="L195" s="55"/>
      <c r="M195" s="55"/>
      <c r="N195" s="55"/>
      <c r="O195" s="55"/>
      <c r="P195" s="55"/>
    </row>
    <row r="196" spans="1:16" s="2" customFormat="1" ht="18.95" customHeight="1">
      <c r="A196" s="55"/>
      <c r="B196" s="55"/>
      <c r="C196" s="55"/>
      <c r="D196" s="55"/>
      <c r="E196" s="55"/>
      <c r="F196" s="55"/>
      <c r="G196" s="55"/>
      <c r="H196" s="55"/>
      <c r="I196" s="55"/>
      <c r="J196" s="55"/>
      <c r="K196" s="55"/>
      <c r="L196" s="55"/>
      <c r="M196" s="55"/>
      <c r="N196" s="55"/>
      <c r="O196" s="55"/>
      <c r="P196" s="55"/>
    </row>
    <row r="197" spans="1:16" s="2" customFormat="1" ht="18.95" customHeight="1">
      <c r="A197" s="55"/>
      <c r="B197" s="55"/>
      <c r="C197" s="55"/>
      <c r="D197" s="55"/>
      <c r="E197" s="55"/>
      <c r="F197" s="55"/>
      <c r="G197" s="55"/>
      <c r="H197" s="55"/>
      <c r="I197" s="55"/>
      <c r="J197" s="55"/>
      <c r="K197" s="55"/>
      <c r="L197" s="55"/>
      <c r="M197" s="55"/>
      <c r="N197" s="55"/>
      <c r="O197" s="55"/>
      <c r="P197" s="55"/>
    </row>
    <row r="198" spans="1:16" s="2" customFormat="1" ht="18.95" customHeight="1">
      <c r="A198" s="55"/>
      <c r="B198" s="55"/>
      <c r="C198" s="55"/>
      <c r="D198" s="55"/>
      <c r="E198" s="55"/>
      <c r="F198" s="55"/>
      <c r="G198" s="55"/>
      <c r="H198" s="55"/>
      <c r="I198" s="55"/>
      <c r="J198" s="55"/>
      <c r="K198" s="55"/>
      <c r="L198" s="55"/>
      <c r="M198" s="55"/>
      <c r="N198" s="55"/>
      <c r="O198" s="55"/>
      <c r="P198" s="55"/>
    </row>
    <row r="199" spans="1:16" s="2" customFormat="1" ht="18.95" customHeight="1">
      <c r="A199" s="55"/>
      <c r="B199" s="55"/>
      <c r="C199" s="55"/>
      <c r="D199" s="55"/>
      <c r="E199" s="55"/>
      <c r="F199" s="55"/>
      <c r="G199" s="55"/>
      <c r="H199" s="55"/>
      <c r="I199" s="55"/>
      <c r="J199" s="55"/>
      <c r="K199" s="55"/>
      <c r="L199" s="55"/>
      <c r="M199" s="55"/>
      <c r="N199" s="55"/>
      <c r="O199" s="55"/>
      <c r="P199" s="55"/>
    </row>
    <row r="200" spans="1:16" s="2" customFormat="1" ht="18.95" customHeight="1">
      <c r="A200" s="55"/>
      <c r="B200" s="55"/>
      <c r="C200" s="55"/>
      <c r="D200" s="55"/>
      <c r="E200" s="55"/>
      <c r="F200" s="55"/>
      <c r="G200" s="55"/>
      <c r="H200" s="55"/>
      <c r="I200" s="55"/>
      <c r="J200" s="55"/>
      <c r="K200" s="55"/>
      <c r="L200" s="55"/>
      <c r="M200" s="55"/>
      <c r="N200" s="55"/>
      <c r="O200" s="55"/>
      <c r="P200" s="55"/>
    </row>
    <row r="201" spans="1:16" s="2" customFormat="1" ht="18.95" customHeight="1">
      <c r="A201" s="55"/>
      <c r="B201" s="55"/>
      <c r="C201" s="55"/>
      <c r="D201" s="55"/>
      <c r="E201" s="55"/>
      <c r="F201" s="55"/>
      <c r="G201" s="55"/>
      <c r="H201" s="55"/>
      <c r="I201" s="55"/>
      <c r="J201" s="55"/>
      <c r="K201" s="55"/>
      <c r="L201" s="55"/>
      <c r="M201" s="55"/>
      <c r="N201" s="55"/>
      <c r="O201" s="55"/>
      <c r="P201" s="55"/>
    </row>
    <row r="202" spans="1:16" ht="18.95" customHeight="1">
      <c r="A202" s="55"/>
      <c r="B202" s="55"/>
      <c r="C202" s="55"/>
      <c r="D202" s="55"/>
      <c r="E202" s="55"/>
      <c r="F202" s="55"/>
      <c r="G202" s="55"/>
      <c r="H202" s="55"/>
      <c r="I202" s="55"/>
      <c r="J202" s="55"/>
      <c r="K202" s="55"/>
      <c r="L202" s="48"/>
      <c r="M202" s="55"/>
      <c r="N202" s="55"/>
      <c r="O202" s="55"/>
      <c r="P202" s="55"/>
    </row>
    <row r="203" spans="1:16" ht="18.95" customHeight="1">
      <c r="A203" s="55"/>
      <c r="B203" s="55"/>
      <c r="C203" s="55"/>
      <c r="D203" s="55"/>
      <c r="E203" s="55"/>
      <c r="F203" s="55"/>
      <c r="G203" s="55"/>
      <c r="H203" s="55"/>
      <c r="I203" s="55"/>
      <c r="J203" s="55"/>
      <c r="K203" s="55"/>
      <c r="L203" s="48"/>
      <c r="M203" s="55"/>
      <c r="N203" s="55"/>
      <c r="O203" s="55"/>
      <c r="P203" s="55"/>
    </row>
    <row r="204" spans="1:16" ht="18.95" customHeight="1">
      <c r="A204" s="55"/>
      <c r="B204" s="55"/>
      <c r="C204" s="55"/>
      <c r="D204" s="55"/>
      <c r="E204" s="55"/>
      <c r="F204" s="55"/>
      <c r="G204" s="55"/>
      <c r="H204" s="55"/>
      <c r="I204" s="55"/>
      <c r="J204" s="55"/>
      <c r="K204" s="55"/>
      <c r="L204" s="48"/>
      <c r="M204" s="55"/>
      <c r="N204" s="55"/>
      <c r="O204" s="55"/>
      <c r="P204" s="55"/>
    </row>
    <row r="205" spans="1:16" ht="18.95" customHeight="1">
      <c r="A205" s="55"/>
      <c r="B205" s="55"/>
      <c r="C205" s="55"/>
      <c r="D205" s="55"/>
      <c r="E205" s="55"/>
      <c r="F205" s="55"/>
      <c r="G205" s="55"/>
      <c r="H205" s="55"/>
      <c r="I205" s="55"/>
      <c r="J205" s="55"/>
      <c r="K205" s="55"/>
      <c r="L205" s="48"/>
      <c r="M205" s="55"/>
      <c r="N205" s="55"/>
      <c r="O205" s="55"/>
      <c r="P205" s="55"/>
    </row>
    <row r="206" spans="1:16" ht="18.95" customHeight="1">
      <c r="A206" s="55"/>
      <c r="B206" s="55"/>
      <c r="C206" s="55"/>
      <c r="D206" s="55"/>
      <c r="E206" s="55"/>
      <c r="F206" s="55"/>
      <c r="G206" s="55"/>
      <c r="H206" s="55"/>
      <c r="I206" s="55"/>
      <c r="J206" s="55"/>
      <c r="K206" s="55"/>
      <c r="L206" s="48"/>
      <c r="M206" s="55"/>
      <c r="N206" s="55"/>
      <c r="O206" s="55"/>
      <c r="P206" s="55"/>
    </row>
    <row r="207" spans="1:16" ht="18.95" customHeight="1">
      <c r="A207" s="55"/>
      <c r="B207" s="55"/>
      <c r="C207" s="55"/>
      <c r="D207" s="55"/>
      <c r="E207" s="55"/>
      <c r="F207" s="55"/>
      <c r="G207" s="55"/>
      <c r="H207" s="55"/>
      <c r="I207" s="55"/>
      <c r="J207" s="55"/>
      <c r="K207" s="55"/>
      <c r="L207" s="48"/>
      <c r="M207" s="55"/>
      <c r="N207" s="55"/>
      <c r="O207" s="55"/>
      <c r="P207" s="55"/>
    </row>
    <row r="208" spans="1:16" s="2" customFormat="1" ht="18.95" customHeight="1">
      <c r="A208" s="55"/>
      <c r="B208" s="55"/>
      <c r="C208" s="55"/>
      <c r="D208" s="55"/>
      <c r="E208" s="55"/>
      <c r="F208" s="55"/>
      <c r="G208" s="55"/>
      <c r="H208" s="55"/>
      <c r="I208" s="55"/>
      <c r="J208" s="55"/>
      <c r="K208" s="55"/>
      <c r="L208" s="55"/>
      <c r="M208" s="55"/>
      <c r="N208" s="55"/>
      <c r="O208" s="55"/>
      <c r="P208" s="55"/>
    </row>
    <row r="209" spans="1:16" s="2" customFormat="1" ht="18.95" customHeight="1">
      <c r="A209" s="55"/>
      <c r="B209" s="55"/>
      <c r="C209" s="55"/>
      <c r="D209" s="55"/>
      <c r="E209" s="55"/>
      <c r="F209" s="55"/>
      <c r="G209" s="55"/>
      <c r="H209" s="55"/>
      <c r="I209" s="55"/>
      <c r="J209" s="55"/>
      <c r="K209" s="55"/>
      <c r="L209" s="55"/>
      <c r="M209" s="55"/>
      <c r="N209" s="55"/>
      <c r="O209" s="55"/>
      <c r="P209" s="55"/>
    </row>
    <row r="210" spans="1:16" s="2" customFormat="1" ht="18.95" customHeight="1">
      <c r="A210" s="55"/>
      <c r="B210" s="55"/>
      <c r="C210" s="55"/>
      <c r="D210" s="55"/>
      <c r="E210" s="55"/>
      <c r="F210" s="55"/>
      <c r="G210" s="55"/>
      <c r="H210" s="55"/>
      <c r="I210" s="55"/>
      <c r="J210" s="55"/>
      <c r="K210" s="55"/>
      <c r="L210" s="55"/>
      <c r="M210" s="55"/>
      <c r="N210" s="55"/>
      <c r="O210" s="55"/>
      <c r="P210" s="55"/>
    </row>
    <row r="211" spans="1:16" s="2" customFormat="1" ht="18.95" customHeight="1">
      <c r="A211" s="55"/>
      <c r="B211" s="55"/>
      <c r="C211" s="55"/>
      <c r="D211" s="55"/>
      <c r="E211" s="55"/>
      <c r="F211" s="55"/>
      <c r="G211" s="55"/>
      <c r="H211" s="55"/>
      <c r="I211" s="55"/>
      <c r="J211" s="55"/>
      <c r="K211" s="55"/>
      <c r="L211" s="55"/>
      <c r="M211" s="55"/>
      <c r="N211" s="55"/>
      <c r="O211" s="55"/>
      <c r="P211" s="55"/>
    </row>
    <row r="212" spans="1:16" s="2" customFormat="1" ht="18.95" customHeight="1">
      <c r="A212" s="55"/>
      <c r="B212" s="55"/>
      <c r="C212" s="55"/>
      <c r="D212" s="55"/>
      <c r="E212" s="55"/>
      <c r="F212" s="55"/>
      <c r="G212" s="55"/>
      <c r="H212" s="55"/>
      <c r="I212" s="55"/>
      <c r="J212" s="55"/>
      <c r="K212" s="55"/>
      <c r="L212" s="55"/>
      <c r="M212" s="55"/>
      <c r="N212" s="55"/>
      <c r="O212" s="55"/>
      <c r="P212" s="55"/>
    </row>
    <row r="213" spans="1:16" s="2" customFormat="1" ht="18.95" customHeight="1">
      <c r="A213" s="55"/>
      <c r="B213" s="55"/>
      <c r="C213" s="55"/>
      <c r="D213" s="55"/>
      <c r="E213" s="55"/>
      <c r="F213" s="55"/>
      <c r="G213" s="55"/>
      <c r="H213" s="55"/>
      <c r="I213" s="55"/>
      <c r="J213" s="55"/>
      <c r="K213" s="55"/>
      <c r="L213" s="55"/>
      <c r="M213" s="55"/>
      <c r="N213" s="55"/>
      <c r="O213" s="55"/>
      <c r="P213" s="55"/>
    </row>
    <row r="214" spans="1:16" s="2" customFormat="1" ht="18.95" customHeight="1">
      <c r="A214" s="55"/>
      <c r="B214" s="55"/>
      <c r="C214" s="55"/>
      <c r="D214" s="55"/>
      <c r="E214" s="55"/>
      <c r="F214" s="55"/>
      <c r="G214" s="55"/>
      <c r="H214" s="55"/>
      <c r="I214" s="55"/>
      <c r="J214" s="55"/>
      <c r="K214" s="55"/>
      <c r="L214" s="55"/>
      <c r="M214" s="55"/>
      <c r="N214" s="55"/>
      <c r="O214" s="55"/>
      <c r="P214" s="55"/>
    </row>
    <row r="215" spans="1:16" s="2" customFormat="1" ht="18.95" customHeight="1">
      <c r="A215" s="55"/>
      <c r="B215" s="55"/>
      <c r="C215" s="55"/>
      <c r="D215" s="55"/>
      <c r="E215" s="55"/>
      <c r="F215" s="55"/>
      <c r="G215" s="55"/>
      <c r="H215" s="55"/>
      <c r="I215" s="55"/>
      <c r="J215" s="55"/>
      <c r="K215" s="55"/>
      <c r="L215" s="55"/>
      <c r="M215" s="55"/>
      <c r="N215" s="55"/>
      <c r="O215" s="55"/>
      <c r="P215" s="55"/>
    </row>
    <row r="216" spans="1:16" ht="18.95" customHeight="1">
      <c r="A216" s="55"/>
      <c r="B216" s="55"/>
      <c r="C216" s="55"/>
      <c r="D216" s="55"/>
      <c r="E216" s="55"/>
      <c r="F216" s="55"/>
      <c r="G216" s="55"/>
      <c r="H216" s="55"/>
      <c r="I216" s="55"/>
      <c r="J216" s="55"/>
      <c r="K216" s="55"/>
      <c r="L216" s="48"/>
      <c r="M216" s="55"/>
      <c r="N216" s="55"/>
      <c r="O216" s="55"/>
      <c r="P216" s="55"/>
    </row>
    <row r="217" spans="1:16" ht="18.95" customHeight="1">
      <c r="A217" s="55"/>
      <c r="B217" s="55"/>
      <c r="C217" s="55"/>
      <c r="D217" s="55"/>
      <c r="E217" s="55"/>
      <c r="F217" s="55"/>
      <c r="G217" s="55"/>
      <c r="H217" s="55"/>
      <c r="I217" s="55"/>
      <c r="J217" s="55"/>
      <c r="K217" s="55"/>
      <c r="L217" s="48"/>
      <c r="M217" s="55"/>
      <c r="N217" s="55"/>
      <c r="O217" s="55"/>
      <c r="P217" s="55"/>
    </row>
    <row r="218" spans="1:16" ht="18.95" customHeight="1">
      <c r="A218" s="55"/>
      <c r="B218" s="55"/>
      <c r="C218" s="55"/>
      <c r="D218" s="55"/>
      <c r="E218" s="55"/>
      <c r="F218" s="55"/>
      <c r="G218" s="55"/>
      <c r="H218" s="55"/>
      <c r="I218" s="55"/>
      <c r="J218" s="55"/>
      <c r="K218" s="55"/>
      <c r="L218" s="48"/>
      <c r="M218" s="55"/>
      <c r="N218" s="55"/>
      <c r="O218" s="55"/>
      <c r="P218" s="55"/>
    </row>
    <row r="219" spans="1:16" ht="18.95" customHeight="1">
      <c r="A219" s="55"/>
      <c r="B219" s="55"/>
      <c r="C219" s="55"/>
      <c r="D219" s="55"/>
      <c r="E219" s="55"/>
      <c r="F219" s="55"/>
      <c r="G219" s="55"/>
      <c r="H219" s="55"/>
      <c r="I219" s="55"/>
      <c r="J219" s="55"/>
      <c r="K219" s="55"/>
      <c r="L219" s="48"/>
      <c r="M219" s="55"/>
      <c r="N219" s="55"/>
      <c r="O219" s="55"/>
      <c r="P219" s="55"/>
    </row>
    <row r="220" spans="1:16" ht="18.95" customHeight="1">
      <c r="A220" s="55"/>
      <c r="B220" s="55"/>
      <c r="C220" s="55"/>
      <c r="D220" s="55"/>
      <c r="E220" s="55"/>
      <c r="F220" s="55"/>
      <c r="G220" s="55"/>
      <c r="H220" s="55"/>
      <c r="I220" s="55"/>
      <c r="J220" s="55"/>
      <c r="K220" s="55"/>
      <c r="L220" s="48"/>
      <c r="M220" s="55"/>
      <c r="N220" s="55"/>
      <c r="O220" s="55"/>
      <c r="P220" s="55"/>
    </row>
    <row r="221" spans="1:16" ht="18.95" customHeight="1">
      <c r="A221" s="55"/>
      <c r="B221" s="55"/>
      <c r="C221" s="55"/>
      <c r="D221" s="55"/>
      <c r="E221" s="55"/>
      <c r="F221" s="55"/>
      <c r="G221" s="55"/>
      <c r="H221" s="55"/>
      <c r="I221" s="55"/>
      <c r="J221" s="55"/>
      <c r="K221" s="55"/>
      <c r="L221" s="48"/>
      <c r="M221" s="55"/>
      <c r="N221" s="55"/>
      <c r="O221" s="55"/>
      <c r="P221" s="55"/>
    </row>
    <row r="222" spans="1:16" ht="18.95" customHeight="1">
      <c r="A222" s="55"/>
      <c r="B222" s="55"/>
      <c r="C222" s="55"/>
      <c r="D222" s="55"/>
      <c r="E222" s="55"/>
      <c r="F222" s="55"/>
      <c r="G222" s="55"/>
      <c r="H222" s="55"/>
      <c r="I222" s="55"/>
      <c r="J222" s="55"/>
      <c r="K222" s="55"/>
      <c r="L222" s="48"/>
      <c r="M222" s="55"/>
      <c r="N222" s="55"/>
      <c r="O222" s="55"/>
      <c r="P222" s="55"/>
    </row>
    <row r="223" spans="1:16" ht="18.95" customHeight="1">
      <c r="A223" s="55"/>
      <c r="B223" s="55"/>
      <c r="C223" s="55"/>
      <c r="D223" s="55"/>
      <c r="E223" s="55"/>
      <c r="F223" s="55"/>
      <c r="G223" s="55"/>
      <c r="H223" s="55"/>
      <c r="I223" s="55"/>
      <c r="J223" s="55"/>
      <c r="K223" s="55"/>
      <c r="L223" s="48"/>
      <c r="M223" s="55"/>
      <c r="N223" s="55"/>
      <c r="O223" s="55"/>
      <c r="P223" s="55"/>
    </row>
    <row r="224" spans="1:16" ht="18.95" customHeight="1">
      <c r="A224" s="55"/>
      <c r="B224" s="55"/>
      <c r="C224" s="55"/>
      <c r="D224" s="55"/>
      <c r="E224" s="55"/>
      <c r="F224" s="55"/>
      <c r="G224" s="55"/>
      <c r="H224" s="55"/>
      <c r="I224" s="55"/>
      <c r="J224" s="55"/>
      <c r="K224" s="55"/>
      <c r="L224" s="48"/>
      <c r="M224" s="55"/>
      <c r="N224" s="55"/>
      <c r="O224" s="55"/>
      <c r="P224" s="55"/>
    </row>
    <row r="225" spans="1:16" s="2" customFormat="1" ht="18.95" customHeight="1">
      <c r="A225" s="55"/>
      <c r="B225" s="55"/>
      <c r="C225" s="55"/>
      <c r="D225" s="55"/>
      <c r="E225" s="55"/>
      <c r="F225" s="55"/>
      <c r="G225" s="55"/>
      <c r="H225" s="55"/>
      <c r="I225" s="55"/>
      <c r="J225" s="55"/>
      <c r="K225" s="55"/>
      <c r="L225" s="55"/>
      <c r="M225" s="55"/>
      <c r="N225" s="55"/>
      <c r="O225" s="55"/>
      <c r="P225" s="55"/>
    </row>
    <row r="226" spans="1:16" ht="18.95" customHeight="1">
      <c r="A226" s="55"/>
      <c r="B226" s="55"/>
      <c r="C226" s="55"/>
      <c r="D226" s="55"/>
      <c r="E226" s="55"/>
      <c r="F226" s="55"/>
      <c r="G226" s="55"/>
      <c r="H226" s="55"/>
      <c r="I226" s="55"/>
      <c r="J226" s="55"/>
      <c r="K226" s="55"/>
      <c r="L226" s="48"/>
      <c r="M226" s="55"/>
      <c r="N226" s="55"/>
      <c r="O226" s="55"/>
      <c r="P226" s="55"/>
    </row>
    <row r="227" spans="1:16" ht="18.95" customHeight="1">
      <c r="A227" s="55"/>
      <c r="B227" s="55"/>
      <c r="C227" s="55"/>
      <c r="D227" s="55"/>
      <c r="E227" s="55"/>
      <c r="F227" s="55"/>
      <c r="G227" s="55"/>
      <c r="H227" s="55"/>
      <c r="I227" s="55"/>
      <c r="J227" s="55"/>
      <c r="K227" s="55"/>
      <c r="L227" s="48"/>
      <c r="M227" s="55"/>
      <c r="N227" s="55"/>
      <c r="O227" s="55"/>
      <c r="P227" s="55"/>
    </row>
    <row r="228" spans="1:16" ht="18.95" customHeight="1">
      <c r="A228" s="55"/>
      <c r="B228" s="55"/>
      <c r="C228" s="55"/>
      <c r="D228" s="55"/>
      <c r="E228" s="55"/>
      <c r="F228" s="55"/>
      <c r="G228" s="55"/>
      <c r="H228" s="55"/>
      <c r="I228" s="55"/>
      <c r="J228" s="55"/>
      <c r="K228" s="55"/>
      <c r="L228" s="48"/>
      <c r="M228" s="55"/>
      <c r="N228" s="55"/>
      <c r="O228" s="55"/>
      <c r="P228" s="55"/>
    </row>
    <row r="229" spans="1:16" ht="18.95" customHeight="1">
      <c r="A229" s="55"/>
      <c r="B229" s="55"/>
      <c r="C229" s="55"/>
      <c r="D229" s="55"/>
      <c r="E229" s="55"/>
      <c r="F229" s="55"/>
      <c r="G229" s="55"/>
      <c r="H229" s="55"/>
      <c r="I229" s="55"/>
      <c r="J229" s="55"/>
      <c r="K229" s="55"/>
      <c r="L229" s="48"/>
      <c r="M229" s="55"/>
      <c r="N229" s="55"/>
      <c r="O229" s="55"/>
      <c r="P229" s="55"/>
    </row>
    <row r="230" spans="1:16" ht="18.95" customHeight="1">
      <c r="A230" s="55"/>
      <c r="B230" s="55"/>
      <c r="C230" s="55"/>
      <c r="D230" s="55"/>
      <c r="E230" s="55"/>
      <c r="F230" s="55"/>
      <c r="G230" s="55"/>
      <c r="H230" s="55"/>
      <c r="I230" s="55"/>
      <c r="J230" s="55"/>
      <c r="K230" s="55"/>
      <c r="L230" s="48"/>
      <c r="M230" s="55"/>
      <c r="N230" s="55"/>
      <c r="O230" s="55"/>
      <c r="P230" s="55"/>
    </row>
    <row r="231" spans="1:16" ht="18.95" customHeight="1">
      <c r="A231" s="55"/>
      <c r="B231" s="55"/>
      <c r="C231" s="55"/>
      <c r="D231" s="55"/>
      <c r="E231" s="55"/>
      <c r="F231" s="55"/>
      <c r="G231" s="55"/>
      <c r="H231" s="55"/>
      <c r="I231" s="55"/>
      <c r="J231" s="55"/>
      <c r="K231" s="55"/>
      <c r="L231" s="48"/>
      <c r="M231" s="55"/>
      <c r="N231" s="55"/>
      <c r="O231" s="55"/>
      <c r="P231" s="55"/>
    </row>
    <row r="232" spans="1:16" ht="18.95" customHeight="1">
      <c r="A232" s="55"/>
      <c r="B232" s="55"/>
      <c r="C232" s="55"/>
      <c r="D232" s="55"/>
      <c r="E232" s="55"/>
      <c r="F232" s="55"/>
      <c r="G232" s="55"/>
      <c r="H232" s="55"/>
      <c r="I232" s="55"/>
      <c r="J232" s="55"/>
      <c r="K232" s="55"/>
      <c r="L232" s="48"/>
      <c r="M232" s="55"/>
      <c r="N232" s="55"/>
      <c r="O232" s="55"/>
      <c r="P232" s="55"/>
    </row>
    <row r="233" spans="1:16" ht="18.95" customHeight="1">
      <c r="A233" s="55"/>
      <c r="B233" s="55"/>
      <c r="C233" s="55"/>
      <c r="D233" s="55"/>
      <c r="E233" s="55"/>
      <c r="F233" s="55"/>
      <c r="G233" s="55"/>
      <c r="H233" s="55"/>
      <c r="I233" s="55"/>
      <c r="J233" s="55"/>
      <c r="K233" s="55"/>
      <c r="L233" s="48"/>
      <c r="M233" s="55"/>
      <c r="N233" s="55"/>
      <c r="O233" s="55"/>
      <c r="P233" s="55"/>
    </row>
    <row r="234" spans="1:16" ht="18.95" customHeight="1">
      <c r="A234" s="55"/>
      <c r="B234" s="55"/>
      <c r="C234" s="55"/>
      <c r="D234" s="55"/>
      <c r="E234" s="55"/>
      <c r="F234" s="55"/>
      <c r="G234" s="55"/>
      <c r="H234" s="55"/>
      <c r="I234" s="55"/>
      <c r="J234" s="55"/>
      <c r="K234" s="55"/>
      <c r="L234" s="48"/>
      <c r="M234" s="55"/>
      <c r="N234" s="55"/>
      <c r="O234" s="55"/>
      <c r="P234" s="55"/>
    </row>
    <row r="235" spans="1:16" ht="18.95" customHeight="1">
      <c r="A235" s="55"/>
      <c r="B235" s="55"/>
      <c r="C235" s="55"/>
      <c r="D235" s="55"/>
      <c r="E235" s="55"/>
      <c r="F235" s="55"/>
      <c r="G235" s="55"/>
      <c r="H235" s="55"/>
      <c r="I235" s="55"/>
      <c r="J235" s="55"/>
      <c r="K235" s="55"/>
      <c r="L235" s="48"/>
      <c r="M235" s="55"/>
      <c r="N235" s="55"/>
      <c r="O235" s="55"/>
      <c r="P235" s="55"/>
    </row>
    <row r="236" spans="1:16" ht="18.95" customHeight="1">
      <c r="A236" s="55"/>
      <c r="B236" s="55"/>
      <c r="C236" s="55"/>
      <c r="D236" s="55"/>
      <c r="E236" s="55"/>
      <c r="F236" s="55"/>
      <c r="G236" s="55"/>
      <c r="H236" s="55"/>
      <c r="I236" s="55"/>
      <c r="J236" s="55"/>
      <c r="K236" s="55"/>
      <c r="L236" s="48"/>
      <c r="M236" s="55"/>
      <c r="N236" s="55"/>
      <c r="O236" s="55"/>
      <c r="P236" s="55"/>
    </row>
    <row r="237" spans="1:16" s="2" customFormat="1" ht="18.95" customHeight="1">
      <c r="A237" s="55"/>
      <c r="B237" s="55"/>
      <c r="C237" s="55"/>
      <c r="D237" s="55"/>
      <c r="E237" s="55"/>
      <c r="F237" s="55"/>
      <c r="G237" s="55"/>
      <c r="H237" s="55"/>
      <c r="I237" s="55"/>
      <c r="J237" s="55"/>
      <c r="K237" s="55"/>
      <c r="L237" s="55"/>
      <c r="M237" s="55"/>
      <c r="N237" s="55"/>
      <c r="O237" s="55"/>
      <c r="P237" s="55"/>
    </row>
    <row r="238" spans="1:16" s="2" customFormat="1" ht="18.95" customHeight="1">
      <c r="A238" s="55"/>
      <c r="B238" s="55"/>
      <c r="C238" s="55"/>
      <c r="D238" s="55"/>
      <c r="E238" s="55"/>
      <c r="F238" s="55"/>
      <c r="G238" s="55"/>
      <c r="H238" s="55"/>
      <c r="I238" s="55"/>
      <c r="J238" s="55"/>
      <c r="K238" s="55"/>
      <c r="L238" s="55"/>
      <c r="M238" s="55"/>
      <c r="N238" s="55"/>
      <c r="O238" s="55"/>
      <c r="P238" s="55"/>
    </row>
    <row r="239" spans="1:16" s="2" customFormat="1" ht="18.95" customHeight="1">
      <c r="A239" s="55"/>
      <c r="B239" s="55"/>
      <c r="C239" s="55"/>
      <c r="D239" s="55"/>
      <c r="E239" s="55"/>
      <c r="F239" s="55"/>
      <c r="G239" s="55"/>
      <c r="H239" s="55"/>
      <c r="I239" s="55"/>
      <c r="J239" s="55"/>
      <c r="K239" s="55"/>
      <c r="L239" s="55"/>
      <c r="M239" s="55"/>
      <c r="N239" s="55"/>
      <c r="O239" s="55"/>
      <c r="P239" s="55"/>
    </row>
    <row r="240" spans="1:16" s="2" customFormat="1" ht="18.95" customHeight="1">
      <c r="A240" s="55"/>
      <c r="B240" s="55"/>
      <c r="C240" s="55"/>
      <c r="D240" s="55"/>
      <c r="E240" s="55"/>
      <c r="F240" s="55"/>
      <c r="G240" s="55"/>
      <c r="H240" s="55"/>
      <c r="I240" s="55"/>
      <c r="J240" s="55"/>
      <c r="K240" s="55"/>
      <c r="L240" s="55"/>
      <c r="M240" s="55"/>
      <c r="N240" s="55"/>
      <c r="O240" s="55"/>
      <c r="P240" s="55"/>
    </row>
    <row r="241" spans="1:16" s="2" customFormat="1" ht="18.95" customHeight="1">
      <c r="A241" s="55"/>
      <c r="B241" s="55"/>
      <c r="C241" s="55"/>
      <c r="D241" s="55"/>
      <c r="E241" s="55"/>
      <c r="F241" s="55"/>
      <c r="G241" s="55"/>
      <c r="H241" s="55"/>
      <c r="I241" s="55"/>
      <c r="J241" s="55"/>
      <c r="K241" s="55"/>
      <c r="L241" s="55"/>
      <c r="M241" s="55"/>
      <c r="N241" s="55"/>
      <c r="O241" s="55"/>
      <c r="P241" s="55"/>
    </row>
    <row r="242" spans="1:16" s="2" customFormat="1" ht="18.95" customHeight="1">
      <c r="A242" s="55"/>
      <c r="B242" s="55"/>
      <c r="C242" s="55"/>
      <c r="D242" s="55"/>
      <c r="E242" s="55"/>
      <c r="F242" s="55"/>
      <c r="G242" s="55"/>
      <c r="H242" s="55"/>
      <c r="I242" s="55"/>
      <c r="J242" s="55"/>
      <c r="K242" s="55"/>
      <c r="L242" s="55"/>
      <c r="M242" s="55"/>
      <c r="N242" s="55"/>
      <c r="O242" s="55"/>
      <c r="P242" s="55"/>
    </row>
    <row r="243" spans="1:16" s="2" customFormat="1" ht="18.95" customHeight="1">
      <c r="A243" s="55"/>
      <c r="B243" s="55"/>
      <c r="C243" s="55"/>
      <c r="D243" s="55"/>
      <c r="E243" s="55"/>
      <c r="F243" s="55"/>
      <c r="G243" s="55"/>
      <c r="H243" s="55"/>
      <c r="I243" s="55"/>
      <c r="J243" s="55"/>
      <c r="K243" s="55"/>
      <c r="L243" s="55"/>
      <c r="M243" s="55"/>
      <c r="N243" s="55"/>
      <c r="O243" s="55"/>
      <c r="P243" s="55"/>
    </row>
    <row r="244" spans="1:16" s="2" customFormat="1" ht="18.95" customHeight="1">
      <c r="A244" s="55"/>
      <c r="B244" s="55"/>
      <c r="C244" s="55"/>
      <c r="D244" s="55"/>
      <c r="E244" s="55"/>
      <c r="F244" s="55"/>
      <c r="G244" s="55"/>
      <c r="H244" s="55"/>
      <c r="I244" s="55"/>
      <c r="J244" s="55"/>
      <c r="K244" s="55"/>
      <c r="L244" s="55"/>
      <c r="M244" s="55"/>
      <c r="N244" s="55"/>
      <c r="O244" s="55"/>
      <c r="P244" s="55"/>
    </row>
    <row r="245" spans="1:16" s="2" customFormat="1" ht="18.95" customHeight="1">
      <c r="A245" s="55"/>
      <c r="B245" s="55"/>
      <c r="C245" s="55"/>
      <c r="D245" s="55"/>
      <c r="E245" s="55"/>
      <c r="F245" s="55"/>
      <c r="G245" s="55"/>
      <c r="H245" s="55"/>
      <c r="I245" s="55"/>
      <c r="J245" s="55"/>
      <c r="K245" s="55"/>
      <c r="L245" s="55"/>
      <c r="M245" s="55"/>
      <c r="N245" s="55"/>
      <c r="O245" s="55"/>
      <c r="P245" s="55"/>
    </row>
    <row r="246" spans="1:16" s="2" customFormat="1" ht="18.95" customHeight="1">
      <c r="A246" s="55"/>
      <c r="B246" s="55"/>
      <c r="C246" s="55"/>
      <c r="D246" s="55"/>
      <c r="E246" s="55"/>
      <c r="F246" s="55"/>
      <c r="G246" s="55"/>
      <c r="H246" s="55"/>
      <c r="I246" s="55"/>
      <c r="J246" s="55"/>
      <c r="K246" s="55"/>
      <c r="L246" s="55"/>
      <c r="M246" s="55"/>
      <c r="N246" s="55"/>
      <c r="O246" s="55"/>
      <c r="P246" s="55"/>
    </row>
    <row r="247" spans="1:16" s="2" customFormat="1" ht="18.95" customHeight="1">
      <c r="A247" s="55"/>
      <c r="B247" s="55"/>
      <c r="C247" s="55"/>
      <c r="D247" s="55"/>
      <c r="E247" s="55"/>
      <c r="F247" s="55"/>
      <c r="G247" s="55"/>
      <c r="H247" s="55"/>
      <c r="I247" s="55"/>
      <c r="J247" s="55"/>
      <c r="K247" s="55"/>
      <c r="L247" s="55"/>
      <c r="M247" s="55"/>
      <c r="N247" s="55"/>
      <c r="O247" s="55"/>
      <c r="P247" s="55"/>
    </row>
    <row r="248" spans="1:16" ht="18.95" customHeight="1">
      <c r="A248" s="55"/>
      <c r="B248" s="55"/>
      <c r="C248" s="55"/>
      <c r="D248" s="55"/>
      <c r="E248" s="55"/>
      <c r="F248" s="55"/>
      <c r="G248" s="55"/>
      <c r="H248" s="55"/>
      <c r="I248" s="55"/>
      <c r="J248" s="55"/>
      <c r="K248" s="55"/>
      <c r="L248" s="48"/>
      <c r="M248" s="55"/>
      <c r="N248" s="55"/>
      <c r="O248" s="55"/>
      <c r="P248" s="55"/>
    </row>
    <row r="249" spans="1:16" ht="18.95" customHeight="1">
      <c r="A249" s="55"/>
      <c r="B249" s="55"/>
      <c r="C249" s="55"/>
      <c r="D249" s="55"/>
      <c r="E249" s="55"/>
      <c r="F249" s="55"/>
      <c r="G249" s="55"/>
      <c r="H249" s="55"/>
      <c r="I249" s="55"/>
      <c r="J249" s="55"/>
      <c r="K249" s="55"/>
      <c r="L249" s="48"/>
      <c r="M249" s="55"/>
      <c r="N249" s="55"/>
      <c r="O249" s="55"/>
      <c r="P249" s="55"/>
    </row>
    <row r="250" spans="1:16" ht="18.95" customHeight="1">
      <c r="A250" s="55"/>
      <c r="B250" s="55"/>
      <c r="C250" s="55"/>
      <c r="D250" s="55"/>
      <c r="E250" s="55"/>
      <c r="F250" s="55"/>
      <c r="G250" s="55"/>
      <c r="H250" s="55"/>
      <c r="I250" s="55"/>
      <c r="J250" s="55"/>
      <c r="K250" s="55"/>
      <c r="L250" s="48"/>
      <c r="M250" s="55"/>
      <c r="N250" s="55"/>
      <c r="O250" s="55"/>
      <c r="P250" s="55"/>
    </row>
    <row r="251" spans="1:16" ht="18.95" customHeight="1">
      <c r="A251" s="55"/>
      <c r="B251" s="55"/>
      <c r="C251" s="55"/>
      <c r="D251" s="55"/>
      <c r="E251" s="55"/>
      <c r="F251" s="55"/>
      <c r="G251" s="55"/>
      <c r="H251" s="55"/>
      <c r="I251" s="55"/>
      <c r="J251" s="55"/>
      <c r="K251" s="55"/>
      <c r="L251" s="48"/>
      <c r="M251" s="55"/>
      <c r="N251" s="55"/>
      <c r="O251" s="55"/>
      <c r="P251" s="55"/>
    </row>
    <row r="252" spans="1:16" ht="18.95" customHeight="1">
      <c r="A252" s="55"/>
      <c r="B252" s="55"/>
      <c r="C252" s="55"/>
      <c r="D252" s="55"/>
      <c r="E252" s="55"/>
      <c r="F252" s="55"/>
      <c r="G252" s="55"/>
      <c r="H252" s="55"/>
      <c r="I252" s="55"/>
      <c r="J252" s="55"/>
      <c r="K252" s="55"/>
      <c r="L252" s="48"/>
      <c r="M252" s="55"/>
      <c r="N252" s="55"/>
      <c r="O252" s="55"/>
      <c r="P252" s="55"/>
    </row>
    <row r="253" spans="1:16" ht="18.95" customHeight="1">
      <c r="A253" s="55"/>
      <c r="B253" s="55"/>
      <c r="C253" s="55"/>
      <c r="D253" s="55"/>
      <c r="E253" s="55"/>
      <c r="F253" s="55"/>
      <c r="G253" s="55"/>
      <c r="H253" s="55"/>
      <c r="I253" s="55"/>
      <c r="J253" s="55"/>
      <c r="K253" s="55"/>
      <c r="L253" s="48"/>
      <c r="M253" s="55"/>
      <c r="N253" s="55"/>
      <c r="O253" s="55"/>
      <c r="P253" s="55"/>
    </row>
    <row r="254" spans="1:16" ht="18.95" customHeight="1">
      <c r="A254" s="55"/>
      <c r="B254" s="55"/>
      <c r="C254" s="55"/>
      <c r="D254" s="55"/>
      <c r="E254" s="55"/>
      <c r="F254" s="55"/>
      <c r="G254" s="55"/>
      <c r="H254" s="55"/>
      <c r="I254" s="55"/>
      <c r="J254" s="55"/>
      <c r="K254" s="55"/>
      <c r="L254" s="48"/>
      <c r="M254" s="55"/>
      <c r="N254" s="55"/>
      <c r="O254" s="55"/>
      <c r="P254" s="55"/>
    </row>
    <row r="255" spans="1:16" ht="18.95" customHeight="1">
      <c r="A255" s="55"/>
      <c r="B255" s="55"/>
      <c r="C255" s="55"/>
      <c r="D255" s="55"/>
      <c r="E255" s="55"/>
      <c r="F255" s="55"/>
      <c r="G255" s="55"/>
      <c r="H255" s="55"/>
      <c r="I255" s="55"/>
      <c r="J255" s="55"/>
      <c r="K255" s="55"/>
      <c r="L255" s="48"/>
      <c r="M255" s="55"/>
      <c r="N255" s="55"/>
      <c r="O255" s="55"/>
      <c r="P255" s="55"/>
    </row>
    <row r="256" spans="1:16" ht="18.95" customHeight="1">
      <c r="A256" s="55"/>
      <c r="B256" s="55"/>
      <c r="C256" s="55"/>
      <c r="D256" s="55"/>
      <c r="E256" s="55"/>
      <c r="F256" s="55"/>
      <c r="G256" s="55"/>
      <c r="H256" s="55"/>
      <c r="I256" s="55"/>
      <c r="J256" s="55"/>
      <c r="K256" s="55"/>
      <c r="L256" s="48"/>
      <c r="M256" s="55"/>
      <c r="N256" s="55"/>
      <c r="O256" s="55"/>
      <c r="P256" s="55"/>
    </row>
    <row r="257" spans="1:16" ht="18.95" customHeight="1">
      <c r="A257" s="55"/>
      <c r="B257" s="55"/>
      <c r="C257" s="55"/>
      <c r="D257" s="55"/>
      <c r="E257" s="55"/>
      <c r="F257" s="55"/>
      <c r="G257" s="55"/>
      <c r="H257" s="55"/>
      <c r="I257" s="55"/>
      <c r="J257" s="55"/>
      <c r="K257" s="55"/>
      <c r="L257" s="48"/>
      <c r="M257" s="55"/>
      <c r="N257" s="55"/>
      <c r="O257" s="55"/>
      <c r="P257" s="55"/>
    </row>
    <row r="258" spans="1:16" ht="18.95" customHeight="1">
      <c r="A258" s="55"/>
      <c r="B258" s="55"/>
      <c r="C258" s="55"/>
      <c r="D258" s="55"/>
      <c r="E258" s="55"/>
      <c r="F258" s="55"/>
      <c r="G258" s="55"/>
      <c r="H258" s="55"/>
      <c r="I258" s="55"/>
      <c r="J258" s="55"/>
      <c r="K258" s="55"/>
      <c r="L258" s="48"/>
      <c r="M258" s="55"/>
      <c r="N258" s="55"/>
      <c r="O258" s="55"/>
      <c r="P258" s="55"/>
    </row>
    <row r="259" spans="1:16" ht="18.95" customHeight="1">
      <c r="A259" s="55"/>
      <c r="B259" s="55"/>
      <c r="C259" s="55"/>
      <c r="D259" s="55"/>
      <c r="E259" s="55"/>
      <c r="F259" s="55"/>
      <c r="G259" s="55"/>
      <c r="H259" s="55"/>
      <c r="I259" s="55"/>
      <c r="J259" s="55"/>
      <c r="K259" s="55"/>
      <c r="L259" s="48"/>
      <c r="M259" s="55"/>
      <c r="N259" s="55"/>
      <c r="O259" s="55"/>
      <c r="P259" s="55"/>
    </row>
    <row r="260" spans="1:16" ht="18.95" customHeight="1">
      <c r="A260" s="55"/>
      <c r="B260" s="55"/>
      <c r="C260" s="55"/>
      <c r="D260" s="55"/>
      <c r="E260" s="55"/>
      <c r="F260" s="55"/>
      <c r="G260" s="55"/>
      <c r="H260" s="55"/>
      <c r="I260" s="55"/>
      <c r="J260" s="55"/>
      <c r="K260" s="55"/>
      <c r="L260" s="48"/>
      <c r="M260" s="55"/>
      <c r="N260" s="55"/>
      <c r="O260" s="55"/>
      <c r="P260" s="55"/>
    </row>
    <row r="261" spans="1:16" ht="18.95" customHeight="1">
      <c r="A261" s="55"/>
      <c r="B261" s="55"/>
      <c r="C261" s="55"/>
      <c r="D261" s="55"/>
      <c r="E261" s="55"/>
      <c r="F261" s="55"/>
      <c r="G261" s="55"/>
      <c r="H261" s="55"/>
      <c r="I261" s="55"/>
      <c r="J261" s="55"/>
      <c r="K261" s="55"/>
      <c r="L261" s="48"/>
      <c r="M261" s="55"/>
      <c r="N261" s="55"/>
      <c r="O261" s="55"/>
      <c r="P261" s="55"/>
    </row>
    <row r="262" spans="1:16" ht="18.95" customHeight="1">
      <c r="A262" s="55"/>
      <c r="B262" s="55"/>
      <c r="C262" s="55"/>
      <c r="D262" s="55"/>
      <c r="E262" s="55"/>
      <c r="F262" s="55"/>
      <c r="G262" s="55"/>
      <c r="H262" s="55"/>
      <c r="I262" s="55"/>
      <c r="J262" s="55"/>
      <c r="K262" s="55"/>
      <c r="L262" s="48"/>
      <c r="M262" s="55"/>
      <c r="N262" s="55"/>
      <c r="O262" s="55"/>
      <c r="P262" s="55"/>
    </row>
    <row r="263" spans="1:16" ht="18.95" customHeight="1">
      <c r="A263" s="55"/>
      <c r="B263" s="55"/>
      <c r="C263" s="55"/>
      <c r="D263" s="55"/>
      <c r="E263" s="55"/>
      <c r="F263" s="55"/>
      <c r="G263" s="55"/>
      <c r="H263" s="55"/>
      <c r="I263" s="55"/>
      <c r="J263" s="55"/>
      <c r="K263" s="55"/>
      <c r="L263" s="48"/>
      <c r="M263" s="55"/>
      <c r="N263" s="55"/>
      <c r="O263" s="55"/>
      <c r="P263" s="55"/>
    </row>
    <row r="264" spans="1:16" ht="18.95" customHeight="1">
      <c r="A264" s="55"/>
      <c r="B264" s="55"/>
      <c r="C264" s="55"/>
      <c r="D264" s="55"/>
      <c r="E264" s="55"/>
      <c r="F264" s="55"/>
      <c r="G264" s="55"/>
      <c r="H264" s="55"/>
      <c r="I264" s="55"/>
      <c r="J264" s="55"/>
      <c r="K264" s="55"/>
      <c r="L264" s="48"/>
      <c r="M264" s="55"/>
      <c r="N264" s="55"/>
      <c r="O264" s="55"/>
      <c r="P264" s="55"/>
    </row>
    <row r="265" spans="1:16" ht="18.95" customHeight="1">
      <c r="A265" s="55"/>
      <c r="B265" s="55"/>
      <c r="C265" s="55"/>
      <c r="D265" s="55"/>
      <c r="E265" s="55"/>
      <c r="F265" s="55"/>
      <c r="G265" s="55"/>
      <c r="H265" s="55"/>
      <c r="I265" s="55"/>
      <c r="J265" s="55"/>
      <c r="K265" s="55"/>
      <c r="L265" s="48"/>
      <c r="M265" s="55"/>
      <c r="N265" s="55"/>
      <c r="O265" s="55"/>
      <c r="P265" s="55"/>
    </row>
    <row r="266" spans="1:16" ht="18.95" customHeight="1">
      <c r="A266" s="55"/>
      <c r="B266" s="55"/>
      <c r="C266" s="55"/>
      <c r="D266" s="55"/>
      <c r="E266" s="55"/>
      <c r="F266" s="55"/>
      <c r="G266" s="55"/>
      <c r="H266" s="55"/>
      <c r="I266" s="55"/>
      <c r="J266" s="55"/>
      <c r="K266" s="55"/>
      <c r="L266" s="48"/>
      <c r="M266" s="55"/>
      <c r="N266" s="55"/>
      <c r="O266" s="55"/>
      <c r="P266" s="55"/>
    </row>
    <row r="267" spans="1:16" ht="18.95" customHeight="1">
      <c r="A267" s="55"/>
      <c r="B267" s="55"/>
      <c r="C267" s="55"/>
      <c r="D267" s="55"/>
      <c r="E267" s="55"/>
      <c r="F267" s="55"/>
      <c r="G267" s="55"/>
      <c r="H267" s="55"/>
      <c r="I267" s="55"/>
      <c r="J267" s="55"/>
      <c r="K267" s="55"/>
      <c r="L267" s="48"/>
      <c r="M267" s="55"/>
      <c r="N267" s="55"/>
      <c r="O267" s="55"/>
      <c r="P267" s="55"/>
    </row>
    <row r="268" spans="1:16" ht="18.95" customHeight="1">
      <c r="A268" s="55"/>
      <c r="B268" s="55"/>
      <c r="C268" s="55"/>
      <c r="D268" s="55"/>
      <c r="E268" s="55"/>
      <c r="F268" s="55"/>
      <c r="G268" s="55"/>
      <c r="H268" s="55"/>
      <c r="I268" s="55"/>
      <c r="J268" s="55"/>
      <c r="K268" s="55"/>
      <c r="L268" s="48"/>
      <c r="M268" s="55"/>
      <c r="N268" s="55"/>
      <c r="O268" s="55"/>
      <c r="P268" s="55"/>
    </row>
    <row r="269" spans="1:16" s="2" customFormat="1" ht="18.95" customHeight="1">
      <c r="A269" s="55"/>
      <c r="B269" s="55"/>
      <c r="C269" s="55"/>
      <c r="D269" s="55"/>
      <c r="E269" s="55"/>
      <c r="F269" s="55"/>
      <c r="G269" s="55"/>
      <c r="H269" s="55"/>
      <c r="I269" s="55"/>
      <c r="J269" s="55"/>
      <c r="K269" s="55"/>
      <c r="L269" s="55"/>
      <c r="M269" s="55"/>
      <c r="N269" s="55"/>
      <c r="O269" s="55"/>
      <c r="P269" s="55"/>
    </row>
    <row r="270" spans="1:16" s="2" customFormat="1" ht="18.95" customHeight="1">
      <c r="A270" s="55"/>
      <c r="B270" s="55"/>
      <c r="C270" s="55"/>
      <c r="D270" s="55"/>
      <c r="E270" s="55"/>
      <c r="F270" s="55"/>
      <c r="G270" s="55"/>
      <c r="H270" s="55"/>
      <c r="I270" s="55"/>
      <c r="J270" s="55"/>
      <c r="K270" s="55"/>
      <c r="L270" s="55"/>
      <c r="M270" s="55"/>
      <c r="N270" s="55"/>
      <c r="O270" s="55"/>
      <c r="P270" s="55"/>
    </row>
    <row r="271" spans="1:16" s="2" customFormat="1" ht="18.95" customHeight="1">
      <c r="A271" s="55"/>
      <c r="B271" s="55"/>
      <c r="C271" s="55"/>
      <c r="D271" s="55"/>
      <c r="E271" s="55"/>
      <c r="F271" s="55"/>
      <c r="G271" s="55"/>
      <c r="H271" s="55"/>
      <c r="I271" s="55"/>
      <c r="J271" s="55"/>
      <c r="K271" s="55"/>
      <c r="L271" s="55"/>
      <c r="M271" s="55"/>
      <c r="N271" s="55"/>
      <c r="O271" s="55"/>
      <c r="P271" s="55"/>
    </row>
    <row r="272" spans="1:16" s="2" customFormat="1" ht="18.95" customHeight="1">
      <c r="A272" s="55"/>
      <c r="B272" s="55"/>
      <c r="C272" s="55"/>
      <c r="D272" s="55"/>
      <c r="E272" s="55"/>
      <c r="F272" s="55"/>
      <c r="G272" s="55"/>
      <c r="H272" s="55"/>
      <c r="I272" s="55"/>
      <c r="J272" s="55"/>
      <c r="K272" s="55"/>
      <c r="L272" s="55"/>
      <c r="M272" s="55"/>
      <c r="N272" s="55"/>
      <c r="O272" s="55"/>
      <c r="P272" s="55"/>
    </row>
    <row r="273" spans="1:16" s="2" customFormat="1" ht="18.95" customHeight="1">
      <c r="A273" s="55"/>
      <c r="B273" s="55"/>
      <c r="C273" s="55"/>
      <c r="D273" s="55"/>
      <c r="E273" s="55"/>
      <c r="F273" s="55"/>
      <c r="G273" s="55"/>
      <c r="H273" s="55"/>
      <c r="I273" s="55"/>
      <c r="J273" s="55"/>
      <c r="K273" s="55"/>
      <c r="L273" s="55"/>
      <c r="M273" s="55"/>
      <c r="N273" s="55"/>
      <c r="O273" s="55"/>
      <c r="P273" s="55"/>
    </row>
    <row r="274" spans="1:16" s="2" customFormat="1" ht="18.95" customHeight="1">
      <c r="A274" s="55"/>
      <c r="B274" s="55"/>
      <c r="C274" s="55"/>
      <c r="D274" s="55"/>
      <c r="E274" s="55"/>
      <c r="F274" s="55"/>
      <c r="G274" s="55"/>
      <c r="H274" s="55"/>
      <c r="I274" s="55"/>
      <c r="J274" s="55"/>
      <c r="K274" s="55"/>
      <c r="L274" s="55"/>
      <c r="M274" s="55"/>
      <c r="N274" s="55"/>
      <c r="O274" s="55"/>
      <c r="P274" s="55"/>
    </row>
    <row r="275" spans="1:16" ht="18.95" customHeight="1">
      <c r="A275" s="55"/>
      <c r="B275" s="55"/>
      <c r="C275" s="55"/>
      <c r="D275" s="55"/>
      <c r="E275" s="55"/>
      <c r="F275" s="55"/>
      <c r="G275" s="55"/>
      <c r="H275" s="55"/>
      <c r="I275" s="55"/>
      <c r="J275" s="55"/>
      <c r="K275" s="55"/>
      <c r="L275" s="48"/>
      <c r="M275" s="55"/>
      <c r="N275" s="55"/>
      <c r="O275" s="55"/>
      <c r="P275" s="55"/>
    </row>
    <row r="276" spans="1:16" ht="18.95" customHeight="1">
      <c r="A276" s="55"/>
      <c r="B276" s="55"/>
      <c r="C276" s="55"/>
      <c r="D276" s="55"/>
      <c r="E276" s="55"/>
      <c r="F276" s="55"/>
      <c r="G276" s="55"/>
      <c r="H276" s="55"/>
      <c r="I276" s="55"/>
      <c r="J276" s="55"/>
      <c r="K276" s="55"/>
      <c r="L276" s="48"/>
      <c r="M276" s="55"/>
      <c r="N276" s="55"/>
      <c r="O276" s="55"/>
      <c r="P276" s="55"/>
    </row>
    <row r="277" spans="1:16" ht="18.95" customHeight="1">
      <c r="A277" s="55"/>
      <c r="B277" s="55"/>
      <c r="C277" s="55"/>
      <c r="D277" s="55"/>
      <c r="E277" s="55"/>
      <c r="F277" s="55"/>
      <c r="G277" s="55"/>
      <c r="H277" s="55"/>
      <c r="I277" s="55"/>
      <c r="J277" s="55"/>
      <c r="K277" s="55"/>
      <c r="L277" s="48"/>
      <c r="M277" s="55"/>
      <c r="N277" s="55"/>
      <c r="O277" s="55"/>
      <c r="P277" s="55"/>
    </row>
    <row r="278" spans="1:16" ht="18.95" customHeight="1">
      <c r="A278" s="55"/>
      <c r="B278" s="55"/>
      <c r="C278" s="55"/>
      <c r="D278" s="55"/>
      <c r="E278" s="55"/>
      <c r="F278" s="55"/>
      <c r="G278" s="55"/>
      <c r="H278" s="55"/>
      <c r="I278" s="55"/>
      <c r="J278" s="55"/>
      <c r="K278" s="55"/>
      <c r="L278" s="48"/>
      <c r="M278" s="55"/>
      <c r="N278" s="55"/>
      <c r="O278" s="55"/>
      <c r="P278" s="55"/>
    </row>
    <row r="279" spans="1:16" ht="18.95" customHeight="1">
      <c r="A279" s="55"/>
      <c r="B279" s="55"/>
      <c r="C279" s="55"/>
      <c r="D279" s="55"/>
      <c r="E279" s="55"/>
      <c r="F279" s="55"/>
      <c r="G279" s="55"/>
      <c r="H279" s="55"/>
      <c r="I279" s="55"/>
      <c r="J279" s="55"/>
      <c r="K279" s="55"/>
      <c r="L279" s="48"/>
      <c r="M279" s="55"/>
      <c r="N279" s="55"/>
      <c r="O279" s="55"/>
      <c r="P279" s="55"/>
    </row>
    <row r="280" spans="1:16" ht="18.95" customHeight="1">
      <c r="A280" s="55"/>
      <c r="B280" s="55"/>
      <c r="C280" s="55"/>
      <c r="D280" s="55"/>
      <c r="E280" s="55"/>
      <c r="F280" s="55"/>
      <c r="G280" s="55"/>
      <c r="H280" s="55"/>
      <c r="I280" s="55"/>
      <c r="J280" s="55"/>
      <c r="K280" s="55"/>
      <c r="L280" s="48"/>
      <c r="M280" s="55"/>
      <c r="N280" s="55"/>
      <c r="O280" s="55"/>
      <c r="P280" s="55"/>
    </row>
    <row r="281" spans="1:16" ht="18.95" customHeight="1">
      <c r="A281" s="55"/>
      <c r="B281" s="55"/>
      <c r="C281" s="55"/>
      <c r="D281" s="55"/>
      <c r="E281" s="55"/>
      <c r="F281" s="55"/>
      <c r="G281" s="55"/>
      <c r="H281" s="55"/>
      <c r="I281" s="55"/>
      <c r="J281" s="55"/>
      <c r="K281" s="55"/>
      <c r="L281" s="48"/>
      <c r="M281" s="55"/>
      <c r="N281" s="55"/>
      <c r="O281" s="55"/>
      <c r="P281" s="55"/>
    </row>
    <row r="282" spans="1:16" ht="18.95" customHeight="1">
      <c r="A282" s="55"/>
      <c r="B282" s="55"/>
      <c r="C282" s="55"/>
      <c r="D282" s="55"/>
      <c r="E282" s="55"/>
      <c r="F282" s="55"/>
      <c r="G282" s="55"/>
      <c r="H282" s="55"/>
      <c r="I282" s="55"/>
      <c r="J282" s="55"/>
      <c r="K282" s="55"/>
      <c r="L282" s="48"/>
      <c r="M282" s="55"/>
      <c r="N282" s="55"/>
      <c r="O282" s="55"/>
      <c r="P282" s="55"/>
    </row>
    <row r="283" spans="1:16" ht="18.95" customHeight="1">
      <c r="A283" s="55"/>
      <c r="B283" s="55"/>
      <c r="C283" s="55"/>
      <c r="D283" s="55"/>
      <c r="E283" s="55"/>
      <c r="F283" s="55"/>
      <c r="G283" s="55"/>
      <c r="H283" s="55"/>
      <c r="I283" s="55"/>
      <c r="J283" s="55"/>
      <c r="K283" s="55"/>
      <c r="L283" s="48"/>
      <c r="M283" s="55"/>
      <c r="N283" s="55"/>
      <c r="O283" s="55"/>
      <c r="P283" s="55"/>
    </row>
    <row r="284" spans="1:16" ht="18.95" customHeight="1">
      <c r="A284" s="55"/>
      <c r="B284" s="55"/>
      <c r="C284" s="55"/>
      <c r="D284" s="55"/>
      <c r="E284" s="55"/>
      <c r="F284" s="55"/>
      <c r="G284" s="55"/>
      <c r="H284" s="55"/>
      <c r="I284" s="55"/>
      <c r="J284" s="55"/>
      <c r="K284" s="55"/>
      <c r="L284" s="48"/>
      <c r="M284" s="55"/>
      <c r="N284" s="55"/>
      <c r="O284" s="55"/>
      <c r="P284" s="55"/>
    </row>
    <row r="285" spans="1:16" ht="18.95" customHeight="1">
      <c r="A285" s="55"/>
      <c r="B285" s="55"/>
      <c r="C285" s="55"/>
      <c r="D285" s="55"/>
      <c r="E285" s="55"/>
      <c r="F285" s="55"/>
      <c r="G285" s="55"/>
      <c r="H285" s="55"/>
      <c r="I285" s="55"/>
      <c r="J285" s="55"/>
      <c r="K285" s="55"/>
      <c r="L285" s="48"/>
      <c r="M285" s="55"/>
      <c r="N285" s="55"/>
      <c r="O285" s="55"/>
      <c r="P285" s="55"/>
    </row>
    <row r="286" spans="1:16" ht="18.95" customHeight="1">
      <c r="A286" s="55"/>
      <c r="B286" s="55"/>
      <c r="C286" s="55"/>
      <c r="D286" s="55"/>
      <c r="E286" s="55"/>
      <c r="F286" s="55"/>
      <c r="G286" s="55"/>
      <c r="H286" s="55"/>
      <c r="I286" s="55"/>
      <c r="J286" s="55"/>
      <c r="K286" s="55"/>
      <c r="L286" s="48"/>
      <c r="M286" s="55"/>
      <c r="N286" s="55"/>
      <c r="O286" s="55"/>
      <c r="P286" s="55"/>
    </row>
    <row r="287" spans="1:16" ht="18.95" customHeight="1">
      <c r="A287" s="55"/>
      <c r="B287" s="55"/>
      <c r="C287" s="55"/>
      <c r="D287" s="55"/>
      <c r="E287" s="55"/>
      <c r="F287" s="55"/>
      <c r="G287" s="55"/>
      <c r="H287" s="55"/>
      <c r="I287" s="55"/>
      <c r="J287" s="55"/>
      <c r="K287" s="55"/>
      <c r="L287" s="48"/>
      <c r="M287" s="55"/>
      <c r="N287" s="55"/>
      <c r="O287" s="55"/>
      <c r="P287" s="55"/>
    </row>
    <row r="288" spans="1:16" ht="18.95" customHeight="1">
      <c r="A288" s="55"/>
      <c r="B288" s="55"/>
      <c r="C288" s="55"/>
      <c r="D288" s="55"/>
      <c r="E288" s="55"/>
      <c r="F288" s="55"/>
      <c r="G288" s="55"/>
      <c r="H288" s="55"/>
      <c r="I288" s="55"/>
      <c r="J288" s="55"/>
      <c r="K288" s="55"/>
      <c r="L288" s="48"/>
      <c r="M288" s="55"/>
      <c r="N288" s="55"/>
      <c r="O288" s="55"/>
      <c r="P288" s="55"/>
    </row>
    <row r="289" spans="1:16" ht="18.95" customHeight="1">
      <c r="A289" s="55"/>
      <c r="B289" s="55"/>
      <c r="C289" s="55"/>
      <c r="D289" s="55"/>
      <c r="E289" s="55"/>
      <c r="F289" s="55"/>
      <c r="G289" s="55"/>
      <c r="H289" s="55"/>
      <c r="I289" s="55"/>
      <c r="J289" s="55"/>
      <c r="K289" s="55"/>
      <c r="L289" s="48"/>
      <c r="M289" s="55"/>
      <c r="N289" s="55"/>
      <c r="O289" s="55"/>
      <c r="P289" s="55"/>
    </row>
    <row r="290" spans="1:16" ht="18.95" customHeight="1">
      <c r="A290" s="55"/>
      <c r="B290" s="55"/>
      <c r="C290" s="55"/>
      <c r="D290" s="55"/>
      <c r="E290" s="55"/>
      <c r="F290" s="55"/>
      <c r="G290" s="55"/>
      <c r="H290" s="55"/>
      <c r="I290" s="55"/>
      <c r="J290" s="55"/>
      <c r="K290" s="55"/>
      <c r="L290" s="48"/>
      <c r="M290" s="55"/>
      <c r="N290" s="55"/>
      <c r="O290" s="55"/>
      <c r="P290" s="55"/>
    </row>
    <row r="291" spans="1:16" ht="18.95" customHeight="1">
      <c r="A291" s="55"/>
      <c r="B291" s="55"/>
      <c r="C291" s="55"/>
      <c r="D291" s="55"/>
      <c r="E291" s="55"/>
      <c r="F291" s="55"/>
      <c r="G291" s="55"/>
      <c r="H291" s="55"/>
      <c r="I291" s="55"/>
      <c r="J291" s="55"/>
      <c r="K291" s="55"/>
      <c r="L291" s="48"/>
      <c r="M291" s="55"/>
      <c r="N291" s="55"/>
      <c r="O291" s="55"/>
      <c r="P291" s="55"/>
    </row>
    <row r="292" spans="1:16" ht="18.95" customHeight="1">
      <c r="A292" s="55"/>
      <c r="B292" s="55"/>
      <c r="C292" s="55"/>
      <c r="D292" s="55"/>
      <c r="E292" s="55"/>
      <c r="F292" s="55"/>
      <c r="G292" s="55"/>
      <c r="H292" s="55"/>
      <c r="I292" s="55"/>
      <c r="J292" s="55"/>
      <c r="K292" s="55"/>
      <c r="L292" s="48"/>
      <c r="M292" s="55"/>
      <c r="N292" s="55"/>
      <c r="O292" s="55"/>
      <c r="P292" s="55"/>
    </row>
    <row r="293" spans="1:16" ht="18.95" customHeight="1">
      <c r="A293" s="55"/>
      <c r="B293" s="55"/>
      <c r="C293" s="55"/>
      <c r="D293" s="55"/>
      <c r="E293" s="55"/>
      <c r="F293" s="55"/>
      <c r="G293" s="55"/>
      <c r="H293" s="55"/>
      <c r="I293" s="55"/>
      <c r="J293" s="55"/>
      <c r="K293" s="55"/>
      <c r="L293" s="48"/>
      <c r="M293" s="55"/>
      <c r="N293" s="55"/>
      <c r="O293" s="55"/>
      <c r="P293" s="55"/>
    </row>
    <row r="294" spans="1:16" ht="18.95" customHeight="1">
      <c r="A294" s="55"/>
      <c r="B294" s="55"/>
      <c r="C294" s="55"/>
      <c r="D294" s="55"/>
      <c r="E294" s="55"/>
      <c r="F294" s="55"/>
      <c r="G294" s="55"/>
      <c r="H294" s="55"/>
      <c r="I294" s="55"/>
      <c r="J294" s="55"/>
      <c r="K294" s="55"/>
      <c r="L294" s="48"/>
      <c r="M294" s="55"/>
      <c r="N294" s="55"/>
      <c r="O294" s="55"/>
      <c r="P294" s="55"/>
    </row>
    <row r="295" spans="1:16" ht="18.95" customHeight="1">
      <c r="A295" s="55"/>
      <c r="B295" s="55"/>
      <c r="C295" s="55"/>
      <c r="D295" s="55"/>
      <c r="E295" s="55"/>
      <c r="F295" s="55"/>
      <c r="G295" s="55"/>
      <c r="H295" s="55"/>
      <c r="I295" s="55"/>
      <c r="J295" s="55"/>
      <c r="K295" s="55"/>
      <c r="L295" s="48"/>
      <c r="M295" s="55"/>
      <c r="N295" s="55"/>
      <c r="O295" s="55"/>
      <c r="P295" s="55"/>
    </row>
    <row r="296" spans="1:16" ht="18.95" customHeight="1">
      <c r="A296" s="55"/>
      <c r="B296" s="55"/>
      <c r="C296" s="55"/>
      <c r="D296" s="55"/>
      <c r="E296" s="55"/>
      <c r="F296" s="55"/>
      <c r="G296" s="55"/>
      <c r="H296" s="55"/>
      <c r="I296" s="55"/>
      <c r="J296" s="55"/>
      <c r="K296" s="55"/>
      <c r="L296" s="48"/>
      <c r="M296" s="55"/>
      <c r="N296" s="55"/>
      <c r="O296" s="55"/>
      <c r="P296" s="55"/>
    </row>
    <row r="297" spans="1:16" ht="18.95" customHeight="1">
      <c r="A297" s="55"/>
      <c r="B297" s="55"/>
      <c r="C297" s="55"/>
      <c r="D297" s="55"/>
      <c r="E297" s="55"/>
      <c r="F297" s="55"/>
      <c r="G297" s="55"/>
      <c r="H297" s="55"/>
      <c r="I297" s="55"/>
      <c r="J297" s="55"/>
      <c r="K297" s="55"/>
      <c r="L297" s="48"/>
      <c r="M297" s="55"/>
      <c r="N297" s="55"/>
      <c r="O297" s="55"/>
      <c r="P297" s="55"/>
    </row>
    <row r="298" spans="1:16" ht="18.95" customHeight="1">
      <c r="A298" s="55"/>
      <c r="B298" s="55"/>
      <c r="C298" s="55"/>
      <c r="D298" s="55"/>
      <c r="E298" s="55"/>
      <c r="F298" s="55"/>
      <c r="G298" s="55"/>
      <c r="H298" s="55"/>
      <c r="I298" s="55"/>
      <c r="J298" s="55"/>
      <c r="K298" s="55"/>
      <c r="L298" s="48"/>
      <c r="M298" s="55"/>
      <c r="N298" s="55"/>
      <c r="O298" s="55"/>
      <c r="P298" s="55"/>
    </row>
    <row r="299" spans="1:16" ht="18.95" customHeight="1">
      <c r="A299" s="55"/>
      <c r="B299" s="55"/>
      <c r="C299" s="55"/>
      <c r="D299" s="55"/>
      <c r="E299" s="55"/>
      <c r="F299" s="55"/>
      <c r="G299" s="55"/>
      <c r="H299" s="55"/>
      <c r="I299" s="55"/>
      <c r="J299" s="55"/>
      <c r="K299" s="55"/>
      <c r="L299" s="48"/>
      <c r="M299" s="55"/>
      <c r="N299" s="55"/>
      <c r="O299" s="55"/>
      <c r="P299" s="55"/>
    </row>
    <row r="300" spans="1:16" ht="18.95" customHeight="1">
      <c r="A300" s="55"/>
      <c r="B300" s="55"/>
      <c r="C300" s="55"/>
      <c r="D300" s="55"/>
      <c r="E300" s="55"/>
      <c r="F300" s="55"/>
      <c r="G300" s="55"/>
      <c r="H300" s="55"/>
      <c r="I300" s="55"/>
      <c r="J300" s="55"/>
      <c r="K300" s="55"/>
      <c r="L300" s="48"/>
      <c r="M300" s="55"/>
      <c r="N300" s="55"/>
      <c r="O300" s="55"/>
      <c r="P300" s="55"/>
    </row>
    <row r="301" spans="1:16" ht="18.95" customHeight="1">
      <c r="A301" s="55"/>
      <c r="B301" s="55"/>
      <c r="C301" s="55"/>
      <c r="D301" s="55"/>
      <c r="E301" s="55"/>
      <c r="F301" s="55"/>
      <c r="G301" s="55"/>
      <c r="H301" s="55"/>
      <c r="I301" s="55"/>
      <c r="J301" s="55"/>
      <c r="K301" s="55"/>
      <c r="L301" s="48"/>
      <c r="M301" s="55"/>
      <c r="N301" s="55"/>
      <c r="O301" s="55"/>
      <c r="P301" s="55"/>
    </row>
    <row r="302" spans="1:16" ht="18.95" customHeight="1">
      <c r="A302" s="55"/>
      <c r="B302" s="55"/>
      <c r="C302" s="55"/>
      <c r="D302" s="55"/>
      <c r="E302" s="55"/>
      <c r="F302" s="55"/>
      <c r="G302" s="55"/>
      <c r="H302" s="55"/>
      <c r="I302" s="55"/>
      <c r="J302" s="55"/>
      <c r="K302" s="55"/>
      <c r="L302" s="48"/>
      <c r="M302" s="55"/>
      <c r="N302" s="55"/>
      <c r="O302" s="55"/>
      <c r="P302" s="55"/>
    </row>
    <row r="303" spans="1:16" ht="18.95" customHeight="1">
      <c r="A303" s="55"/>
      <c r="B303" s="55"/>
      <c r="C303" s="55"/>
      <c r="D303" s="55"/>
      <c r="E303" s="55"/>
      <c r="F303" s="55"/>
      <c r="G303" s="55"/>
      <c r="H303" s="55"/>
      <c r="I303" s="55"/>
      <c r="J303" s="55"/>
      <c r="K303" s="55"/>
      <c r="L303" s="48"/>
      <c r="M303" s="55"/>
      <c r="N303" s="55"/>
      <c r="O303" s="55"/>
      <c r="P303" s="55"/>
    </row>
    <row r="304" spans="1:16" ht="18.95" customHeight="1">
      <c r="A304" s="55"/>
      <c r="B304" s="55"/>
      <c r="C304" s="55"/>
      <c r="D304" s="55"/>
      <c r="E304" s="55"/>
      <c r="F304" s="55"/>
      <c r="G304" s="55"/>
      <c r="H304" s="55"/>
      <c r="I304" s="55"/>
      <c r="J304" s="55"/>
      <c r="K304" s="55"/>
      <c r="L304" s="48"/>
      <c r="M304" s="55"/>
      <c r="N304" s="55"/>
      <c r="O304" s="55"/>
      <c r="P304" s="55"/>
    </row>
    <row r="305" spans="1:16" ht="18.95" customHeight="1">
      <c r="A305" s="55"/>
      <c r="B305" s="55"/>
      <c r="C305" s="55"/>
      <c r="D305" s="55"/>
      <c r="E305" s="55"/>
      <c r="F305" s="55"/>
      <c r="G305" s="55"/>
      <c r="H305" s="55"/>
      <c r="I305" s="55"/>
      <c r="J305" s="55"/>
      <c r="K305" s="55"/>
      <c r="L305" s="48"/>
      <c r="M305" s="55"/>
      <c r="N305" s="55"/>
      <c r="O305" s="55"/>
      <c r="P305" s="55"/>
    </row>
    <row r="306" spans="1:16" ht="18.95" customHeight="1">
      <c r="A306" s="55"/>
      <c r="B306" s="55"/>
      <c r="C306" s="55"/>
      <c r="D306" s="55"/>
      <c r="E306" s="55"/>
      <c r="F306" s="55"/>
      <c r="G306" s="55"/>
      <c r="H306" s="55"/>
      <c r="I306" s="55"/>
      <c r="J306" s="55"/>
      <c r="K306" s="55"/>
      <c r="L306" s="48"/>
      <c r="M306" s="55"/>
      <c r="N306" s="55"/>
      <c r="O306" s="55"/>
      <c r="P306" s="55"/>
    </row>
    <row r="307" spans="1:16" ht="18.95" customHeight="1">
      <c r="A307" s="55"/>
      <c r="B307" s="55"/>
      <c r="C307" s="55"/>
      <c r="D307" s="55"/>
      <c r="E307" s="55"/>
      <c r="F307" s="55"/>
      <c r="G307" s="55"/>
      <c r="H307" s="55"/>
      <c r="I307" s="55"/>
      <c r="J307" s="55"/>
      <c r="K307" s="55"/>
      <c r="L307" s="48"/>
      <c r="M307" s="55"/>
      <c r="N307" s="55"/>
      <c r="O307" s="55"/>
      <c r="P307" s="55"/>
    </row>
    <row r="308" spans="1:16" ht="18.95" customHeight="1">
      <c r="A308" s="55"/>
      <c r="B308" s="55"/>
      <c r="C308" s="55"/>
      <c r="D308" s="55"/>
      <c r="E308" s="55"/>
      <c r="F308" s="55"/>
      <c r="G308" s="55"/>
      <c r="H308" s="55"/>
      <c r="I308" s="55"/>
      <c r="J308" s="55"/>
      <c r="K308" s="55"/>
      <c r="L308" s="48"/>
      <c r="M308" s="55"/>
      <c r="N308" s="55"/>
      <c r="O308" s="55"/>
      <c r="P308" s="55"/>
    </row>
    <row r="309" spans="1:16" ht="18.95" customHeight="1">
      <c r="A309" s="55"/>
      <c r="B309" s="55"/>
      <c r="C309" s="55"/>
      <c r="D309" s="55"/>
      <c r="E309" s="55"/>
      <c r="F309" s="55"/>
      <c r="G309" s="55"/>
      <c r="H309" s="55"/>
      <c r="I309" s="55"/>
      <c r="J309" s="55"/>
      <c r="K309" s="55"/>
      <c r="L309" s="48"/>
      <c r="M309" s="55"/>
      <c r="N309" s="55"/>
      <c r="O309" s="55"/>
      <c r="P309" s="55"/>
    </row>
    <row r="310" spans="1:16" ht="18.95" customHeight="1">
      <c r="A310" s="55"/>
      <c r="B310" s="55"/>
      <c r="C310" s="55"/>
      <c r="D310" s="55"/>
      <c r="E310" s="55"/>
      <c r="F310" s="55"/>
      <c r="G310" s="55"/>
      <c r="H310" s="55"/>
      <c r="I310" s="55"/>
      <c r="J310" s="55"/>
      <c r="K310" s="55"/>
      <c r="L310" s="48"/>
      <c r="M310" s="55"/>
      <c r="N310" s="55"/>
      <c r="O310" s="55"/>
      <c r="P310" s="55"/>
    </row>
    <row r="311" spans="1:16" ht="18.95" customHeight="1">
      <c r="A311" s="55"/>
      <c r="B311" s="55"/>
      <c r="C311" s="55"/>
      <c r="D311" s="55"/>
      <c r="E311" s="55"/>
      <c r="F311" s="55"/>
      <c r="G311" s="55"/>
      <c r="H311" s="55"/>
      <c r="I311" s="55"/>
      <c r="J311" s="55"/>
      <c r="K311" s="55"/>
      <c r="L311" s="48"/>
      <c r="M311" s="55"/>
      <c r="N311" s="55"/>
      <c r="O311" s="55"/>
      <c r="P311" s="55"/>
    </row>
    <row r="312" spans="1:16" ht="18.95" customHeight="1">
      <c r="A312" s="55"/>
      <c r="B312" s="55"/>
      <c r="C312" s="55"/>
      <c r="D312" s="55"/>
      <c r="E312" s="55"/>
      <c r="F312" s="55"/>
      <c r="G312" s="55"/>
      <c r="H312" s="55"/>
      <c r="I312" s="55"/>
      <c r="J312" s="55"/>
      <c r="K312" s="55"/>
      <c r="L312" s="48"/>
      <c r="M312" s="55"/>
      <c r="N312" s="55"/>
      <c r="O312" s="55"/>
      <c r="P312" s="55"/>
    </row>
    <row r="313" spans="1:16" ht="18.95" customHeight="1">
      <c r="A313" s="55"/>
      <c r="B313" s="55"/>
      <c r="C313" s="55"/>
      <c r="D313" s="55"/>
      <c r="E313" s="55"/>
      <c r="F313" s="55"/>
      <c r="G313" s="55"/>
      <c r="H313" s="55"/>
      <c r="I313" s="55"/>
      <c r="J313" s="55"/>
      <c r="K313" s="55"/>
      <c r="L313" s="48"/>
      <c r="M313" s="55"/>
      <c r="N313" s="55"/>
      <c r="O313" s="55"/>
      <c r="P313" s="55"/>
    </row>
    <row r="314" spans="1:16" ht="18.95" customHeight="1">
      <c r="A314" s="55"/>
      <c r="B314" s="55"/>
      <c r="C314" s="55"/>
      <c r="D314" s="55"/>
      <c r="E314" s="55"/>
      <c r="F314" s="55"/>
      <c r="G314" s="55"/>
      <c r="H314" s="55"/>
      <c r="I314" s="55"/>
      <c r="J314" s="55"/>
      <c r="K314" s="55"/>
      <c r="L314" s="48"/>
      <c r="M314" s="55"/>
      <c r="N314" s="55"/>
      <c r="O314" s="55"/>
      <c r="P314" s="55"/>
    </row>
    <row r="315" spans="1:16" ht="18.95" customHeight="1">
      <c r="A315" s="55"/>
      <c r="B315" s="55"/>
      <c r="C315" s="55"/>
      <c r="D315" s="55"/>
      <c r="E315" s="55"/>
      <c r="F315" s="55"/>
      <c r="G315" s="55"/>
      <c r="H315" s="55"/>
      <c r="I315" s="55"/>
      <c r="J315" s="55"/>
      <c r="K315" s="55"/>
      <c r="L315" s="48"/>
      <c r="M315" s="55"/>
      <c r="N315" s="55"/>
      <c r="O315" s="55"/>
      <c r="P315" s="55"/>
    </row>
    <row r="316" spans="1:16" ht="18.95" customHeight="1">
      <c r="A316" s="55"/>
      <c r="B316" s="55"/>
      <c r="C316" s="55"/>
      <c r="D316" s="55"/>
      <c r="E316" s="55"/>
      <c r="F316" s="55"/>
      <c r="G316" s="55"/>
      <c r="H316" s="55"/>
      <c r="I316" s="55"/>
      <c r="J316" s="55"/>
      <c r="K316" s="55"/>
      <c r="L316" s="48"/>
      <c r="M316" s="55"/>
      <c r="N316" s="55"/>
      <c r="O316" s="55"/>
      <c r="P316" s="55"/>
    </row>
    <row r="317" spans="1:16" ht="18.95" customHeight="1">
      <c r="A317" s="55"/>
      <c r="B317" s="55"/>
      <c r="C317" s="55"/>
      <c r="D317" s="55"/>
      <c r="E317" s="55"/>
      <c r="F317" s="55"/>
      <c r="G317" s="55"/>
      <c r="H317" s="55"/>
      <c r="I317" s="55"/>
      <c r="J317" s="55"/>
      <c r="K317" s="55"/>
      <c r="L317" s="48"/>
      <c r="M317" s="55"/>
      <c r="N317" s="55"/>
      <c r="O317" s="55"/>
      <c r="P317" s="55"/>
    </row>
    <row r="318" spans="1:16" ht="18.95" customHeight="1">
      <c r="A318" s="55"/>
      <c r="B318" s="55"/>
      <c r="C318" s="55"/>
      <c r="D318" s="55"/>
      <c r="E318" s="55"/>
      <c r="F318" s="55"/>
      <c r="G318" s="55"/>
      <c r="H318" s="55"/>
      <c r="I318" s="55"/>
      <c r="J318" s="55"/>
      <c r="K318" s="55"/>
      <c r="L318" s="48"/>
      <c r="M318" s="55"/>
      <c r="N318" s="55"/>
      <c r="O318" s="55"/>
      <c r="P318" s="55"/>
    </row>
    <row r="319" spans="1:16" ht="18.95" customHeight="1">
      <c r="A319" s="55"/>
      <c r="B319" s="55"/>
      <c r="C319" s="55"/>
      <c r="D319" s="55"/>
      <c r="E319" s="55"/>
      <c r="F319" s="55"/>
      <c r="G319" s="55"/>
      <c r="H319" s="55"/>
      <c r="I319" s="55"/>
      <c r="J319" s="55"/>
      <c r="K319" s="55"/>
      <c r="L319" s="48"/>
      <c r="M319" s="55"/>
      <c r="N319" s="55"/>
      <c r="O319" s="55"/>
      <c r="P319" s="55"/>
    </row>
    <row r="320" spans="1:16" ht="18.95" customHeight="1">
      <c r="A320" s="55"/>
      <c r="B320" s="55"/>
      <c r="C320" s="55"/>
      <c r="D320" s="55"/>
      <c r="E320" s="55"/>
      <c r="F320" s="55"/>
      <c r="G320" s="55"/>
      <c r="H320" s="55"/>
      <c r="I320" s="55"/>
      <c r="J320" s="55"/>
      <c r="K320" s="55"/>
      <c r="L320" s="48"/>
      <c r="M320" s="55"/>
      <c r="N320" s="55"/>
      <c r="O320" s="55"/>
      <c r="P320" s="55"/>
    </row>
    <row r="321" spans="1:16" ht="18.95" customHeight="1">
      <c r="A321" s="55"/>
      <c r="B321" s="55"/>
      <c r="C321" s="55"/>
      <c r="D321" s="55"/>
      <c r="E321" s="55"/>
      <c r="F321" s="55"/>
      <c r="G321" s="55"/>
      <c r="H321" s="55"/>
      <c r="I321" s="55"/>
      <c r="J321" s="55"/>
      <c r="K321" s="55"/>
      <c r="L321" s="48"/>
      <c r="M321" s="55"/>
      <c r="N321" s="55"/>
      <c r="O321" s="55"/>
      <c r="P321" s="55"/>
    </row>
    <row r="322" spans="1:16" ht="18.95" customHeight="1">
      <c r="A322" s="55"/>
      <c r="B322" s="55"/>
      <c r="C322" s="55"/>
      <c r="D322" s="55"/>
      <c r="E322" s="55"/>
      <c r="F322" s="55"/>
      <c r="G322" s="55"/>
      <c r="H322" s="55"/>
      <c r="I322" s="55"/>
      <c r="J322" s="55"/>
      <c r="K322" s="55"/>
      <c r="L322" s="48"/>
      <c r="M322" s="55"/>
      <c r="N322" s="55"/>
      <c r="O322" s="55"/>
      <c r="P322" s="55"/>
    </row>
    <row r="323" spans="1:16" ht="18.95" customHeight="1">
      <c r="A323" s="55"/>
      <c r="B323" s="55"/>
      <c r="C323" s="55"/>
      <c r="D323" s="55"/>
      <c r="E323" s="55"/>
      <c r="F323" s="55"/>
      <c r="G323" s="55"/>
      <c r="H323" s="55"/>
      <c r="I323" s="55"/>
      <c r="J323" s="55"/>
      <c r="K323" s="55"/>
      <c r="L323" s="48"/>
      <c r="M323" s="55"/>
      <c r="N323" s="55"/>
      <c r="O323" s="55"/>
      <c r="P323" s="55"/>
    </row>
    <row r="324" spans="1:16" ht="18.95" customHeight="1">
      <c r="A324" s="55"/>
      <c r="B324" s="55"/>
      <c r="C324" s="55"/>
      <c r="D324" s="55"/>
      <c r="E324" s="55"/>
      <c r="F324" s="55"/>
      <c r="G324" s="55"/>
      <c r="H324" s="55"/>
      <c r="I324" s="55"/>
      <c r="J324" s="55"/>
      <c r="K324" s="55"/>
      <c r="L324" s="48"/>
      <c r="M324" s="55"/>
      <c r="N324" s="55"/>
      <c r="O324" s="55"/>
      <c r="P324" s="55"/>
    </row>
    <row r="325" spans="1:16" ht="18.95" customHeight="1">
      <c r="A325" s="55"/>
      <c r="B325" s="55"/>
      <c r="C325" s="55"/>
      <c r="D325" s="55"/>
      <c r="E325" s="55"/>
      <c r="F325" s="55"/>
      <c r="G325" s="55"/>
      <c r="H325" s="55"/>
      <c r="I325" s="55"/>
      <c r="J325" s="55"/>
      <c r="K325" s="55"/>
      <c r="L325" s="48"/>
      <c r="M325" s="55"/>
      <c r="N325" s="55"/>
      <c r="O325" s="55"/>
      <c r="P325" s="55"/>
    </row>
    <row r="326" spans="1:16" ht="18.95" customHeight="1">
      <c r="A326" s="55"/>
      <c r="B326" s="55"/>
      <c r="C326" s="55"/>
      <c r="D326" s="55"/>
      <c r="E326" s="55"/>
      <c r="F326" s="55"/>
      <c r="G326" s="55"/>
      <c r="H326" s="55"/>
      <c r="I326" s="55"/>
      <c r="J326" s="55"/>
      <c r="K326" s="55"/>
      <c r="L326" s="48"/>
      <c r="M326" s="55"/>
      <c r="N326" s="55"/>
      <c r="O326" s="55"/>
      <c r="P326" s="55"/>
    </row>
    <row r="327" spans="1:16" ht="18.95" customHeight="1">
      <c r="A327" s="55"/>
      <c r="B327" s="55"/>
      <c r="C327" s="55"/>
      <c r="D327" s="55"/>
      <c r="E327" s="55"/>
      <c r="F327" s="55"/>
      <c r="G327" s="55"/>
      <c r="H327" s="55"/>
      <c r="I327" s="55"/>
      <c r="J327" s="55"/>
      <c r="K327" s="55"/>
      <c r="L327" s="48"/>
      <c r="M327" s="55"/>
      <c r="N327" s="55"/>
      <c r="O327" s="55"/>
      <c r="P327" s="55"/>
    </row>
    <row r="328" spans="1:16" ht="18.95" customHeight="1">
      <c r="A328" s="55"/>
      <c r="B328" s="55"/>
      <c r="C328" s="55"/>
      <c r="D328" s="55"/>
      <c r="E328" s="55"/>
      <c r="F328" s="55"/>
      <c r="G328" s="55"/>
      <c r="H328" s="55"/>
      <c r="I328" s="55"/>
      <c r="J328" s="55"/>
      <c r="K328" s="55"/>
      <c r="L328" s="48"/>
      <c r="M328" s="55"/>
      <c r="N328" s="55"/>
      <c r="O328" s="55"/>
      <c r="P328" s="55"/>
    </row>
    <row r="329" spans="1:16" ht="18.95" customHeight="1">
      <c r="A329" s="55"/>
      <c r="B329" s="55"/>
      <c r="C329" s="55"/>
      <c r="D329" s="55"/>
      <c r="E329" s="55"/>
      <c r="F329" s="55"/>
      <c r="G329" s="55"/>
      <c r="H329" s="55"/>
      <c r="I329" s="55"/>
      <c r="J329" s="55"/>
      <c r="K329" s="55"/>
      <c r="L329" s="48"/>
      <c r="M329" s="55"/>
      <c r="N329" s="55"/>
      <c r="O329" s="55"/>
      <c r="P329" s="55"/>
    </row>
    <row r="330" spans="1:16" ht="18.95" customHeight="1">
      <c r="A330" s="55"/>
      <c r="B330" s="55"/>
      <c r="C330" s="55"/>
      <c r="D330" s="55"/>
      <c r="E330" s="55"/>
      <c r="F330" s="55"/>
      <c r="G330" s="55"/>
      <c r="H330" s="55"/>
      <c r="I330" s="55"/>
      <c r="J330" s="55"/>
      <c r="K330" s="55"/>
      <c r="L330" s="48"/>
      <c r="M330" s="55"/>
      <c r="N330" s="55"/>
      <c r="O330" s="55"/>
      <c r="P330" s="55"/>
    </row>
    <row r="331" spans="1:16" ht="18.95" customHeight="1">
      <c r="A331" s="55"/>
      <c r="B331" s="55"/>
      <c r="C331" s="55"/>
      <c r="D331" s="55"/>
      <c r="E331" s="55"/>
      <c r="F331" s="55"/>
      <c r="G331" s="55"/>
      <c r="H331" s="55"/>
      <c r="I331" s="55"/>
      <c r="J331" s="55"/>
      <c r="K331" s="55"/>
      <c r="L331" s="48"/>
      <c r="M331" s="55"/>
      <c r="N331" s="55"/>
      <c r="O331" s="55"/>
      <c r="P331" s="55"/>
    </row>
    <row r="332" spans="1:16" ht="18.95" customHeight="1">
      <c r="A332" s="55"/>
      <c r="B332" s="55"/>
      <c r="C332" s="55"/>
      <c r="D332" s="55"/>
      <c r="E332" s="55"/>
      <c r="F332" s="55"/>
      <c r="G332" s="55"/>
      <c r="H332" s="55"/>
      <c r="I332" s="55"/>
      <c r="J332" s="55"/>
      <c r="K332" s="55"/>
      <c r="L332" s="48"/>
      <c r="M332" s="55"/>
      <c r="N332" s="55"/>
      <c r="O332" s="55"/>
      <c r="P332" s="55"/>
    </row>
    <row r="333" spans="1:16" ht="18.95" customHeight="1">
      <c r="A333" s="55"/>
      <c r="B333" s="55"/>
      <c r="C333" s="55"/>
      <c r="D333" s="55"/>
      <c r="E333" s="55"/>
      <c r="F333" s="55"/>
      <c r="G333" s="55"/>
      <c r="H333" s="55"/>
      <c r="I333" s="55"/>
      <c r="J333" s="55"/>
      <c r="K333" s="55"/>
      <c r="L333" s="48"/>
      <c r="M333" s="55"/>
      <c r="N333" s="55"/>
      <c r="O333" s="55"/>
      <c r="P333" s="55"/>
    </row>
    <row r="334" spans="1:16" ht="18.95" customHeight="1">
      <c r="A334" s="55"/>
      <c r="B334" s="55"/>
      <c r="C334" s="55"/>
      <c r="D334" s="55"/>
      <c r="E334" s="55"/>
      <c r="F334" s="55"/>
      <c r="G334" s="55"/>
      <c r="H334" s="55"/>
      <c r="I334" s="55"/>
      <c r="J334" s="55"/>
      <c r="K334" s="55"/>
      <c r="L334" s="48"/>
      <c r="M334" s="55"/>
      <c r="N334" s="55"/>
      <c r="O334" s="55"/>
      <c r="P334" s="55"/>
    </row>
    <row r="335" spans="1:16" ht="18.95" customHeight="1">
      <c r="A335" s="55"/>
      <c r="B335" s="55"/>
      <c r="C335" s="55"/>
      <c r="D335" s="55"/>
      <c r="E335" s="55"/>
      <c r="F335" s="55"/>
      <c r="G335" s="55"/>
      <c r="H335" s="55"/>
      <c r="I335" s="55"/>
      <c r="J335" s="55"/>
      <c r="K335" s="55"/>
      <c r="L335" s="48"/>
      <c r="M335" s="55"/>
      <c r="N335" s="55"/>
      <c r="O335" s="55"/>
      <c r="P335" s="55"/>
    </row>
    <row r="336" spans="1:16" ht="18.95" customHeight="1">
      <c r="A336" s="55"/>
      <c r="B336" s="55"/>
      <c r="C336" s="55"/>
      <c r="D336" s="55"/>
      <c r="E336" s="55"/>
      <c r="F336" s="55"/>
      <c r="G336" s="55"/>
      <c r="H336" s="55"/>
      <c r="I336" s="55"/>
      <c r="J336" s="55"/>
      <c r="K336" s="55"/>
      <c r="L336" s="48"/>
      <c r="M336" s="55"/>
      <c r="N336" s="55"/>
      <c r="O336" s="55"/>
      <c r="P336" s="55"/>
    </row>
    <row r="337" spans="1:16" ht="18.95" customHeight="1">
      <c r="A337" s="55"/>
      <c r="B337" s="55"/>
      <c r="C337" s="55"/>
      <c r="D337" s="55"/>
      <c r="E337" s="55"/>
      <c r="F337" s="55"/>
      <c r="G337" s="55"/>
      <c r="H337" s="55"/>
      <c r="I337" s="55"/>
      <c r="J337" s="55"/>
      <c r="K337" s="55"/>
      <c r="L337" s="48"/>
      <c r="M337" s="55"/>
      <c r="N337" s="55"/>
      <c r="O337" s="55"/>
      <c r="P337" s="55"/>
    </row>
    <row r="338" spans="1:16" ht="18.95" customHeight="1">
      <c r="A338" s="55"/>
      <c r="B338" s="55"/>
      <c r="C338" s="55"/>
      <c r="D338" s="55"/>
      <c r="E338" s="55"/>
      <c r="F338" s="55"/>
      <c r="G338" s="55"/>
      <c r="H338" s="55"/>
      <c r="I338" s="55"/>
      <c r="J338" s="55"/>
      <c r="K338" s="55"/>
      <c r="L338" s="48"/>
      <c r="M338" s="55"/>
      <c r="N338" s="55"/>
      <c r="O338" s="55"/>
      <c r="P338" s="55"/>
    </row>
    <row r="339" spans="1:16" ht="18.95" customHeight="1">
      <c r="A339" s="55"/>
      <c r="B339" s="55"/>
      <c r="C339" s="55"/>
      <c r="D339" s="55"/>
      <c r="E339" s="55"/>
      <c r="F339" s="55"/>
      <c r="G339" s="55"/>
      <c r="H339" s="55"/>
      <c r="I339" s="55"/>
      <c r="J339" s="55"/>
      <c r="K339" s="55"/>
      <c r="L339" s="48"/>
      <c r="M339" s="55"/>
      <c r="N339" s="55"/>
      <c r="O339" s="55"/>
      <c r="P339" s="55"/>
    </row>
    <row r="340" spans="1:16" ht="18.95" customHeight="1">
      <c r="A340" s="55"/>
      <c r="B340" s="55"/>
      <c r="C340" s="55"/>
      <c r="D340" s="55"/>
      <c r="E340" s="55"/>
      <c r="F340" s="55"/>
      <c r="G340" s="55"/>
      <c r="H340" s="55"/>
      <c r="I340" s="55"/>
      <c r="J340" s="55"/>
      <c r="K340" s="55"/>
      <c r="L340" s="48"/>
      <c r="M340" s="55"/>
      <c r="N340" s="55"/>
      <c r="O340" s="55"/>
      <c r="P340" s="55"/>
    </row>
    <row r="341" spans="1:16" ht="18.95" customHeight="1">
      <c r="A341" s="55"/>
      <c r="B341" s="55"/>
      <c r="C341" s="55"/>
      <c r="D341" s="55"/>
      <c r="E341" s="55"/>
      <c r="F341" s="55"/>
      <c r="G341" s="55"/>
      <c r="H341" s="55"/>
      <c r="I341" s="55"/>
      <c r="J341" s="55"/>
      <c r="K341" s="55"/>
      <c r="L341" s="48"/>
      <c r="M341" s="55"/>
      <c r="N341" s="55"/>
      <c r="O341" s="55"/>
      <c r="P341" s="55"/>
    </row>
    <row r="342" spans="1:16" ht="18.95" customHeight="1">
      <c r="A342" s="55"/>
      <c r="B342" s="55"/>
      <c r="C342" s="55"/>
      <c r="D342" s="55"/>
      <c r="E342" s="55"/>
      <c r="F342" s="55"/>
      <c r="G342" s="55"/>
      <c r="H342" s="55"/>
      <c r="I342" s="55"/>
      <c r="J342" s="55"/>
      <c r="K342" s="55"/>
      <c r="L342" s="48"/>
      <c r="M342" s="55"/>
      <c r="N342" s="55"/>
      <c r="O342" s="55"/>
      <c r="P342" s="55"/>
    </row>
    <row r="343" spans="1:16" ht="18.95" customHeight="1">
      <c r="A343" s="55"/>
      <c r="B343" s="55"/>
      <c r="C343" s="55"/>
      <c r="D343" s="55"/>
      <c r="E343" s="55"/>
      <c r="F343" s="55"/>
      <c r="G343" s="55"/>
      <c r="H343" s="55"/>
      <c r="I343" s="55"/>
      <c r="J343" s="55"/>
      <c r="K343" s="55"/>
      <c r="L343" s="48"/>
      <c r="M343" s="55"/>
      <c r="N343" s="55"/>
      <c r="O343" s="55"/>
      <c r="P343" s="55"/>
    </row>
    <row r="344" spans="1:16" ht="18.95" customHeight="1">
      <c r="A344" s="55"/>
      <c r="B344" s="55"/>
      <c r="C344" s="55"/>
      <c r="D344" s="55"/>
      <c r="E344" s="55"/>
      <c r="F344" s="55"/>
      <c r="G344" s="55"/>
      <c r="H344" s="55"/>
      <c r="I344" s="55"/>
      <c r="J344" s="55"/>
      <c r="K344" s="55"/>
      <c r="L344" s="48"/>
      <c r="M344" s="55"/>
      <c r="N344" s="55"/>
      <c r="O344" s="55"/>
      <c r="P344" s="55"/>
    </row>
    <row r="345" spans="1:16" ht="18.95" customHeight="1">
      <c r="A345" s="55"/>
      <c r="B345" s="55"/>
      <c r="C345" s="55"/>
      <c r="D345" s="55"/>
      <c r="E345" s="55"/>
      <c r="F345" s="55"/>
      <c r="G345" s="55"/>
      <c r="H345" s="55"/>
      <c r="I345" s="55"/>
      <c r="J345" s="55"/>
      <c r="K345" s="55"/>
      <c r="L345" s="48"/>
      <c r="M345" s="55"/>
      <c r="N345" s="55"/>
      <c r="O345" s="55"/>
      <c r="P345" s="55"/>
    </row>
    <row r="346" spans="1:16" ht="18.95" customHeight="1">
      <c r="A346" s="55"/>
      <c r="B346" s="55"/>
      <c r="C346" s="55"/>
      <c r="D346" s="55"/>
      <c r="E346" s="55"/>
      <c r="F346" s="55"/>
      <c r="G346" s="55"/>
      <c r="H346" s="55"/>
      <c r="I346" s="55"/>
      <c r="J346" s="55"/>
      <c r="K346" s="55"/>
      <c r="L346" s="48"/>
      <c r="M346" s="55"/>
      <c r="N346" s="55"/>
      <c r="O346" s="55"/>
      <c r="P346" s="55"/>
    </row>
    <row r="347" spans="1:16" ht="18.95" customHeight="1">
      <c r="A347" s="55"/>
      <c r="B347" s="55"/>
      <c r="C347" s="55"/>
      <c r="D347" s="55"/>
      <c r="E347" s="55"/>
      <c r="F347" s="55"/>
      <c r="G347" s="55"/>
      <c r="H347" s="55"/>
      <c r="I347" s="55"/>
      <c r="J347" s="55"/>
      <c r="K347" s="55"/>
      <c r="L347" s="48"/>
      <c r="M347" s="55"/>
      <c r="N347" s="55"/>
      <c r="O347" s="55"/>
      <c r="P347" s="55"/>
    </row>
    <row r="348" spans="1:16" ht="18.95" customHeight="1">
      <c r="A348" s="55"/>
      <c r="B348" s="55"/>
      <c r="C348" s="55"/>
      <c r="D348" s="55"/>
      <c r="E348" s="55"/>
      <c r="F348" s="55"/>
      <c r="G348" s="55"/>
      <c r="H348" s="55"/>
      <c r="I348" s="55"/>
      <c r="J348" s="55"/>
      <c r="K348" s="55"/>
      <c r="L348" s="48"/>
      <c r="M348" s="55"/>
      <c r="N348" s="55"/>
      <c r="O348" s="55"/>
      <c r="P348" s="55"/>
    </row>
    <row r="349" spans="1:16" ht="18.95" customHeight="1">
      <c r="A349" s="55"/>
      <c r="B349" s="55"/>
      <c r="C349" s="55"/>
      <c r="D349" s="55"/>
      <c r="E349" s="55"/>
      <c r="F349" s="55"/>
      <c r="G349" s="55"/>
      <c r="H349" s="55"/>
      <c r="I349" s="55"/>
      <c r="J349" s="55"/>
      <c r="K349" s="55"/>
      <c r="L349" s="48"/>
      <c r="M349" s="55"/>
      <c r="N349" s="55"/>
      <c r="O349" s="55"/>
      <c r="P349" s="55"/>
    </row>
    <row r="350" spans="1:16" ht="18.95" customHeight="1">
      <c r="A350" s="55"/>
      <c r="B350" s="55"/>
      <c r="C350" s="55"/>
      <c r="D350" s="55"/>
      <c r="E350" s="55"/>
      <c r="F350" s="55"/>
      <c r="G350" s="55"/>
      <c r="H350" s="55"/>
      <c r="I350" s="55"/>
      <c r="J350" s="55"/>
      <c r="K350" s="55"/>
      <c r="L350" s="48"/>
      <c r="M350" s="55"/>
      <c r="N350" s="55"/>
      <c r="O350" s="55"/>
      <c r="P350" s="55"/>
    </row>
    <row r="351" spans="1:16" ht="18.95" customHeight="1">
      <c r="A351" s="55"/>
      <c r="B351" s="55"/>
      <c r="C351" s="55"/>
      <c r="D351" s="55"/>
      <c r="E351" s="55"/>
      <c r="F351" s="55"/>
      <c r="G351" s="55"/>
      <c r="H351" s="55"/>
      <c r="I351" s="55"/>
      <c r="J351" s="55"/>
      <c r="K351" s="55"/>
      <c r="L351" s="48"/>
      <c r="M351" s="55"/>
      <c r="N351" s="55"/>
      <c r="O351" s="55"/>
      <c r="P351" s="55"/>
    </row>
    <row r="352" spans="1:16" ht="18.95" customHeight="1">
      <c r="A352" s="55"/>
      <c r="B352" s="55"/>
      <c r="C352" s="55"/>
      <c r="D352" s="55"/>
      <c r="E352" s="55"/>
      <c r="F352" s="55"/>
      <c r="G352" s="55"/>
      <c r="H352" s="55"/>
      <c r="I352" s="55"/>
      <c r="J352" s="55"/>
      <c r="K352" s="55"/>
      <c r="L352" s="48"/>
      <c r="M352" s="55"/>
      <c r="N352" s="55"/>
      <c r="O352" s="55"/>
      <c r="P352" s="55"/>
    </row>
    <row r="353" spans="1:16" ht="18.95" customHeight="1">
      <c r="A353" s="55"/>
      <c r="B353" s="55"/>
      <c r="C353" s="55"/>
      <c r="D353" s="55"/>
      <c r="E353" s="55"/>
      <c r="F353" s="55"/>
      <c r="G353" s="55"/>
      <c r="H353" s="55"/>
      <c r="I353" s="55"/>
      <c r="J353" s="55"/>
      <c r="K353" s="55"/>
      <c r="L353" s="48"/>
      <c r="M353" s="55"/>
      <c r="N353" s="55"/>
      <c r="O353" s="55"/>
      <c r="P353" s="55"/>
    </row>
    <row r="354" spans="1:16" ht="18.95" customHeight="1">
      <c r="A354" s="55"/>
      <c r="B354" s="55"/>
      <c r="C354" s="55"/>
      <c r="D354" s="55"/>
      <c r="E354" s="55"/>
      <c r="F354" s="55"/>
      <c r="G354" s="55"/>
      <c r="H354" s="55"/>
      <c r="I354" s="55"/>
      <c r="J354" s="55"/>
      <c r="K354" s="55"/>
      <c r="L354" s="48"/>
      <c r="M354" s="55"/>
      <c r="N354" s="55"/>
      <c r="O354" s="55"/>
      <c r="P354" s="55"/>
    </row>
    <row r="355" spans="1:16" ht="18.95" customHeight="1">
      <c r="A355" s="55"/>
      <c r="B355" s="55"/>
      <c r="C355" s="55"/>
      <c r="D355" s="55"/>
      <c r="E355" s="55"/>
      <c r="F355" s="55"/>
      <c r="G355" s="55"/>
      <c r="H355" s="55"/>
      <c r="I355" s="55"/>
      <c r="J355" s="55"/>
      <c r="K355" s="55"/>
      <c r="L355" s="48"/>
      <c r="M355" s="55"/>
      <c r="N355" s="55"/>
      <c r="O355" s="55"/>
      <c r="P355" s="55"/>
    </row>
    <row r="356" spans="1:16" ht="18.95" customHeight="1">
      <c r="A356" s="55"/>
      <c r="B356" s="55"/>
      <c r="C356" s="55"/>
      <c r="D356" s="55"/>
      <c r="E356" s="55"/>
      <c r="F356" s="55"/>
      <c r="G356" s="55"/>
      <c r="H356" s="55"/>
      <c r="I356" s="55"/>
      <c r="J356" s="55"/>
      <c r="K356" s="55"/>
      <c r="L356" s="48"/>
      <c r="M356" s="55"/>
      <c r="N356" s="55"/>
      <c r="O356" s="55"/>
      <c r="P356" s="55"/>
    </row>
    <row r="357" spans="1:16" ht="18.95" customHeight="1">
      <c r="A357" s="55"/>
      <c r="B357" s="55"/>
      <c r="C357" s="55"/>
      <c r="D357" s="55"/>
      <c r="E357" s="55"/>
      <c r="F357" s="55"/>
      <c r="G357" s="55"/>
      <c r="H357" s="55"/>
      <c r="I357" s="55"/>
      <c r="J357" s="55"/>
      <c r="K357" s="55"/>
      <c r="L357" s="48"/>
      <c r="M357" s="55"/>
      <c r="N357" s="55"/>
      <c r="O357" s="55"/>
      <c r="P357" s="55"/>
    </row>
    <row r="358" spans="1:16" ht="18.95" customHeight="1">
      <c r="A358" s="55"/>
      <c r="B358" s="55"/>
      <c r="C358" s="55"/>
      <c r="D358" s="55"/>
      <c r="E358" s="55"/>
      <c r="F358" s="55"/>
      <c r="G358" s="55"/>
      <c r="H358" s="55"/>
      <c r="I358" s="55"/>
      <c r="J358" s="55"/>
      <c r="K358" s="55"/>
      <c r="L358" s="48"/>
      <c r="M358" s="55"/>
      <c r="N358" s="55"/>
      <c r="O358" s="55"/>
      <c r="P358" s="55"/>
    </row>
    <row r="359" spans="1:16" ht="18.95" customHeight="1">
      <c r="A359" s="55"/>
      <c r="B359" s="55"/>
      <c r="C359" s="55"/>
      <c r="D359" s="55"/>
      <c r="E359" s="55"/>
      <c r="F359" s="55"/>
      <c r="G359" s="55"/>
      <c r="H359" s="55"/>
      <c r="I359" s="55"/>
      <c r="J359" s="55"/>
      <c r="K359" s="55"/>
      <c r="L359" s="48"/>
      <c r="M359" s="55"/>
      <c r="N359" s="55"/>
      <c r="O359" s="55"/>
      <c r="P359" s="55"/>
    </row>
    <row r="360" spans="1:16" ht="18.95" customHeight="1">
      <c r="A360" s="55"/>
      <c r="B360" s="55"/>
      <c r="C360" s="55"/>
      <c r="D360" s="55"/>
      <c r="E360" s="55"/>
      <c r="F360" s="55"/>
      <c r="G360" s="55"/>
      <c r="H360" s="55"/>
      <c r="I360" s="55"/>
      <c r="J360" s="55"/>
      <c r="K360" s="55"/>
      <c r="L360" s="48"/>
      <c r="M360" s="55"/>
      <c r="N360" s="55"/>
      <c r="O360" s="55"/>
      <c r="P360" s="55"/>
    </row>
    <row r="361" spans="1:16" ht="18.95" customHeight="1">
      <c r="A361" s="55"/>
      <c r="B361" s="55"/>
      <c r="C361" s="55"/>
      <c r="D361" s="55"/>
      <c r="E361" s="55"/>
      <c r="F361" s="55"/>
      <c r="G361" s="55"/>
      <c r="H361" s="55"/>
      <c r="I361" s="55"/>
      <c r="J361" s="55"/>
      <c r="K361" s="55"/>
      <c r="L361" s="48"/>
      <c r="M361" s="55"/>
      <c r="N361" s="55"/>
      <c r="O361" s="55"/>
      <c r="P361" s="55"/>
    </row>
    <row r="362" spans="1:16" ht="18.95" customHeight="1">
      <c r="A362" s="55"/>
      <c r="B362" s="55"/>
      <c r="C362" s="55"/>
      <c r="D362" s="55"/>
      <c r="E362" s="55"/>
      <c r="F362" s="55"/>
      <c r="G362" s="55"/>
      <c r="H362" s="55"/>
      <c r="I362" s="55"/>
      <c r="J362" s="55"/>
      <c r="K362" s="55"/>
      <c r="L362" s="48"/>
      <c r="M362" s="55"/>
      <c r="N362" s="55"/>
      <c r="O362" s="55"/>
      <c r="P362" s="55"/>
    </row>
    <row r="363" spans="1:16" ht="18.95" customHeight="1">
      <c r="A363" s="55"/>
      <c r="B363" s="55"/>
      <c r="C363" s="55"/>
      <c r="D363" s="55"/>
      <c r="E363" s="55"/>
      <c r="F363" s="55"/>
      <c r="G363" s="55"/>
      <c r="H363" s="55"/>
      <c r="I363" s="55"/>
      <c r="J363" s="55"/>
      <c r="K363" s="55"/>
      <c r="L363" s="48"/>
      <c r="M363" s="55"/>
      <c r="N363" s="55"/>
      <c r="O363" s="55"/>
      <c r="P363" s="55"/>
    </row>
    <row r="364" spans="1:16" ht="18.95" customHeight="1">
      <c r="A364" s="55"/>
      <c r="B364" s="55"/>
      <c r="C364" s="55"/>
      <c r="D364" s="55"/>
      <c r="E364" s="55"/>
      <c r="F364" s="55"/>
      <c r="G364" s="55"/>
      <c r="H364" s="55"/>
      <c r="I364" s="55"/>
      <c r="J364" s="55"/>
      <c r="K364" s="55"/>
      <c r="L364" s="48"/>
      <c r="M364" s="55"/>
      <c r="N364" s="55"/>
      <c r="O364" s="55"/>
      <c r="P364" s="55"/>
    </row>
    <row r="365" spans="1:16" ht="18.95" customHeight="1">
      <c r="A365" s="55"/>
      <c r="B365" s="55"/>
      <c r="C365" s="55"/>
      <c r="D365" s="55"/>
      <c r="E365" s="55"/>
      <c r="F365" s="55"/>
      <c r="G365" s="55"/>
      <c r="H365" s="55"/>
      <c r="I365" s="55"/>
      <c r="J365" s="55"/>
      <c r="K365" s="55"/>
      <c r="L365" s="48"/>
      <c r="M365" s="55"/>
      <c r="N365" s="55"/>
      <c r="O365" s="55"/>
      <c r="P365" s="55"/>
    </row>
    <row r="366" spans="1:16" ht="18.95" customHeight="1">
      <c r="A366" s="55"/>
      <c r="B366" s="55"/>
      <c r="C366" s="55"/>
      <c r="D366" s="55"/>
      <c r="E366" s="55"/>
      <c r="F366" s="55"/>
      <c r="G366" s="55"/>
      <c r="H366" s="55"/>
      <c r="I366" s="55"/>
      <c r="J366" s="55"/>
      <c r="K366" s="55"/>
      <c r="L366" s="48"/>
      <c r="M366" s="55"/>
      <c r="N366" s="55"/>
      <c r="O366" s="55"/>
      <c r="P366" s="55"/>
    </row>
    <row r="367" spans="1:16" ht="18.95" customHeight="1">
      <c r="A367" s="55"/>
      <c r="B367" s="55"/>
      <c r="C367" s="55"/>
      <c r="D367" s="55"/>
      <c r="E367" s="55"/>
      <c r="F367" s="55"/>
      <c r="G367" s="55"/>
      <c r="H367" s="55"/>
      <c r="I367" s="55"/>
      <c r="J367" s="55"/>
      <c r="K367" s="55"/>
      <c r="L367" s="48"/>
      <c r="M367" s="55"/>
      <c r="N367" s="55"/>
      <c r="O367" s="55"/>
      <c r="P367" s="55"/>
    </row>
    <row r="368" spans="1:16" ht="18.95" customHeight="1">
      <c r="A368" s="55"/>
      <c r="B368" s="55"/>
      <c r="C368" s="55"/>
      <c r="D368" s="55"/>
      <c r="E368" s="55"/>
      <c r="F368" s="55"/>
      <c r="G368" s="55"/>
      <c r="H368" s="55"/>
      <c r="I368" s="55"/>
      <c r="J368" s="55"/>
      <c r="K368" s="55"/>
      <c r="L368" s="48"/>
      <c r="M368" s="55"/>
      <c r="N368" s="55"/>
      <c r="O368" s="55"/>
      <c r="P368" s="55"/>
    </row>
    <row r="369" spans="1:16" ht="18.95" customHeight="1">
      <c r="A369" s="55"/>
      <c r="B369" s="55"/>
      <c r="C369" s="55"/>
      <c r="D369" s="55"/>
      <c r="E369" s="55"/>
      <c r="F369" s="55"/>
      <c r="G369" s="55"/>
      <c r="H369" s="55"/>
      <c r="I369" s="55"/>
      <c r="J369" s="55"/>
      <c r="K369" s="55"/>
      <c r="L369" s="48"/>
      <c r="M369" s="55"/>
      <c r="N369" s="55"/>
      <c r="O369" s="55"/>
      <c r="P369" s="55"/>
    </row>
    <row r="370" spans="1:16" ht="18.95" customHeight="1">
      <c r="A370" s="55"/>
      <c r="B370" s="55"/>
      <c r="C370" s="55"/>
      <c r="D370" s="55"/>
      <c r="E370" s="55"/>
      <c r="F370" s="55"/>
      <c r="G370" s="55"/>
      <c r="H370" s="55"/>
      <c r="I370" s="55"/>
      <c r="J370" s="55"/>
      <c r="K370" s="55"/>
      <c r="L370" s="48"/>
      <c r="M370" s="55"/>
      <c r="N370" s="55"/>
      <c r="O370" s="55"/>
      <c r="P370" s="55"/>
    </row>
    <row r="371" spans="1:16" ht="18.95" customHeight="1">
      <c r="A371" s="55"/>
      <c r="B371" s="55"/>
      <c r="C371" s="55"/>
      <c r="D371" s="55"/>
      <c r="E371" s="55"/>
      <c r="F371" s="55"/>
      <c r="G371" s="55"/>
      <c r="H371" s="55"/>
      <c r="I371" s="55"/>
      <c r="J371" s="55"/>
      <c r="K371" s="55"/>
      <c r="L371" s="48"/>
      <c r="M371" s="55"/>
      <c r="N371" s="55"/>
      <c r="O371" s="55"/>
      <c r="P371" s="55"/>
    </row>
    <row r="372" spans="1:16" ht="18.95" customHeight="1">
      <c r="A372" s="55"/>
      <c r="B372" s="55"/>
      <c r="C372" s="55"/>
      <c r="D372" s="55"/>
      <c r="E372" s="55"/>
      <c r="F372" s="55"/>
      <c r="G372" s="55"/>
      <c r="H372" s="55"/>
      <c r="I372" s="55"/>
      <c r="J372" s="55"/>
      <c r="K372" s="55"/>
      <c r="L372" s="48"/>
      <c r="M372" s="55"/>
      <c r="N372" s="55"/>
      <c r="O372" s="55"/>
      <c r="P372" s="55"/>
    </row>
    <row r="373" spans="1:16" ht="18.95" customHeight="1">
      <c r="A373" s="55"/>
      <c r="B373" s="55"/>
      <c r="C373" s="55"/>
      <c r="D373" s="55"/>
      <c r="E373" s="55"/>
      <c r="F373" s="55"/>
      <c r="G373" s="55"/>
      <c r="H373" s="55"/>
      <c r="I373" s="55"/>
      <c r="J373" s="55"/>
      <c r="K373" s="55"/>
      <c r="L373" s="48"/>
      <c r="M373" s="55"/>
      <c r="N373" s="55"/>
      <c r="O373" s="55"/>
      <c r="P373" s="55"/>
    </row>
    <row r="374" spans="1:16" ht="18.95" customHeight="1">
      <c r="A374" s="55"/>
      <c r="B374" s="55"/>
      <c r="C374" s="55"/>
      <c r="D374" s="55"/>
      <c r="E374" s="55"/>
      <c r="F374" s="55"/>
      <c r="G374" s="55"/>
      <c r="H374" s="55"/>
      <c r="I374" s="55"/>
      <c r="J374" s="55"/>
      <c r="K374" s="55"/>
      <c r="L374" s="48"/>
      <c r="M374" s="55"/>
      <c r="N374" s="55"/>
      <c r="O374" s="55"/>
      <c r="P374" s="55"/>
    </row>
    <row r="375" spans="1:16" ht="18.95" customHeight="1">
      <c r="A375" s="55"/>
      <c r="B375" s="55"/>
      <c r="C375" s="55"/>
      <c r="D375" s="55"/>
      <c r="E375" s="55"/>
      <c r="F375" s="55"/>
      <c r="G375" s="55"/>
      <c r="H375" s="55"/>
      <c r="I375" s="55"/>
      <c r="J375" s="55"/>
      <c r="K375" s="55"/>
      <c r="L375" s="48"/>
      <c r="M375" s="55"/>
      <c r="N375" s="55"/>
      <c r="O375" s="55"/>
      <c r="P375" s="55"/>
    </row>
    <row r="376" spans="1:16" ht="18.95" customHeight="1">
      <c r="A376" s="55"/>
      <c r="B376" s="55"/>
      <c r="C376" s="55"/>
      <c r="D376" s="55"/>
      <c r="E376" s="55"/>
      <c r="F376" s="55"/>
      <c r="G376" s="55"/>
      <c r="H376" s="55"/>
      <c r="I376" s="55"/>
      <c r="J376" s="55"/>
      <c r="K376" s="55"/>
      <c r="L376" s="48"/>
      <c r="M376" s="55"/>
      <c r="N376" s="55"/>
      <c r="O376" s="55"/>
      <c r="P376" s="55"/>
    </row>
    <row r="377" spans="1:16" ht="18.95" customHeight="1">
      <c r="A377" s="55"/>
      <c r="B377" s="55"/>
      <c r="C377" s="55"/>
      <c r="D377" s="55"/>
      <c r="E377" s="55"/>
      <c r="F377" s="55"/>
      <c r="G377" s="55"/>
      <c r="H377" s="55"/>
      <c r="I377" s="55"/>
      <c r="J377" s="55"/>
      <c r="K377" s="55"/>
      <c r="L377" s="48"/>
      <c r="M377" s="55"/>
      <c r="N377" s="55"/>
      <c r="O377" s="55"/>
      <c r="P377" s="55"/>
    </row>
    <row r="378" spans="1:16" ht="18.95" customHeight="1">
      <c r="A378" s="55"/>
      <c r="B378" s="55"/>
      <c r="C378" s="55"/>
      <c r="D378" s="55"/>
      <c r="E378" s="55"/>
      <c r="F378" s="55"/>
      <c r="G378" s="55"/>
      <c r="H378" s="55"/>
      <c r="I378" s="55"/>
      <c r="J378" s="55"/>
      <c r="K378" s="55"/>
      <c r="L378" s="48"/>
      <c r="M378" s="55"/>
      <c r="N378" s="55"/>
      <c r="O378" s="55"/>
      <c r="P378" s="55"/>
    </row>
    <row r="379" spans="1:16" ht="18.95" customHeight="1">
      <c r="A379" s="55"/>
      <c r="B379" s="55"/>
      <c r="C379" s="55"/>
      <c r="D379" s="55"/>
      <c r="E379" s="55"/>
      <c r="F379" s="55"/>
      <c r="G379" s="55"/>
      <c r="H379" s="55"/>
      <c r="I379" s="55"/>
      <c r="J379" s="55"/>
      <c r="K379" s="55"/>
      <c r="L379" s="48"/>
      <c r="M379" s="55"/>
      <c r="N379" s="55"/>
      <c r="O379" s="55"/>
      <c r="P379" s="55"/>
    </row>
    <row r="380" spans="1:16" ht="18.95" customHeight="1">
      <c r="A380" s="55"/>
      <c r="B380" s="55"/>
      <c r="C380" s="55"/>
      <c r="D380" s="55"/>
      <c r="E380" s="55"/>
      <c r="F380" s="55"/>
      <c r="G380" s="55"/>
      <c r="H380" s="55"/>
      <c r="I380" s="55"/>
      <c r="J380" s="55"/>
      <c r="K380" s="55"/>
      <c r="L380" s="48"/>
      <c r="M380" s="55"/>
      <c r="N380" s="55"/>
      <c r="O380" s="55"/>
      <c r="P380" s="55"/>
    </row>
    <row r="381" spans="1:16" ht="18.95" customHeight="1">
      <c r="A381" s="55"/>
      <c r="B381" s="55"/>
      <c r="C381" s="55"/>
      <c r="D381" s="55"/>
      <c r="E381" s="55"/>
      <c r="F381" s="55"/>
      <c r="G381" s="55"/>
      <c r="H381" s="55"/>
      <c r="I381" s="55"/>
      <c r="J381" s="55"/>
      <c r="K381" s="55"/>
      <c r="L381" s="48"/>
      <c r="M381" s="55"/>
      <c r="N381" s="55"/>
      <c r="O381" s="55"/>
      <c r="P381" s="55"/>
    </row>
    <row r="382" spans="1:16" ht="18.95" customHeight="1">
      <c r="A382" s="55"/>
      <c r="B382" s="55"/>
      <c r="C382" s="55"/>
      <c r="D382" s="55"/>
      <c r="E382" s="55"/>
      <c r="F382" s="55"/>
      <c r="G382" s="55"/>
      <c r="H382" s="55"/>
      <c r="I382" s="55"/>
      <c r="J382" s="55"/>
      <c r="K382" s="55"/>
      <c r="L382" s="48"/>
      <c r="M382" s="55"/>
      <c r="N382" s="55"/>
      <c r="O382" s="55"/>
      <c r="P382" s="55"/>
    </row>
    <row r="383" spans="1:16" ht="18.95" customHeight="1">
      <c r="A383" s="55"/>
      <c r="B383" s="55"/>
      <c r="C383" s="55"/>
      <c r="D383" s="55"/>
      <c r="E383" s="55"/>
      <c r="F383" s="55"/>
      <c r="G383" s="55"/>
      <c r="H383" s="55"/>
      <c r="I383" s="55"/>
      <c r="J383" s="55"/>
      <c r="K383" s="55"/>
      <c r="L383" s="48"/>
      <c r="M383" s="55"/>
      <c r="N383" s="55"/>
      <c r="O383" s="55"/>
      <c r="P383" s="55"/>
    </row>
    <row r="384" spans="1:16" ht="18.95" customHeight="1">
      <c r="A384" s="55"/>
      <c r="B384" s="55"/>
      <c r="C384" s="55"/>
      <c r="D384" s="55"/>
      <c r="E384" s="55"/>
      <c r="F384" s="55"/>
      <c r="G384" s="55"/>
      <c r="H384" s="55"/>
      <c r="I384" s="55"/>
      <c r="J384" s="55"/>
      <c r="K384" s="55"/>
      <c r="L384" s="48"/>
      <c r="M384" s="55"/>
      <c r="N384" s="55"/>
      <c r="O384" s="55"/>
      <c r="P384" s="55"/>
    </row>
    <row r="385" spans="1:16" ht="18.95" customHeight="1">
      <c r="A385" s="55"/>
      <c r="B385" s="55"/>
      <c r="C385" s="55"/>
      <c r="D385" s="55"/>
      <c r="E385" s="55"/>
      <c r="F385" s="55"/>
      <c r="G385" s="55"/>
      <c r="H385" s="55"/>
      <c r="I385" s="55"/>
      <c r="J385" s="55"/>
      <c r="K385" s="55"/>
      <c r="L385" s="48"/>
      <c r="M385" s="55"/>
      <c r="N385" s="55"/>
      <c r="O385" s="55"/>
      <c r="P385" s="55"/>
    </row>
    <row r="386" spans="1:16" ht="18.95" customHeight="1">
      <c r="A386" s="55"/>
      <c r="B386" s="55"/>
      <c r="C386" s="55"/>
      <c r="D386" s="55"/>
      <c r="E386" s="55"/>
      <c r="F386" s="55"/>
      <c r="G386" s="55"/>
      <c r="H386" s="55"/>
      <c r="I386" s="55"/>
      <c r="J386" s="55"/>
      <c r="K386" s="55"/>
      <c r="L386" s="48"/>
      <c r="M386" s="55"/>
      <c r="N386" s="55"/>
      <c r="O386" s="55"/>
      <c r="P386" s="55"/>
    </row>
    <row r="387" spans="1:16" ht="18.95" customHeight="1">
      <c r="A387" s="55"/>
      <c r="B387" s="55"/>
      <c r="C387" s="55"/>
      <c r="D387" s="55"/>
      <c r="E387" s="55"/>
      <c r="F387" s="55"/>
      <c r="G387" s="55"/>
      <c r="H387" s="55"/>
      <c r="I387" s="55"/>
      <c r="J387" s="55"/>
      <c r="K387" s="55"/>
      <c r="L387" s="48"/>
      <c r="M387" s="55"/>
      <c r="N387" s="55"/>
      <c r="O387" s="55"/>
      <c r="P387" s="55"/>
    </row>
    <row r="388" spans="1:16" ht="18.95" customHeight="1">
      <c r="A388" s="55"/>
      <c r="B388" s="55"/>
      <c r="C388" s="55"/>
      <c r="D388" s="55"/>
      <c r="E388" s="55"/>
      <c r="F388" s="55"/>
      <c r="G388" s="55"/>
      <c r="H388" s="55"/>
      <c r="I388" s="55"/>
      <c r="J388" s="55"/>
      <c r="K388" s="55"/>
      <c r="L388" s="48"/>
      <c r="M388" s="55"/>
      <c r="N388" s="55"/>
      <c r="O388" s="55"/>
      <c r="P388" s="55"/>
    </row>
    <row r="389" spans="1:16" ht="18.95" customHeight="1">
      <c r="A389" s="55"/>
      <c r="B389" s="55"/>
      <c r="C389" s="55"/>
      <c r="D389" s="55"/>
      <c r="E389" s="55"/>
      <c r="F389" s="55"/>
      <c r="G389" s="55"/>
      <c r="H389" s="55"/>
      <c r="I389" s="55"/>
      <c r="J389" s="55"/>
      <c r="K389" s="55"/>
      <c r="L389" s="48"/>
      <c r="M389" s="55"/>
      <c r="N389" s="55"/>
      <c r="O389" s="55"/>
      <c r="P389" s="55"/>
    </row>
    <row r="390" spans="1:16" ht="18.95" customHeight="1">
      <c r="A390" s="55"/>
      <c r="B390" s="55"/>
      <c r="C390" s="55"/>
      <c r="D390" s="55"/>
      <c r="E390" s="55"/>
      <c r="F390" s="55"/>
      <c r="G390" s="55"/>
      <c r="H390" s="55"/>
      <c r="I390" s="55"/>
      <c r="J390" s="55"/>
      <c r="K390" s="55"/>
      <c r="L390" s="48"/>
      <c r="M390" s="55"/>
      <c r="N390" s="55"/>
      <c r="O390" s="55"/>
      <c r="P390" s="55"/>
    </row>
    <row r="391" spans="1:16" ht="18.95" customHeight="1">
      <c r="A391" s="55"/>
      <c r="B391" s="55"/>
      <c r="C391" s="55"/>
      <c r="D391" s="55"/>
      <c r="E391" s="55"/>
      <c r="F391" s="55"/>
      <c r="G391" s="55"/>
      <c r="H391" s="55"/>
      <c r="I391" s="55"/>
      <c r="J391" s="55"/>
      <c r="K391" s="55"/>
      <c r="L391" s="48"/>
      <c r="M391" s="55"/>
      <c r="N391" s="55"/>
      <c r="O391" s="55"/>
      <c r="P391" s="55"/>
    </row>
    <row r="392" spans="1:16" ht="18.95" customHeight="1">
      <c r="A392" s="55"/>
      <c r="B392" s="55"/>
      <c r="C392" s="55"/>
      <c r="D392" s="55"/>
      <c r="E392" s="55"/>
      <c r="F392" s="55"/>
      <c r="G392" s="55"/>
      <c r="H392" s="55"/>
      <c r="I392" s="55"/>
      <c r="J392" s="55"/>
      <c r="K392" s="55"/>
      <c r="L392" s="48"/>
      <c r="M392" s="55"/>
      <c r="N392" s="55"/>
      <c r="O392" s="55"/>
      <c r="P392" s="55"/>
    </row>
    <row r="393" spans="1:16" ht="18.95" customHeight="1">
      <c r="A393" s="55"/>
      <c r="B393" s="55"/>
      <c r="C393" s="55"/>
      <c r="D393" s="55"/>
      <c r="E393" s="55"/>
      <c r="F393" s="55"/>
      <c r="G393" s="55"/>
      <c r="H393" s="55"/>
      <c r="I393" s="55"/>
      <c r="J393" s="55"/>
      <c r="K393" s="55"/>
      <c r="L393" s="48"/>
      <c r="M393" s="55"/>
      <c r="N393" s="55"/>
      <c r="O393" s="55"/>
      <c r="P393" s="55"/>
    </row>
    <row r="394" spans="1:16" ht="18.95" customHeight="1">
      <c r="A394" s="55"/>
      <c r="B394" s="55"/>
      <c r="C394" s="55"/>
      <c r="D394" s="55"/>
      <c r="E394" s="55"/>
      <c r="F394" s="55"/>
      <c r="G394" s="55"/>
      <c r="H394" s="55"/>
      <c r="I394" s="55"/>
      <c r="J394" s="55"/>
      <c r="K394" s="55"/>
      <c r="L394" s="48"/>
      <c r="M394" s="55"/>
      <c r="N394" s="55"/>
      <c r="O394" s="55"/>
      <c r="P394" s="55"/>
    </row>
    <row r="395" spans="1:16" ht="18.95" customHeight="1">
      <c r="A395" s="55"/>
      <c r="B395" s="55"/>
      <c r="C395" s="55"/>
      <c r="D395" s="55"/>
      <c r="E395" s="55"/>
      <c r="F395" s="55"/>
      <c r="G395" s="55"/>
      <c r="H395" s="55"/>
      <c r="I395" s="55"/>
      <c r="J395" s="55"/>
      <c r="K395" s="55"/>
      <c r="L395" s="48"/>
      <c r="M395" s="55"/>
      <c r="N395" s="55"/>
      <c r="O395" s="55"/>
      <c r="P395" s="55"/>
    </row>
    <row r="396" spans="1:16" ht="18.95" customHeight="1">
      <c r="A396" s="55"/>
      <c r="B396" s="55"/>
      <c r="C396" s="55"/>
      <c r="D396" s="55"/>
      <c r="E396" s="55"/>
      <c r="F396" s="55"/>
      <c r="G396" s="55"/>
      <c r="H396" s="55"/>
      <c r="I396" s="55"/>
      <c r="J396" s="55"/>
      <c r="K396" s="55"/>
      <c r="L396" s="48"/>
      <c r="M396" s="55"/>
      <c r="N396" s="55"/>
      <c r="O396" s="55"/>
      <c r="P396" s="55"/>
    </row>
    <row r="397" spans="1:16" ht="18.95" customHeight="1">
      <c r="A397" s="55"/>
      <c r="B397" s="55"/>
      <c r="C397" s="55"/>
      <c r="D397" s="55"/>
      <c r="E397" s="55"/>
      <c r="F397" s="55"/>
      <c r="G397" s="55"/>
      <c r="H397" s="55"/>
      <c r="I397" s="55"/>
      <c r="J397" s="55"/>
      <c r="K397" s="55"/>
      <c r="L397" s="48"/>
      <c r="M397" s="55"/>
      <c r="N397" s="55"/>
      <c r="O397" s="55"/>
      <c r="P397" s="55"/>
    </row>
    <row r="398" spans="1:16" ht="18.95" customHeight="1">
      <c r="A398" s="55"/>
      <c r="B398" s="55"/>
      <c r="C398" s="55"/>
      <c r="D398" s="55"/>
      <c r="E398" s="55"/>
      <c r="F398" s="55"/>
      <c r="G398" s="55"/>
      <c r="H398" s="55"/>
      <c r="I398" s="55"/>
      <c r="J398" s="55"/>
      <c r="K398" s="55"/>
      <c r="L398" s="48"/>
      <c r="M398" s="55"/>
      <c r="N398" s="55"/>
      <c r="O398" s="55"/>
      <c r="P398" s="55"/>
    </row>
    <row r="399" spans="1:16" ht="18.95" customHeight="1">
      <c r="A399" s="55"/>
      <c r="B399" s="55"/>
      <c r="C399" s="55"/>
      <c r="D399" s="55"/>
      <c r="E399" s="55"/>
      <c r="F399" s="55"/>
      <c r="G399" s="55"/>
      <c r="H399" s="55"/>
      <c r="I399" s="55"/>
      <c r="J399" s="55"/>
      <c r="K399" s="55"/>
      <c r="L399" s="48"/>
      <c r="M399" s="55"/>
      <c r="N399" s="55"/>
      <c r="O399" s="55"/>
      <c r="P399" s="55"/>
    </row>
    <row r="400" spans="1:16" ht="18.95" customHeight="1">
      <c r="A400" s="55"/>
      <c r="B400" s="55"/>
      <c r="C400" s="55"/>
      <c r="D400" s="55"/>
      <c r="E400" s="55"/>
      <c r="F400" s="55"/>
      <c r="G400" s="55"/>
      <c r="H400" s="55"/>
      <c r="I400" s="55"/>
      <c r="J400" s="55"/>
      <c r="K400" s="55"/>
      <c r="L400" s="48"/>
      <c r="M400" s="55"/>
      <c r="N400" s="55"/>
      <c r="O400" s="55"/>
      <c r="P400" s="55"/>
    </row>
    <row r="401" spans="1:16" ht="18.95" customHeight="1">
      <c r="A401" s="55"/>
      <c r="B401" s="55"/>
      <c r="C401" s="55"/>
      <c r="D401" s="55"/>
      <c r="E401" s="55"/>
      <c r="F401" s="55"/>
      <c r="G401" s="55"/>
      <c r="H401" s="55"/>
      <c r="I401" s="55"/>
      <c r="J401" s="55"/>
      <c r="K401" s="55"/>
      <c r="L401" s="48"/>
      <c r="M401" s="55"/>
      <c r="N401" s="55"/>
      <c r="O401" s="55"/>
      <c r="P401" s="55"/>
    </row>
    <row r="402" spans="1:16" ht="18.95" customHeight="1">
      <c r="A402" s="55"/>
      <c r="B402" s="55"/>
      <c r="C402" s="55"/>
      <c r="D402" s="55"/>
      <c r="E402" s="55"/>
      <c r="F402" s="55"/>
      <c r="G402" s="55"/>
      <c r="H402" s="55"/>
      <c r="I402" s="55"/>
      <c r="J402" s="55"/>
      <c r="K402" s="55"/>
      <c r="L402" s="48"/>
      <c r="M402" s="55"/>
      <c r="N402" s="55"/>
      <c r="O402" s="55"/>
      <c r="P402" s="55"/>
    </row>
    <row r="403" spans="1:16" ht="18.95" customHeight="1">
      <c r="A403" s="55"/>
      <c r="B403" s="55"/>
      <c r="C403" s="55"/>
      <c r="D403" s="55"/>
      <c r="E403" s="55"/>
      <c r="F403" s="55"/>
      <c r="G403" s="55"/>
      <c r="H403" s="55"/>
      <c r="I403" s="55"/>
      <c r="J403" s="55"/>
      <c r="K403" s="55"/>
      <c r="L403" s="48"/>
      <c r="M403" s="55"/>
      <c r="N403" s="55"/>
      <c r="O403" s="55"/>
      <c r="P403" s="55"/>
    </row>
    <row r="404" spans="1:16" ht="18.95" customHeight="1">
      <c r="A404" s="55"/>
      <c r="B404" s="55"/>
      <c r="C404" s="55"/>
      <c r="D404" s="55"/>
      <c r="E404" s="55"/>
      <c r="F404" s="55"/>
      <c r="G404" s="55"/>
      <c r="H404" s="55"/>
      <c r="I404" s="55"/>
      <c r="J404" s="55"/>
      <c r="K404" s="55"/>
      <c r="L404" s="48"/>
      <c r="M404" s="55"/>
      <c r="N404" s="55"/>
      <c r="O404" s="55"/>
      <c r="P404" s="55"/>
    </row>
    <row r="405" spans="1:16" ht="18.95" customHeight="1">
      <c r="A405" s="55"/>
      <c r="B405" s="55"/>
      <c r="C405" s="55"/>
      <c r="D405" s="55"/>
      <c r="E405" s="55"/>
      <c r="F405" s="55"/>
      <c r="G405" s="55"/>
      <c r="H405" s="55"/>
      <c r="I405" s="55"/>
      <c r="J405" s="55"/>
      <c r="K405" s="55"/>
      <c r="L405" s="48"/>
      <c r="M405" s="55"/>
      <c r="N405" s="55"/>
      <c r="O405" s="55"/>
      <c r="P405" s="55"/>
    </row>
    <row r="406" spans="1:16" ht="18.95" customHeight="1">
      <c r="A406" s="55"/>
      <c r="B406" s="55"/>
      <c r="C406" s="55"/>
      <c r="D406" s="55"/>
      <c r="E406" s="55"/>
      <c r="F406" s="55"/>
      <c r="G406" s="55"/>
      <c r="H406" s="55"/>
      <c r="I406" s="55"/>
      <c r="J406" s="55"/>
      <c r="K406" s="55"/>
      <c r="L406" s="48"/>
      <c r="M406" s="55"/>
      <c r="N406" s="55"/>
      <c r="O406" s="55"/>
      <c r="P406" s="55"/>
    </row>
    <row r="407" spans="1:16" ht="18.95" customHeight="1">
      <c r="A407" s="55"/>
      <c r="B407" s="55"/>
      <c r="C407" s="55"/>
      <c r="D407" s="55"/>
      <c r="E407" s="55"/>
      <c r="F407" s="55"/>
      <c r="G407" s="55"/>
      <c r="H407" s="55"/>
      <c r="I407" s="55"/>
      <c r="J407" s="55"/>
      <c r="K407" s="55"/>
      <c r="L407" s="48"/>
      <c r="M407" s="55"/>
      <c r="N407" s="55"/>
      <c r="O407" s="55"/>
      <c r="P407" s="55"/>
    </row>
    <row r="408" spans="1:16" ht="18.95" customHeight="1">
      <c r="A408" s="55"/>
      <c r="B408" s="55"/>
      <c r="C408" s="55"/>
      <c r="D408" s="55"/>
      <c r="E408" s="55"/>
      <c r="F408" s="55"/>
      <c r="G408" s="55"/>
      <c r="H408" s="55"/>
      <c r="I408" s="55"/>
      <c r="J408" s="55"/>
      <c r="K408" s="55"/>
      <c r="L408" s="48"/>
      <c r="M408" s="55"/>
      <c r="N408" s="55"/>
      <c r="O408" s="55"/>
      <c r="P408" s="55"/>
    </row>
    <row r="409" spans="1:16" ht="18.95" customHeight="1">
      <c r="A409" s="55"/>
      <c r="B409" s="55"/>
      <c r="C409" s="55"/>
      <c r="D409" s="55"/>
      <c r="E409" s="55"/>
      <c r="F409" s="55"/>
      <c r="G409" s="55"/>
      <c r="H409" s="55"/>
      <c r="I409" s="55"/>
      <c r="J409" s="55"/>
      <c r="K409" s="55"/>
      <c r="L409" s="48"/>
      <c r="M409" s="55"/>
      <c r="N409" s="55"/>
      <c r="O409" s="55"/>
      <c r="P409" s="55"/>
    </row>
    <row r="410" spans="1:16" ht="18.95" customHeight="1">
      <c r="A410" s="55"/>
      <c r="B410" s="55"/>
      <c r="C410" s="55"/>
      <c r="D410" s="55"/>
      <c r="E410" s="55"/>
      <c r="F410" s="55"/>
      <c r="G410" s="55"/>
      <c r="H410" s="55"/>
      <c r="I410" s="55"/>
      <c r="J410" s="55"/>
      <c r="K410" s="55"/>
      <c r="L410" s="48"/>
      <c r="M410" s="55"/>
      <c r="N410" s="55"/>
      <c r="O410" s="55"/>
      <c r="P410" s="55"/>
    </row>
    <row r="411" spans="1:16" ht="18.95" customHeight="1">
      <c r="A411" s="55"/>
      <c r="B411" s="55"/>
      <c r="C411" s="55"/>
      <c r="D411" s="55"/>
      <c r="E411" s="55"/>
      <c r="F411" s="55"/>
      <c r="G411" s="55"/>
      <c r="H411" s="55"/>
      <c r="I411" s="55"/>
      <c r="J411" s="55"/>
      <c r="K411" s="55"/>
      <c r="L411" s="48"/>
      <c r="M411" s="55"/>
      <c r="N411" s="55"/>
      <c r="O411" s="55"/>
      <c r="P411" s="55"/>
    </row>
    <row r="412" spans="1:16" ht="18.95" customHeight="1">
      <c r="A412" s="55"/>
      <c r="B412" s="55"/>
      <c r="C412" s="55"/>
      <c r="D412" s="55"/>
      <c r="E412" s="55"/>
      <c r="F412" s="55"/>
      <c r="G412" s="55"/>
      <c r="H412" s="55"/>
      <c r="I412" s="55"/>
      <c r="J412" s="55"/>
      <c r="K412" s="55"/>
      <c r="L412" s="48"/>
      <c r="M412" s="55"/>
      <c r="N412" s="55"/>
      <c r="O412" s="55"/>
      <c r="P412" s="55"/>
    </row>
    <row r="413" spans="1:16" ht="18.95" customHeight="1">
      <c r="A413" s="55"/>
      <c r="B413" s="55"/>
      <c r="C413" s="55"/>
      <c r="D413" s="55"/>
      <c r="E413" s="55"/>
      <c r="F413" s="55"/>
      <c r="G413" s="55"/>
      <c r="H413" s="55"/>
      <c r="I413" s="55"/>
      <c r="J413" s="55"/>
      <c r="K413" s="55"/>
      <c r="L413" s="48"/>
      <c r="M413" s="55"/>
      <c r="N413" s="55"/>
      <c r="O413" s="55"/>
      <c r="P413" s="55"/>
    </row>
    <row r="414" spans="1:16" ht="18.95" customHeight="1">
      <c r="A414" s="55"/>
      <c r="B414" s="55"/>
      <c r="C414" s="55"/>
      <c r="D414" s="55"/>
      <c r="E414" s="55"/>
      <c r="F414" s="55"/>
      <c r="G414" s="55"/>
      <c r="H414" s="55"/>
      <c r="I414" s="55"/>
      <c r="J414" s="55"/>
      <c r="K414" s="55"/>
      <c r="L414" s="48"/>
      <c r="M414" s="55"/>
      <c r="N414" s="55"/>
      <c r="O414" s="55"/>
      <c r="P414" s="55"/>
    </row>
    <row r="415" spans="1:16" ht="18.95" customHeight="1">
      <c r="A415" s="55"/>
      <c r="B415" s="55"/>
      <c r="C415" s="55"/>
      <c r="D415" s="55"/>
      <c r="E415" s="55"/>
      <c r="F415" s="55"/>
      <c r="G415" s="55"/>
      <c r="H415" s="55"/>
      <c r="I415" s="55"/>
      <c r="J415" s="55"/>
      <c r="K415" s="55"/>
      <c r="L415" s="48"/>
      <c r="M415" s="55"/>
      <c r="N415" s="55"/>
      <c r="O415" s="55"/>
      <c r="P415" s="55"/>
    </row>
    <row r="416" spans="1:16" ht="18.95" customHeight="1">
      <c r="A416" s="55"/>
      <c r="B416" s="55"/>
      <c r="C416" s="55"/>
      <c r="D416" s="55"/>
      <c r="E416" s="55"/>
      <c r="F416" s="55"/>
      <c r="G416" s="55"/>
      <c r="H416" s="55"/>
      <c r="I416" s="55"/>
      <c r="J416" s="55"/>
      <c r="K416" s="55"/>
      <c r="L416" s="48"/>
      <c r="M416" s="55"/>
      <c r="N416" s="55"/>
      <c r="O416" s="55"/>
      <c r="P416" s="55"/>
    </row>
    <row r="417" spans="1:16" ht="18.95" customHeight="1">
      <c r="A417" s="55"/>
      <c r="B417" s="55"/>
      <c r="C417" s="55"/>
      <c r="D417" s="55"/>
      <c r="E417" s="55"/>
      <c r="F417" s="55"/>
      <c r="G417" s="55"/>
      <c r="H417" s="55"/>
      <c r="I417" s="55"/>
      <c r="J417" s="55"/>
      <c r="K417" s="55"/>
      <c r="L417" s="48"/>
      <c r="M417" s="55"/>
      <c r="N417" s="55"/>
      <c r="O417" s="55"/>
      <c r="P417" s="55"/>
    </row>
    <row r="418" spans="1:16" ht="18.95" customHeight="1">
      <c r="A418" s="55"/>
      <c r="B418" s="55"/>
      <c r="C418" s="55"/>
      <c r="D418" s="55"/>
      <c r="E418" s="55"/>
      <c r="F418" s="55"/>
      <c r="G418" s="55"/>
      <c r="H418" s="55"/>
      <c r="I418" s="55"/>
      <c r="J418" s="55"/>
      <c r="K418" s="55"/>
      <c r="L418" s="48"/>
      <c r="M418" s="55"/>
      <c r="N418" s="55"/>
      <c r="O418" s="55"/>
      <c r="P418" s="55"/>
    </row>
    <row r="419" spans="1:16" ht="18.95" customHeight="1">
      <c r="A419" s="55"/>
      <c r="B419" s="55"/>
      <c r="C419" s="55"/>
      <c r="D419" s="55"/>
      <c r="E419" s="55"/>
      <c r="F419" s="55"/>
      <c r="G419" s="55"/>
      <c r="H419" s="55"/>
      <c r="I419" s="55"/>
      <c r="J419" s="55"/>
      <c r="K419" s="55"/>
      <c r="L419" s="48"/>
      <c r="M419" s="55"/>
      <c r="N419" s="55"/>
      <c r="O419" s="55"/>
      <c r="P419" s="55"/>
    </row>
    <row r="420" spans="1:16" ht="18.95" customHeight="1">
      <c r="A420" s="55"/>
      <c r="B420" s="55"/>
      <c r="C420" s="55"/>
      <c r="D420" s="55"/>
      <c r="E420" s="55"/>
      <c r="F420" s="55"/>
      <c r="G420" s="55"/>
      <c r="H420" s="55"/>
      <c r="I420" s="55"/>
      <c r="J420" s="55"/>
      <c r="K420" s="55"/>
      <c r="L420" s="48"/>
      <c r="M420" s="55"/>
      <c r="N420" s="55"/>
      <c r="O420" s="55"/>
      <c r="P420" s="55"/>
    </row>
  </sheetData>
  <mergeCells count="34">
    <mergeCell ref="A1:P1"/>
    <mergeCell ref="A3:B4"/>
    <mergeCell ref="G3:H3"/>
    <mergeCell ref="I3:J3"/>
    <mergeCell ref="A96:L96"/>
    <mergeCell ref="E2:F2"/>
    <mergeCell ref="A6:L6"/>
    <mergeCell ref="A95:L95"/>
    <mergeCell ref="A62:L62"/>
    <mergeCell ref="A70:L70"/>
    <mergeCell ref="E4:F4"/>
    <mergeCell ref="K4:L4"/>
    <mergeCell ref="A98:L98"/>
    <mergeCell ref="G4:H4"/>
    <mergeCell ref="I4:J4"/>
    <mergeCell ref="A21:L21"/>
    <mergeCell ref="A2:D2"/>
    <mergeCell ref="G2:L2"/>
    <mergeCell ref="A82:L82"/>
    <mergeCell ref="A30:L30"/>
    <mergeCell ref="A53:L53"/>
    <mergeCell ref="A97:L97"/>
    <mergeCell ref="C3:D3"/>
    <mergeCell ref="A20:L20"/>
    <mergeCell ref="E3:F3"/>
    <mergeCell ref="K3:L3"/>
    <mergeCell ref="A14:L14"/>
    <mergeCell ref="A93:L93"/>
    <mergeCell ref="A143:P143"/>
    <mergeCell ref="A108:P108"/>
    <mergeCell ref="A109:P109"/>
    <mergeCell ref="A111:P111"/>
    <mergeCell ref="A122:P122"/>
    <mergeCell ref="A132:P132"/>
  </mergeCells>
  <dataValidations count="6">
    <dataValidation type="list" allowBlank="1" errorTitle="Invalid entry" error="Select a value from the list." prompt="Use the dropdown choice." sqref="D16:D18 F23:F28 F55:F60 F64:F68" xr:uid="{00000000-0002-0000-0500-000000000000}">
      <formula1>"Not Started,In Progress,Complete,Gap,Hold,N/A"</formula1>
    </dataValidation>
    <dataValidation type="list" allowBlank="1" errorTitle="Invalid entry" error="Select a value from the list." prompt="Use the dropdown choice." sqref="E16:E18 E100:E102" xr:uid="{00000000-0002-0000-0500-000001000000}">
      <formula1>"Proceed,Proceed with Conditions,Hold,Backtrack,N/A"</formula1>
    </dataValidation>
    <dataValidation type="list" allowBlank="1" errorTitle="Invalid entry" error="Select a value from the list." prompt="Use the dropdown choice." sqref="C32:C51 C72:C80 C84:C91" xr:uid="{00000000-0002-0000-0500-000002000000}">
      <formula1>"TRUE,FALSE"</formula1>
    </dataValidation>
    <dataValidation type="list" allowBlank="1" errorTitle="Invalid entry" error="Select a value from the list." prompt="Use the dropdown choice." sqref="B84:C91 D72:D80" xr:uid="{00000000-0002-0000-0500-000003000000}">
      <formula1>"Y,N,N/A"</formula1>
    </dataValidation>
    <dataValidation type="list" allowBlank="1" showInputMessage="1" showErrorMessage="1" sqref="F113:F120 F124:F130 F134:F141 F145:F158" xr:uid="{6D6C025C-B66C-4144-BA2F-1E5B0C007AA9}">
      <formula1>"Not Started,In Progress,On Hold,Complete"</formula1>
    </dataValidation>
    <dataValidation type="list" allowBlank="1" showInputMessage="1" showErrorMessage="1" sqref="G113:G120 G124:G130 G134:G141 G145:G158" xr:uid="{1397F7D1-B766-40F4-BD3D-B7D807300ED1}">
      <formula1>"Y,N,NA"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R420"/>
  <sheetViews>
    <sheetView showGridLines="0" topLeftCell="A101" workbookViewId="0">
      <selection activeCell="A120" sqref="A120:L120"/>
    </sheetView>
  </sheetViews>
  <sheetFormatPr defaultRowHeight="15"/>
  <cols>
    <col min="1" max="1" width="13" style="3" customWidth="1"/>
    <col min="2" max="2" width="37" style="3" customWidth="1"/>
    <col min="3" max="3" width="34" style="3" customWidth="1"/>
    <col min="4" max="4" width="23" style="3" customWidth="1"/>
    <col min="5" max="5" width="18" style="3" customWidth="1"/>
    <col min="6" max="6" width="28" style="3" customWidth="1"/>
    <col min="7" max="7" width="34" style="3" customWidth="1"/>
    <col min="8" max="8" width="20" style="3" customWidth="1"/>
    <col min="9" max="9" width="12" style="3" customWidth="1"/>
    <col min="10" max="10" width="18" style="3" customWidth="1"/>
    <col min="11" max="11" width="20" style="3" customWidth="1"/>
    <col min="12" max="12" width="22" customWidth="1"/>
    <col min="13" max="14" width="9.140625" style="3" customWidth="1"/>
    <col min="15" max="16384" width="9.140625" style="3"/>
  </cols>
  <sheetData>
    <row r="1" spans="1:18" s="55" customFormat="1">
      <c r="A1" s="152" t="s">
        <v>311</v>
      </c>
      <c r="B1" s="152"/>
      <c r="C1" s="152"/>
      <c r="D1" s="152"/>
      <c r="E1" s="152"/>
      <c r="F1" s="152"/>
      <c r="G1" s="152"/>
      <c r="H1" s="152"/>
      <c r="I1" s="152"/>
      <c r="J1" s="152"/>
      <c r="K1" s="152"/>
      <c r="L1" s="152"/>
      <c r="M1" s="152"/>
      <c r="N1" s="152"/>
      <c r="O1" s="152"/>
      <c r="P1" s="152"/>
      <c r="Q1" s="152"/>
      <c r="R1" s="152"/>
    </row>
    <row r="2" spans="1:18" ht="38.1" customHeight="1">
      <c r="A2" s="146" t="s">
        <v>0</v>
      </c>
      <c r="B2" s="193"/>
      <c r="C2" s="193"/>
      <c r="D2" s="193"/>
      <c r="E2" s="146" t="s">
        <v>968</v>
      </c>
      <c r="F2" s="193"/>
      <c r="G2" s="146" t="s">
        <v>969</v>
      </c>
      <c r="H2" s="193"/>
      <c r="I2" s="193"/>
      <c r="J2" s="193"/>
      <c r="K2" s="193"/>
      <c r="L2" s="193"/>
      <c r="M2" s="55"/>
      <c r="N2" s="55"/>
      <c r="O2" s="55"/>
      <c r="P2" s="55"/>
      <c r="Q2" s="55"/>
      <c r="R2" s="55"/>
    </row>
    <row r="3" spans="1:18" ht="30" customHeight="1">
      <c r="A3" s="153" t="s">
        <v>970</v>
      </c>
      <c r="B3" s="193"/>
      <c r="C3" s="147" t="s">
        <v>971</v>
      </c>
      <c r="D3" s="193"/>
      <c r="E3" s="148" t="s">
        <v>972</v>
      </c>
      <c r="F3" s="193"/>
      <c r="G3" s="148" t="s">
        <v>973</v>
      </c>
      <c r="H3" s="193"/>
      <c r="I3" s="148" t="s">
        <v>974</v>
      </c>
      <c r="J3" s="193"/>
      <c r="K3" s="148" t="s">
        <v>975</v>
      </c>
      <c r="L3" s="193"/>
      <c r="M3" s="55"/>
      <c r="N3" s="55"/>
      <c r="O3" s="55"/>
      <c r="P3" s="55"/>
      <c r="Q3" s="55"/>
      <c r="R3" s="55"/>
    </row>
    <row r="4" spans="1:18" s="2" customFormat="1" ht="24" customHeight="1">
      <c r="A4" s="193"/>
      <c r="B4" s="193"/>
      <c r="C4" s="54"/>
      <c r="D4" s="54"/>
      <c r="E4" s="151" t="s">
        <v>320</v>
      </c>
      <c r="F4" s="193"/>
      <c r="G4" s="151" t="s">
        <v>320</v>
      </c>
      <c r="H4" s="193"/>
      <c r="I4" s="151" t="s">
        <v>320</v>
      </c>
      <c r="J4" s="193"/>
      <c r="K4" s="151" t="s">
        <v>320</v>
      </c>
      <c r="L4" s="193"/>
      <c r="M4" s="55"/>
      <c r="N4" s="55"/>
      <c r="O4" s="55"/>
      <c r="P4" s="55"/>
      <c r="Q4" s="55"/>
      <c r="R4" s="55"/>
    </row>
    <row r="5" spans="1:18" s="2" customFormat="1" ht="18.95" customHeight="1">
      <c r="A5" s="55"/>
      <c r="B5" s="55"/>
      <c r="C5" s="55"/>
      <c r="D5" s="55"/>
      <c r="E5" s="55"/>
      <c r="F5" s="55"/>
      <c r="G5" s="55"/>
      <c r="H5" s="55"/>
      <c r="I5" s="55"/>
      <c r="J5" s="55"/>
      <c r="K5" s="55"/>
      <c r="L5" s="55"/>
      <c r="M5" s="55"/>
      <c r="N5" s="55"/>
      <c r="O5" s="55"/>
      <c r="P5" s="55"/>
      <c r="Q5" s="55"/>
      <c r="R5" s="55"/>
    </row>
    <row r="6" spans="1:18" s="2" customFormat="1" ht="26.1" customHeight="1">
      <c r="A6" s="150" t="s">
        <v>321</v>
      </c>
      <c r="B6" s="194"/>
      <c r="C6" s="194"/>
      <c r="D6" s="194"/>
      <c r="E6" s="194"/>
      <c r="F6" s="194"/>
      <c r="G6" s="194"/>
      <c r="H6" s="194"/>
      <c r="I6" s="194"/>
      <c r="J6" s="194"/>
      <c r="K6" s="194"/>
      <c r="L6" s="195"/>
      <c r="M6" s="55"/>
      <c r="N6" s="55"/>
      <c r="O6" s="55"/>
      <c r="P6" s="55"/>
      <c r="Q6" s="55"/>
      <c r="R6" s="55"/>
    </row>
    <row r="7" spans="1:18" s="2" customFormat="1" ht="24" customHeight="1">
      <c r="A7" s="22" t="s">
        <v>322</v>
      </c>
      <c r="B7" s="22" t="s">
        <v>323</v>
      </c>
      <c r="C7" s="22" t="s">
        <v>324</v>
      </c>
      <c r="D7" s="22" t="s">
        <v>322</v>
      </c>
      <c r="E7" s="22" t="s">
        <v>323</v>
      </c>
      <c r="F7" s="22" t="s">
        <v>324</v>
      </c>
      <c r="G7" s="22"/>
      <c r="H7" s="22"/>
      <c r="I7" s="22"/>
      <c r="J7" s="22"/>
      <c r="K7" s="22"/>
      <c r="L7" s="22"/>
      <c r="M7" s="55"/>
      <c r="N7" s="55"/>
      <c r="O7" s="55"/>
      <c r="P7" s="55"/>
      <c r="Q7" s="55"/>
      <c r="R7" s="55"/>
    </row>
    <row r="8" spans="1:18" s="4" customFormat="1" ht="21" customHeight="1">
      <c r="A8" s="23" t="s">
        <v>325</v>
      </c>
      <c r="B8" s="24"/>
      <c r="C8" s="24"/>
      <c r="D8" s="23" t="s">
        <v>326</v>
      </c>
      <c r="E8" s="24"/>
      <c r="F8" s="24"/>
      <c r="G8" s="48"/>
      <c r="H8" s="48"/>
      <c r="I8" s="48"/>
      <c r="J8" s="48"/>
      <c r="K8" s="48"/>
      <c r="L8" s="48"/>
      <c r="M8" s="107"/>
      <c r="N8" s="107"/>
      <c r="O8" s="107"/>
      <c r="P8" s="107"/>
      <c r="Q8" s="107"/>
      <c r="R8" s="107"/>
    </row>
    <row r="9" spans="1:18" s="4" customFormat="1" ht="21" customHeight="1">
      <c r="A9" s="23" t="s">
        <v>327</v>
      </c>
      <c r="B9" s="24"/>
      <c r="C9" s="24"/>
      <c r="D9" s="23" t="s">
        <v>328</v>
      </c>
      <c r="E9" s="24"/>
      <c r="F9" s="24"/>
      <c r="G9" s="48"/>
      <c r="H9" s="48"/>
      <c r="I9" s="48"/>
      <c r="J9" s="48"/>
      <c r="K9" s="48"/>
      <c r="L9" s="48"/>
      <c r="M9" s="107"/>
      <c r="N9" s="107"/>
      <c r="O9" s="107"/>
      <c r="P9" s="107"/>
      <c r="Q9" s="107"/>
      <c r="R9" s="107"/>
    </row>
    <row r="10" spans="1:18" s="4" customFormat="1" ht="21" customHeight="1">
      <c r="A10" s="23" t="s">
        <v>329</v>
      </c>
      <c r="B10" s="24"/>
      <c r="C10" s="24"/>
      <c r="D10" s="23" t="s">
        <v>330</v>
      </c>
      <c r="E10" s="24"/>
      <c r="F10" s="24"/>
      <c r="G10" s="48"/>
      <c r="H10" s="48"/>
      <c r="I10" s="48"/>
      <c r="J10" s="48"/>
      <c r="K10" s="48"/>
      <c r="L10" s="48"/>
      <c r="M10" s="107"/>
      <c r="N10" s="107"/>
      <c r="O10" s="107"/>
      <c r="P10" s="107"/>
      <c r="Q10" s="107"/>
      <c r="R10" s="107"/>
    </row>
    <row r="11" spans="1:18" ht="21" customHeight="1">
      <c r="A11" s="23" t="s">
        <v>331</v>
      </c>
      <c r="B11" s="24"/>
      <c r="C11" s="24"/>
      <c r="D11" s="23" t="s">
        <v>332</v>
      </c>
      <c r="E11" s="24"/>
      <c r="F11" s="24"/>
      <c r="G11" s="48"/>
      <c r="H11" s="48"/>
      <c r="I11" s="48"/>
      <c r="J11" s="48"/>
      <c r="K11" s="48"/>
      <c r="L11" s="48"/>
      <c r="M11" s="55"/>
      <c r="N11" s="55"/>
      <c r="O11" s="55"/>
      <c r="P11" s="55"/>
      <c r="Q11" s="55"/>
      <c r="R11" s="55"/>
    </row>
    <row r="12" spans="1:18" ht="21" customHeight="1">
      <c r="A12" s="23" t="s">
        <v>333</v>
      </c>
      <c r="B12" s="24"/>
      <c r="C12" s="24"/>
      <c r="D12" s="23" t="s">
        <v>334</v>
      </c>
      <c r="E12" s="24"/>
      <c r="F12" s="24"/>
      <c r="G12" s="48"/>
      <c r="H12" s="48"/>
      <c r="I12" s="48"/>
      <c r="J12" s="48"/>
      <c r="K12" s="48"/>
      <c r="L12" s="48"/>
      <c r="M12" s="55"/>
      <c r="N12" s="55"/>
      <c r="O12" s="55"/>
      <c r="P12" s="55"/>
      <c r="Q12" s="55"/>
      <c r="R12" s="55"/>
    </row>
    <row r="13" spans="1:18" s="2" customFormat="1" ht="18.95" customHeight="1">
      <c r="A13" s="55"/>
      <c r="B13" s="55"/>
      <c r="C13" s="55"/>
      <c r="D13" s="55"/>
      <c r="E13" s="55"/>
      <c r="F13" s="55"/>
      <c r="G13" s="55"/>
      <c r="H13" s="55"/>
      <c r="I13" s="55"/>
      <c r="J13" s="55"/>
      <c r="K13" s="55"/>
      <c r="L13" s="55"/>
      <c r="M13" s="55"/>
      <c r="N13" s="55"/>
      <c r="O13" s="55"/>
      <c r="P13" s="55"/>
      <c r="Q13" s="55"/>
      <c r="R13" s="55"/>
    </row>
    <row r="14" spans="1:18" s="2" customFormat="1" ht="33.950000000000003" customHeight="1">
      <c r="A14" s="150" t="s">
        <v>335</v>
      </c>
      <c r="B14" s="194"/>
      <c r="C14" s="194"/>
      <c r="D14" s="194"/>
      <c r="E14" s="194"/>
      <c r="F14" s="194"/>
      <c r="G14" s="194"/>
      <c r="H14" s="194"/>
      <c r="I14" s="194"/>
      <c r="J14" s="194"/>
      <c r="K14" s="194"/>
      <c r="L14" s="195"/>
      <c r="M14" s="55"/>
      <c r="N14" s="55"/>
      <c r="O14" s="55"/>
      <c r="P14" s="55"/>
      <c r="Q14" s="55"/>
      <c r="R14" s="55"/>
    </row>
    <row r="15" spans="1:18" s="2" customFormat="1" ht="26.1" customHeight="1">
      <c r="A15" s="22" t="s">
        <v>143</v>
      </c>
      <c r="B15" s="22" t="s">
        <v>336</v>
      </c>
      <c r="C15" s="22" t="s">
        <v>337</v>
      </c>
      <c r="D15" s="22" t="s">
        <v>338</v>
      </c>
      <c r="E15" s="22" t="s">
        <v>339</v>
      </c>
      <c r="F15" s="22" t="s">
        <v>144</v>
      </c>
      <c r="G15" s="22" t="s">
        <v>340</v>
      </c>
      <c r="H15" s="22" t="s">
        <v>341</v>
      </c>
      <c r="I15" s="22" t="s">
        <v>342</v>
      </c>
      <c r="J15" s="22"/>
      <c r="K15" s="22"/>
      <c r="L15" s="22"/>
      <c r="M15" s="55"/>
      <c r="N15" s="55"/>
      <c r="O15" s="55"/>
      <c r="P15" s="55"/>
      <c r="Q15" s="55"/>
      <c r="R15" s="55"/>
    </row>
    <row r="16" spans="1:18" s="2" customFormat="1" ht="44.1" customHeight="1">
      <c r="A16" s="25" t="s">
        <v>249</v>
      </c>
      <c r="B16" s="26" t="s">
        <v>976</v>
      </c>
      <c r="C16" s="27" t="s">
        <v>977</v>
      </c>
      <c r="D16" s="27" t="s">
        <v>152</v>
      </c>
      <c r="E16" s="27"/>
      <c r="F16" s="27"/>
      <c r="G16" s="27"/>
      <c r="H16" s="28" t="s">
        <v>978</v>
      </c>
      <c r="I16" s="27"/>
      <c r="J16" s="55"/>
      <c r="K16" s="55"/>
      <c r="L16" s="55"/>
      <c r="M16" s="55"/>
      <c r="N16" s="55"/>
      <c r="O16" s="55"/>
      <c r="P16" s="55"/>
      <c r="Q16" s="55"/>
      <c r="R16" s="55"/>
    </row>
    <row r="17" spans="1:18" s="2" customFormat="1" ht="44.1" customHeight="1">
      <c r="A17" s="25" t="s">
        <v>269</v>
      </c>
      <c r="B17" s="26" t="s">
        <v>979</v>
      </c>
      <c r="C17" s="27" t="s">
        <v>980</v>
      </c>
      <c r="D17" s="27" t="s">
        <v>152</v>
      </c>
      <c r="E17" s="27"/>
      <c r="F17" s="27"/>
      <c r="G17" s="27"/>
      <c r="H17" s="28" t="s">
        <v>981</v>
      </c>
      <c r="I17" s="27"/>
      <c r="J17" s="55"/>
      <c r="K17" s="55"/>
      <c r="L17" s="55"/>
      <c r="M17" s="55"/>
      <c r="N17" s="55"/>
      <c r="O17" s="55"/>
      <c r="P17" s="55"/>
      <c r="Q17" s="55"/>
      <c r="R17" s="55"/>
    </row>
    <row r="18" spans="1:18" s="2" customFormat="1" ht="44.1" customHeight="1">
      <c r="A18" s="25" t="s">
        <v>276</v>
      </c>
      <c r="B18" s="26" t="s">
        <v>982</v>
      </c>
      <c r="C18" s="27" t="s">
        <v>983</v>
      </c>
      <c r="D18" s="27" t="s">
        <v>152</v>
      </c>
      <c r="E18" s="27"/>
      <c r="F18" s="27"/>
      <c r="G18" s="27"/>
      <c r="H18" s="28" t="s">
        <v>984</v>
      </c>
      <c r="I18" s="27"/>
      <c r="J18" s="55"/>
      <c r="K18" s="55"/>
      <c r="L18" s="55"/>
      <c r="M18" s="55"/>
      <c r="N18" s="55"/>
      <c r="O18" s="55"/>
      <c r="P18" s="55"/>
      <c r="Q18" s="55"/>
      <c r="R18" s="55"/>
    </row>
    <row r="19" spans="1:18" ht="18.95" customHeight="1">
      <c r="A19" s="55"/>
      <c r="B19" s="55"/>
      <c r="C19" s="55"/>
      <c r="D19" s="55"/>
      <c r="E19" s="55"/>
      <c r="F19" s="55"/>
      <c r="G19" s="55"/>
      <c r="H19" s="55"/>
      <c r="I19" s="55"/>
      <c r="J19" s="55"/>
      <c r="K19" s="55"/>
      <c r="L19" s="48"/>
      <c r="M19" s="55"/>
      <c r="N19" s="55"/>
      <c r="O19" s="55"/>
      <c r="P19" s="55"/>
      <c r="Q19" s="55"/>
      <c r="R19" s="55"/>
    </row>
    <row r="20" spans="1:18" ht="54" customHeight="1">
      <c r="A20" s="154" t="s">
        <v>985</v>
      </c>
      <c r="B20" s="194"/>
      <c r="C20" s="194"/>
      <c r="D20" s="194"/>
      <c r="E20" s="194"/>
      <c r="F20" s="194"/>
      <c r="G20" s="194"/>
      <c r="H20" s="194"/>
      <c r="I20" s="194"/>
      <c r="J20" s="194"/>
      <c r="K20" s="194"/>
      <c r="L20" s="195"/>
      <c r="M20" s="55"/>
      <c r="N20" s="55"/>
      <c r="O20" s="55"/>
      <c r="P20" s="55"/>
      <c r="Q20" s="55"/>
      <c r="R20" s="55"/>
    </row>
    <row r="21" spans="1:18" ht="26.1" customHeight="1">
      <c r="A21" s="150" t="s">
        <v>986</v>
      </c>
      <c r="B21" s="194"/>
      <c r="C21" s="194"/>
      <c r="D21" s="194"/>
      <c r="E21" s="194"/>
      <c r="F21" s="194"/>
      <c r="G21" s="194"/>
      <c r="H21" s="194"/>
      <c r="I21" s="194"/>
      <c r="J21" s="194"/>
      <c r="K21" s="194"/>
      <c r="L21" s="195"/>
      <c r="M21" s="55"/>
      <c r="N21" s="55"/>
      <c r="O21" s="55"/>
      <c r="P21" s="55"/>
      <c r="Q21" s="55"/>
      <c r="R21" s="55"/>
    </row>
    <row r="22" spans="1:18" s="2" customFormat="1" ht="26.1" customHeight="1">
      <c r="A22" s="22" t="s">
        <v>143</v>
      </c>
      <c r="B22" s="22" t="s">
        <v>575</v>
      </c>
      <c r="C22" s="22" t="s">
        <v>576</v>
      </c>
      <c r="D22" s="22" t="s">
        <v>577</v>
      </c>
      <c r="E22" s="22" t="s">
        <v>144</v>
      </c>
      <c r="F22" s="22" t="s">
        <v>145</v>
      </c>
      <c r="G22" s="22" t="s">
        <v>578</v>
      </c>
      <c r="H22" s="22" t="s">
        <v>499</v>
      </c>
      <c r="I22" s="22"/>
      <c r="J22" s="22"/>
      <c r="K22" s="22"/>
      <c r="L22" s="22"/>
      <c r="M22" s="55"/>
      <c r="N22" s="55"/>
      <c r="O22" s="55"/>
      <c r="P22" s="55"/>
      <c r="Q22" s="55"/>
      <c r="R22" s="55"/>
    </row>
    <row r="23" spans="1:18" s="2" customFormat="1" ht="33.950000000000003" customHeight="1">
      <c r="A23" s="25" t="s">
        <v>249</v>
      </c>
      <c r="B23" s="26" t="s">
        <v>987</v>
      </c>
      <c r="C23" s="27" t="s">
        <v>988</v>
      </c>
      <c r="D23" s="27" t="s">
        <v>989</v>
      </c>
      <c r="E23" s="27" t="s">
        <v>176</v>
      </c>
      <c r="F23" s="27" t="s">
        <v>152</v>
      </c>
      <c r="G23" s="27"/>
      <c r="H23" s="27"/>
      <c r="I23" s="55"/>
      <c r="J23" s="55"/>
      <c r="K23" s="55"/>
      <c r="L23" s="55"/>
      <c r="M23" s="55"/>
      <c r="N23" s="55"/>
      <c r="O23" s="55"/>
      <c r="P23" s="55"/>
      <c r="Q23" s="55"/>
      <c r="R23" s="55"/>
    </row>
    <row r="24" spans="1:18" s="2" customFormat="1" ht="26.1" customHeight="1">
      <c r="A24" s="25" t="s">
        <v>249</v>
      </c>
      <c r="B24" s="26" t="s">
        <v>990</v>
      </c>
      <c r="C24" s="27" t="s">
        <v>991</v>
      </c>
      <c r="D24" s="27" t="s">
        <v>992</v>
      </c>
      <c r="E24" s="27" t="s">
        <v>518</v>
      </c>
      <c r="F24" s="27" t="s">
        <v>152</v>
      </c>
      <c r="G24" s="27"/>
      <c r="H24" s="27"/>
      <c r="I24" s="55"/>
      <c r="J24" s="55"/>
      <c r="K24" s="55"/>
      <c r="L24" s="55"/>
      <c r="M24" s="55"/>
      <c r="N24" s="55"/>
      <c r="O24" s="55"/>
      <c r="P24" s="55"/>
      <c r="Q24" s="55"/>
      <c r="R24" s="55"/>
    </row>
    <row r="25" spans="1:18" s="2" customFormat="1" ht="33.950000000000003" customHeight="1">
      <c r="A25" s="25" t="s">
        <v>249</v>
      </c>
      <c r="B25" s="26" t="s">
        <v>993</v>
      </c>
      <c r="C25" s="27" t="s">
        <v>994</v>
      </c>
      <c r="D25" s="27" t="s">
        <v>995</v>
      </c>
      <c r="E25" s="27" t="s">
        <v>180</v>
      </c>
      <c r="F25" s="27" t="s">
        <v>152</v>
      </c>
      <c r="G25" s="27"/>
      <c r="H25" s="27"/>
      <c r="I25" s="55"/>
      <c r="J25" s="55"/>
      <c r="K25" s="55"/>
      <c r="L25" s="55"/>
      <c r="M25" s="55"/>
      <c r="N25" s="55"/>
      <c r="O25" s="55"/>
      <c r="P25" s="55"/>
      <c r="Q25" s="55"/>
      <c r="R25" s="55"/>
    </row>
    <row r="26" spans="1:18" s="2" customFormat="1" ht="33.950000000000003" customHeight="1">
      <c r="A26" s="25" t="s">
        <v>249</v>
      </c>
      <c r="B26" s="26" t="s">
        <v>996</v>
      </c>
      <c r="C26" s="27" t="s">
        <v>997</v>
      </c>
      <c r="D26" s="27" t="s">
        <v>998</v>
      </c>
      <c r="E26" s="27" t="s">
        <v>999</v>
      </c>
      <c r="F26" s="27" t="s">
        <v>152</v>
      </c>
      <c r="G26" s="27"/>
      <c r="H26" s="27"/>
      <c r="I26" s="55"/>
      <c r="J26" s="55"/>
      <c r="K26" s="55"/>
      <c r="L26" s="55"/>
      <c r="M26" s="55"/>
      <c r="N26" s="55"/>
      <c r="O26" s="55"/>
      <c r="P26" s="55"/>
      <c r="Q26" s="55"/>
      <c r="R26" s="55"/>
    </row>
    <row r="27" spans="1:18" s="2" customFormat="1" ht="33.950000000000003" customHeight="1">
      <c r="A27" s="25" t="s">
        <v>249</v>
      </c>
      <c r="B27" s="26" t="s">
        <v>1000</v>
      </c>
      <c r="C27" s="27" t="s">
        <v>1001</v>
      </c>
      <c r="D27" s="27" t="s">
        <v>1002</v>
      </c>
      <c r="E27" s="27" t="s">
        <v>1003</v>
      </c>
      <c r="F27" s="27" t="s">
        <v>152</v>
      </c>
      <c r="G27" s="27"/>
      <c r="H27" s="27"/>
      <c r="I27" s="55"/>
      <c r="J27" s="55"/>
      <c r="K27" s="55"/>
      <c r="L27" s="55"/>
      <c r="M27" s="55"/>
      <c r="N27" s="55"/>
      <c r="O27" s="55"/>
      <c r="P27" s="55"/>
      <c r="Q27" s="55"/>
      <c r="R27" s="55"/>
    </row>
    <row r="28" spans="1:18" ht="33.950000000000003" customHeight="1">
      <c r="A28" s="25" t="s">
        <v>249</v>
      </c>
      <c r="B28" s="26" t="s">
        <v>1004</v>
      </c>
      <c r="C28" s="27" t="s">
        <v>1005</v>
      </c>
      <c r="D28" s="27" t="s">
        <v>1006</v>
      </c>
      <c r="E28" s="27" t="s">
        <v>1007</v>
      </c>
      <c r="F28" s="27" t="s">
        <v>152</v>
      </c>
      <c r="G28" s="27"/>
      <c r="H28" s="27"/>
      <c r="I28" s="55"/>
      <c r="J28" s="55"/>
      <c r="K28" s="55"/>
      <c r="L28" s="48"/>
      <c r="M28" s="55"/>
      <c r="N28" s="55"/>
      <c r="O28" s="55"/>
      <c r="P28" s="55"/>
      <c r="Q28" s="55"/>
      <c r="R28" s="55"/>
    </row>
    <row r="29" spans="1:18" s="2" customFormat="1" ht="26.1" customHeight="1">
      <c r="A29" s="25" t="s">
        <v>249</v>
      </c>
      <c r="B29" s="26" t="s">
        <v>1008</v>
      </c>
      <c r="C29" s="27" t="s">
        <v>1009</v>
      </c>
      <c r="D29" s="27" t="s">
        <v>1010</v>
      </c>
      <c r="E29" s="27" t="s">
        <v>176</v>
      </c>
      <c r="F29" s="27" t="s">
        <v>152</v>
      </c>
      <c r="G29" s="27"/>
      <c r="H29" s="27"/>
      <c r="I29" s="55"/>
      <c r="J29" s="55"/>
      <c r="K29" s="55"/>
      <c r="L29" s="55"/>
      <c r="M29" s="55"/>
      <c r="N29" s="55"/>
      <c r="O29" s="55"/>
      <c r="P29" s="55"/>
      <c r="Q29" s="55"/>
      <c r="R29" s="55"/>
    </row>
    <row r="30" spans="1:18" ht="33.950000000000003" customHeight="1">
      <c r="A30" s="25" t="s">
        <v>249</v>
      </c>
      <c r="B30" s="26" t="s">
        <v>1011</v>
      </c>
      <c r="C30" s="27" t="s">
        <v>1012</v>
      </c>
      <c r="D30" s="27" t="s">
        <v>1013</v>
      </c>
      <c r="E30" s="27" t="s">
        <v>176</v>
      </c>
      <c r="F30" s="27" t="s">
        <v>152</v>
      </c>
      <c r="G30" s="27"/>
      <c r="H30" s="27"/>
      <c r="I30" s="55"/>
      <c r="J30" s="55"/>
      <c r="K30" s="55"/>
      <c r="L30" s="48"/>
      <c r="M30" s="55"/>
      <c r="N30" s="55"/>
      <c r="O30" s="55"/>
      <c r="P30" s="55"/>
      <c r="Q30" s="55"/>
      <c r="R30" s="55"/>
    </row>
    <row r="31" spans="1:18" ht="18.95" customHeight="1">
      <c r="A31" s="55"/>
      <c r="B31" s="55"/>
      <c r="C31" s="55"/>
      <c r="D31" s="55"/>
      <c r="E31" s="55"/>
      <c r="F31" s="55"/>
      <c r="G31" s="55"/>
      <c r="H31" s="55"/>
      <c r="I31" s="55"/>
      <c r="J31" s="55"/>
      <c r="K31" s="55"/>
      <c r="L31" s="48"/>
      <c r="M31" s="55"/>
      <c r="N31" s="55"/>
      <c r="O31" s="55"/>
      <c r="P31" s="55"/>
      <c r="Q31" s="55"/>
      <c r="R31" s="55"/>
    </row>
    <row r="32" spans="1:18" ht="26.1" customHeight="1">
      <c r="A32" s="150" t="s">
        <v>1014</v>
      </c>
      <c r="B32" s="194"/>
      <c r="C32" s="194"/>
      <c r="D32" s="194"/>
      <c r="E32" s="194"/>
      <c r="F32" s="194"/>
      <c r="G32" s="194"/>
      <c r="H32" s="194"/>
      <c r="I32" s="194"/>
      <c r="J32" s="194"/>
      <c r="K32" s="194"/>
      <c r="L32" s="195"/>
      <c r="M32" s="55"/>
      <c r="N32" s="55"/>
      <c r="O32" s="55"/>
      <c r="P32" s="55"/>
      <c r="Q32" s="55"/>
      <c r="R32" s="55"/>
    </row>
    <row r="33" spans="1:18" ht="26.1" customHeight="1">
      <c r="A33" s="22" t="s">
        <v>143</v>
      </c>
      <c r="B33" s="22" t="s">
        <v>1015</v>
      </c>
      <c r="C33" s="22" t="s">
        <v>354</v>
      </c>
      <c r="D33" s="22" t="s">
        <v>355</v>
      </c>
      <c r="E33" s="22" t="s">
        <v>356</v>
      </c>
      <c r="F33" s="22" t="s">
        <v>357</v>
      </c>
      <c r="G33" s="22" t="s">
        <v>358</v>
      </c>
      <c r="H33" s="22"/>
      <c r="I33" s="22"/>
      <c r="J33" s="22"/>
      <c r="K33" s="22"/>
      <c r="L33" s="22"/>
      <c r="M33" s="55"/>
      <c r="N33" s="55"/>
      <c r="O33" s="55"/>
      <c r="P33" s="55"/>
      <c r="Q33" s="55"/>
      <c r="R33" s="55"/>
    </row>
    <row r="34" spans="1:18" ht="26.1" customHeight="1">
      <c r="A34" s="24" t="s">
        <v>249</v>
      </c>
      <c r="B34" s="29" t="s">
        <v>669</v>
      </c>
      <c r="C34" s="60" t="b">
        <v>0</v>
      </c>
      <c r="D34" s="24" t="s">
        <v>946</v>
      </c>
      <c r="E34" s="24"/>
      <c r="F34" s="24"/>
      <c r="G34" s="24"/>
      <c r="H34" s="55"/>
      <c r="I34" s="55"/>
      <c r="J34" s="55"/>
      <c r="K34" s="55"/>
      <c r="L34" s="48"/>
      <c r="M34" s="55"/>
      <c r="N34" s="55"/>
      <c r="O34" s="55"/>
      <c r="P34" s="55"/>
      <c r="Q34" s="55"/>
      <c r="R34" s="55"/>
    </row>
    <row r="35" spans="1:18" s="2" customFormat="1" ht="26.1" customHeight="1">
      <c r="A35" s="24" t="s">
        <v>249</v>
      </c>
      <c r="B35" s="29" t="s">
        <v>670</v>
      </c>
      <c r="C35" s="60" t="b">
        <v>0</v>
      </c>
      <c r="D35" s="24" t="s">
        <v>946</v>
      </c>
      <c r="E35" s="24"/>
      <c r="F35" s="24"/>
      <c r="G35" s="24"/>
      <c r="H35" s="55"/>
      <c r="I35" s="55"/>
      <c r="J35" s="55"/>
      <c r="K35" s="55"/>
      <c r="L35" s="55"/>
      <c r="M35" s="55"/>
      <c r="N35" s="55"/>
      <c r="O35" s="55"/>
      <c r="P35" s="55"/>
      <c r="Q35" s="55"/>
      <c r="R35" s="55"/>
    </row>
    <row r="36" spans="1:18" s="2" customFormat="1" ht="26.1" customHeight="1">
      <c r="A36" s="24" t="s">
        <v>249</v>
      </c>
      <c r="B36" s="29" t="s">
        <v>671</v>
      </c>
      <c r="C36" s="60" t="b">
        <v>0</v>
      </c>
      <c r="D36" s="24" t="s">
        <v>946</v>
      </c>
      <c r="E36" s="24"/>
      <c r="F36" s="24"/>
      <c r="G36" s="24"/>
      <c r="H36" s="55"/>
      <c r="I36" s="55"/>
      <c r="J36" s="55"/>
      <c r="K36" s="55"/>
      <c r="L36" s="55"/>
      <c r="M36" s="55"/>
      <c r="N36" s="55"/>
      <c r="O36" s="55"/>
      <c r="P36" s="55"/>
      <c r="Q36" s="55"/>
      <c r="R36" s="55"/>
    </row>
    <row r="37" spans="1:18" s="2" customFormat="1" ht="26.1" customHeight="1">
      <c r="A37" s="24" t="s">
        <v>249</v>
      </c>
      <c r="B37" s="29" t="s">
        <v>672</v>
      </c>
      <c r="C37" s="60" t="b">
        <v>0</v>
      </c>
      <c r="D37" s="24" t="s">
        <v>946</v>
      </c>
      <c r="E37" s="24"/>
      <c r="F37" s="24"/>
      <c r="G37" s="24"/>
      <c r="H37" s="55"/>
      <c r="I37" s="55"/>
      <c r="J37" s="55"/>
      <c r="K37" s="55"/>
      <c r="L37" s="55"/>
      <c r="M37" s="55"/>
      <c r="N37" s="55"/>
      <c r="O37" s="55"/>
      <c r="P37" s="55"/>
      <c r="Q37" s="55"/>
      <c r="R37" s="55"/>
    </row>
    <row r="38" spans="1:18" s="2" customFormat="1" ht="26.1" customHeight="1">
      <c r="A38" s="24" t="s">
        <v>249</v>
      </c>
      <c r="B38" s="29" t="s">
        <v>673</v>
      </c>
      <c r="C38" s="60" t="b">
        <v>0</v>
      </c>
      <c r="D38" s="24" t="s">
        <v>946</v>
      </c>
      <c r="E38" s="24"/>
      <c r="F38" s="24"/>
      <c r="G38" s="24"/>
      <c r="H38" s="55"/>
      <c r="I38" s="55"/>
      <c r="J38" s="55"/>
      <c r="K38" s="55"/>
      <c r="L38" s="55"/>
      <c r="M38" s="55"/>
      <c r="N38" s="55"/>
      <c r="O38" s="55"/>
      <c r="P38" s="55"/>
      <c r="Q38" s="55"/>
      <c r="R38" s="55"/>
    </row>
    <row r="39" spans="1:18" s="2" customFormat="1" ht="26.1" customHeight="1">
      <c r="A39" s="24" t="s">
        <v>249</v>
      </c>
      <c r="B39" s="29" t="s">
        <v>674</v>
      </c>
      <c r="C39" s="60" t="b">
        <v>0</v>
      </c>
      <c r="D39" s="24" t="s">
        <v>946</v>
      </c>
      <c r="E39" s="24"/>
      <c r="F39" s="24"/>
      <c r="G39" s="24"/>
      <c r="H39" s="55"/>
      <c r="I39" s="55"/>
      <c r="J39" s="55"/>
      <c r="K39" s="55"/>
      <c r="L39" s="55"/>
      <c r="M39" s="55"/>
      <c r="N39" s="55"/>
      <c r="O39" s="55"/>
      <c r="P39" s="55"/>
      <c r="Q39" s="55"/>
      <c r="R39" s="55"/>
    </row>
    <row r="40" spans="1:18" s="2" customFormat="1" ht="26.1" customHeight="1">
      <c r="A40" s="24" t="s">
        <v>249</v>
      </c>
      <c r="B40" s="29" t="s">
        <v>675</v>
      </c>
      <c r="C40" s="60" t="b">
        <v>0</v>
      </c>
      <c r="D40" s="24" t="s">
        <v>946</v>
      </c>
      <c r="E40" s="24"/>
      <c r="F40" s="24"/>
      <c r="G40" s="24"/>
      <c r="H40" s="55"/>
      <c r="I40" s="55"/>
      <c r="J40" s="55"/>
      <c r="K40" s="55"/>
      <c r="L40" s="55"/>
      <c r="M40" s="55"/>
      <c r="N40" s="55"/>
      <c r="O40" s="55"/>
      <c r="P40" s="55"/>
      <c r="Q40" s="55"/>
      <c r="R40" s="55"/>
    </row>
    <row r="41" spans="1:18" s="2" customFormat="1" ht="26.1" customHeight="1">
      <c r="A41" s="24" t="s">
        <v>249</v>
      </c>
      <c r="B41" s="29" t="s">
        <v>676</v>
      </c>
      <c r="C41" s="60" t="b">
        <v>0</v>
      </c>
      <c r="D41" s="24" t="s">
        <v>946</v>
      </c>
      <c r="E41" s="24"/>
      <c r="F41" s="24"/>
      <c r="G41" s="24"/>
      <c r="H41" s="55"/>
      <c r="I41" s="55"/>
      <c r="J41" s="55"/>
      <c r="K41" s="55"/>
      <c r="L41" s="55"/>
      <c r="M41" s="55"/>
      <c r="N41" s="55"/>
      <c r="O41" s="55"/>
      <c r="P41" s="55"/>
      <c r="Q41" s="55"/>
      <c r="R41" s="55"/>
    </row>
    <row r="42" spans="1:18" s="2" customFormat="1" ht="26.1" customHeight="1">
      <c r="A42" s="24" t="s">
        <v>249</v>
      </c>
      <c r="B42" s="29" t="s">
        <v>677</v>
      </c>
      <c r="C42" s="60" t="b">
        <v>0</v>
      </c>
      <c r="D42" s="24" t="s">
        <v>946</v>
      </c>
      <c r="E42" s="24"/>
      <c r="F42" s="24"/>
      <c r="G42" s="24"/>
      <c r="H42" s="55"/>
      <c r="I42" s="55"/>
      <c r="J42" s="55"/>
      <c r="K42" s="55"/>
      <c r="L42" s="55"/>
      <c r="M42" s="55"/>
      <c r="N42" s="55"/>
      <c r="O42" s="55"/>
      <c r="P42" s="55"/>
      <c r="Q42" s="55"/>
      <c r="R42" s="55"/>
    </row>
    <row r="43" spans="1:18" ht="21" customHeight="1">
      <c r="A43" s="24" t="s">
        <v>249</v>
      </c>
      <c r="B43" s="29" t="s">
        <v>678</v>
      </c>
      <c r="C43" s="60" t="b">
        <v>0</v>
      </c>
      <c r="D43" s="24" t="s">
        <v>946</v>
      </c>
      <c r="E43" s="24"/>
      <c r="F43" s="24"/>
      <c r="G43" s="24"/>
      <c r="H43" s="55"/>
      <c r="I43" s="55"/>
      <c r="J43" s="55"/>
      <c r="K43" s="55"/>
      <c r="L43" s="48"/>
      <c r="M43" s="55"/>
      <c r="N43" s="55"/>
      <c r="O43" s="55"/>
      <c r="P43" s="55"/>
      <c r="Q43" s="55"/>
      <c r="R43" s="55"/>
    </row>
    <row r="44" spans="1:18" ht="26.1" customHeight="1">
      <c r="A44" s="24" t="s">
        <v>249</v>
      </c>
      <c r="B44" s="29" t="s">
        <v>679</v>
      </c>
      <c r="C44" s="60" t="b">
        <v>0</v>
      </c>
      <c r="D44" s="24" t="s">
        <v>946</v>
      </c>
      <c r="E44" s="24"/>
      <c r="F44" s="24"/>
      <c r="G44" s="24"/>
      <c r="H44" s="55"/>
      <c r="I44" s="55"/>
      <c r="J44" s="55"/>
      <c r="K44" s="55"/>
      <c r="L44" s="48"/>
      <c r="M44" s="55"/>
      <c r="N44" s="55"/>
      <c r="O44" s="55"/>
      <c r="P44" s="55"/>
      <c r="Q44" s="55"/>
      <c r="R44" s="55"/>
    </row>
    <row r="45" spans="1:18" s="2" customFormat="1" ht="26.1" customHeight="1">
      <c r="A45" s="24" t="s">
        <v>249</v>
      </c>
      <c r="B45" s="29" t="s">
        <v>680</v>
      </c>
      <c r="C45" s="60" t="b">
        <v>0</v>
      </c>
      <c r="D45" s="24" t="s">
        <v>946</v>
      </c>
      <c r="E45" s="24"/>
      <c r="F45" s="24"/>
      <c r="G45" s="24"/>
      <c r="H45" s="55"/>
      <c r="I45" s="55"/>
      <c r="J45" s="55"/>
      <c r="K45" s="55"/>
      <c r="L45" s="55"/>
      <c r="M45" s="55"/>
      <c r="N45" s="55"/>
      <c r="O45" s="55"/>
      <c r="P45" s="55"/>
      <c r="Q45" s="55"/>
      <c r="R45" s="55"/>
    </row>
    <row r="46" spans="1:18" ht="26.1" customHeight="1">
      <c r="A46" s="24" t="s">
        <v>249</v>
      </c>
      <c r="B46" s="29" t="s">
        <v>681</v>
      </c>
      <c r="C46" s="60" t="b">
        <v>0</v>
      </c>
      <c r="D46" s="24" t="s">
        <v>946</v>
      </c>
      <c r="E46" s="24"/>
      <c r="F46" s="24"/>
      <c r="G46" s="24"/>
      <c r="H46" s="55"/>
      <c r="I46" s="55"/>
      <c r="J46" s="55"/>
      <c r="K46" s="55"/>
      <c r="L46" s="48"/>
      <c r="M46" s="55"/>
      <c r="N46" s="55"/>
      <c r="O46" s="55"/>
      <c r="P46" s="55"/>
      <c r="Q46" s="55"/>
      <c r="R46" s="55"/>
    </row>
    <row r="47" spans="1:18" ht="26.1" customHeight="1">
      <c r="A47" s="24" t="s">
        <v>249</v>
      </c>
      <c r="B47" s="29" t="s">
        <v>474</v>
      </c>
      <c r="C47" s="60" t="b">
        <v>0</v>
      </c>
      <c r="D47" s="24" t="s">
        <v>946</v>
      </c>
      <c r="E47" s="24"/>
      <c r="F47" s="24"/>
      <c r="G47" s="24"/>
      <c r="H47" s="55"/>
      <c r="I47" s="55"/>
      <c r="J47" s="55"/>
      <c r="K47" s="55"/>
      <c r="L47" s="48"/>
      <c r="M47" s="55"/>
      <c r="N47" s="55"/>
      <c r="O47" s="55"/>
      <c r="P47" s="55"/>
      <c r="Q47" s="55"/>
      <c r="R47" s="55"/>
    </row>
    <row r="48" spans="1:18" ht="18.95" customHeight="1">
      <c r="A48" s="55"/>
      <c r="B48" s="55"/>
      <c r="C48" s="55"/>
      <c r="D48" s="55"/>
      <c r="E48" s="55"/>
      <c r="F48" s="55"/>
      <c r="G48" s="55"/>
      <c r="H48" s="55"/>
      <c r="I48" s="55"/>
      <c r="J48" s="55"/>
      <c r="K48" s="55"/>
      <c r="L48" s="48"/>
      <c r="M48" s="55"/>
      <c r="N48" s="55"/>
      <c r="O48" s="55"/>
      <c r="P48" s="55"/>
      <c r="Q48" s="55"/>
      <c r="R48" s="55"/>
    </row>
    <row r="49" spans="1:18" ht="26.1" customHeight="1">
      <c r="A49" s="150" t="s">
        <v>1016</v>
      </c>
      <c r="B49" s="194"/>
      <c r="C49" s="194"/>
      <c r="D49" s="194"/>
      <c r="E49" s="194"/>
      <c r="F49" s="194"/>
      <c r="G49" s="194"/>
      <c r="H49" s="194"/>
      <c r="I49" s="194"/>
      <c r="J49" s="194"/>
      <c r="K49" s="194"/>
      <c r="L49" s="195"/>
      <c r="M49" s="55"/>
      <c r="N49" s="55"/>
      <c r="O49" s="55"/>
      <c r="P49" s="55"/>
      <c r="Q49" s="55"/>
      <c r="R49" s="55"/>
    </row>
    <row r="50" spans="1:18" ht="26.1" customHeight="1">
      <c r="A50" s="22" t="s">
        <v>143</v>
      </c>
      <c r="B50" s="22" t="s">
        <v>1017</v>
      </c>
      <c r="C50" s="22" t="s">
        <v>354</v>
      </c>
      <c r="D50" s="22" t="s">
        <v>355</v>
      </c>
      <c r="E50" s="22" t="s">
        <v>356</v>
      </c>
      <c r="F50" s="22" t="s">
        <v>357</v>
      </c>
      <c r="G50" s="22" t="s">
        <v>358</v>
      </c>
      <c r="H50" s="22"/>
      <c r="I50" s="22"/>
      <c r="J50" s="22"/>
      <c r="K50" s="22"/>
      <c r="L50" s="22"/>
      <c r="M50" s="55"/>
      <c r="N50" s="55"/>
      <c r="O50" s="55"/>
      <c r="P50" s="55"/>
      <c r="Q50" s="55"/>
      <c r="R50" s="55"/>
    </row>
    <row r="51" spans="1:18" ht="26.1" customHeight="1">
      <c r="A51" s="24" t="s">
        <v>269</v>
      </c>
      <c r="B51" s="29" t="s">
        <v>1018</v>
      </c>
      <c r="C51" s="60" t="b">
        <v>0</v>
      </c>
      <c r="D51" s="24" t="s">
        <v>605</v>
      </c>
      <c r="E51" s="24"/>
      <c r="F51" s="24"/>
      <c r="G51" s="24"/>
      <c r="H51" s="55"/>
      <c r="I51" s="55"/>
      <c r="J51" s="55"/>
      <c r="K51" s="55"/>
      <c r="L51" s="48"/>
      <c r="M51" s="55"/>
      <c r="N51" s="55"/>
      <c r="O51" s="55"/>
      <c r="P51" s="55"/>
      <c r="Q51" s="55"/>
      <c r="R51" s="55"/>
    </row>
    <row r="52" spans="1:18" ht="26.1" customHeight="1">
      <c r="A52" s="24" t="s">
        <v>269</v>
      </c>
      <c r="B52" s="29" t="s">
        <v>1019</v>
      </c>
      <c r="C52" s="60" t="b">
        <v>0</v>
      </c>
      <c r="D52" s="24" t="s">
        <v>605</v>
      </c>
      <c r="E52" s="24"/>
      <c r="F52" s="24"/>
      <c r="G52" s="24"/>
      <c r="H52" s="55"/>
      <c r="I52" s="55"/>
      <c r="J52" s="55"/>
      <c r="K52" s="55"/>
      <c r="L52" s="48"/>
      <c r="M52" s="55"/>
      <c r="N52" s="55"/>
      <c r="O52" s="55"/>
      <c r="P52" s="55"/>
      <c r="Q52" s="55"/>
      <c r="R52" s="55"/>
    </row>
    <row r="53" spans="1:18" ht="26.1" customHeight="1">
      <c r="A53" s="24" t="s">
        <v>269</v>
      </c>
      <c r="B53" s="29" t="s">
        <v>1020</v>
      </c>
      <c r="C53" s="60" t="b">
        <v>0</v>
      </c>
      <c r="D53" s="24" t="s">
        <v>605</v>
      </c>
      <c r="E53" s="24"/>
      <c r="F53" s="24"/>
      <c r="G53" s="24"/>
      <c r="H53" s="55"/>
      <c r="I53" s="55"/>
      <c r="J53" s="55"/>
      <c r="K53" s="55"/>
      <c r="L53" s="48"/>
      <c r="M53" s="55"/>
      <c r="N53" s="55"/>
      <c r="O53" s="55"/>
      <c r="P53" s="55"/>
      <c r="Q53" s="55"/>
      <c r="R53" s="55"/>
    </row>
    <row r="54" spans="1:18" ht="26.1" customHeight="1">
      <c r="A54" s="24" t="s">
        <v>269</v>
      </c>
      <c r="B54" s="29" t="s">
        <v>1021</v>
      </c>
      <c r="C54" s="60" t="b">
        <v>0</v>
      </c>
      <c r="D54" s="24" t="s">
        <v>605</v>
      </c>
      <c r="E54" s="24"/>
      <c r="F54" s="24"/>
      <c r="G54" s="24"/>
      <c r="H54" s="55"/>
      <c r="I54" s="55"/>
      <c r="J54" s="55"/>
      <c r="K54" s="55"/>
      <c r="L54" s="48"/>
      <c r="M54" s="55"/>
      <c r="N54" s="55"/>
      <c r="O54" s="55"/>
      <c r="P54" s="55"/>
      <c r="Q54" s="55"/>
      <c r="R54" s="55"/>
    </row>
    <row r="55" spans="1:18" s="2" customFormat="1" ht="26.1" customHeight="1">
      <c r="A55" s="24" t="s">
        <v>269</v>
      </c>
      <c r="B55" s="29" t="s">
        <v>1022</v>
      </c>
      <c r="C55" s="60" t="b">
        <v>0</v>
      </c>
      <c r="D55" s="24" t="s">
        <v>605</v>
      </c>
      <c r="E55" s="24"/>
      <c r="F55" s="24"/>
      <c r="G55" s="24"/>
      <c r="H55" s="55"/>
      <c r="I55" s="55"/>
      <c r="J55" s="55"/>
      <c r="K55" s="55"/>
      <c r="L55" s="55"/>
      <c r="M55" s="55"/>
      <c r="N55" s="55"/>
      <c r="O55" s="55"/>
      <c r="P55" s="55"/>
      <c r="Q55" s="55"/>
      <c r="R55" s="55"/>
    </row>
    <row r="56" spans="1:18" s="2" customFormat="1" ht="26.1" customHeight="1">
      <c r="A56" s="24" t="s">
        <v>269</v>
      </c>
      <c r="B56" s="29" t="s">
        <v>1023</v>
      </c>
      <c r="C56" s="60" t="b">
        <v>0</v>
      </c>
      <c r="D56" s="24" t="s">
        <v>605</v>
      </c>
      <c r="E56" s="24"/>
      <c r="F56" s="24"/>
      <c r="G56" s="24"/>
      <c r="H56" s="55"/>
      <c r="I56" s="55"/>
      <c r="J56" s="55"/>
      <c r="K56" s="55"/>
      <c r="L56" s="55"/>
      <c r="M56" s="55"/>
      <c r="N56" s="55"/>
      <c r="O56" s="55"/>
      <c r="P56" s="55"/>
      <c r="Q56" s="55"/>
      <c r="R56" s="55"/>
    </row>
    <row r="57" spans="1:18" s="2" customFormat="1" ht="26.1" customHeight="1">
      <c r="A57" s="24" t="s">
        <v>269</v>
      </c>
      <c r="B57" s="29" t="s">
        <v>1024</v>
      </c>
      <c r="C57" s="60" t="b">
        <v>0</v>
      </c>
      <c r="D57" s="24" t="s">
        <v>605</v>
      </c>
      <c r="E57" s="24"/>
      <c r="F57" s="24"/>
      <c r="G57" s="24"/>
      <c r="H57" s="55"/>
      <c r="I57" s="55"/>
      <c r="J57" s="55"/>
      <c r="K57" s="55"/>
      <c r="L57" s="55"/>
      <c r="M57" s="55"/>
      <c r="N57" s="55"/>
      <c r="O57" s="55"/>
      <c r="P57" s="55"/>
      <c r="Q57" s="55"/>
      <c r="R57" s="55"/>
    </row>
    <row r="58" spans="1:18" s="2" customFormat="1" ht="26.1" customHeight="1">
      <c r="A58" s="24" t="s">
        <v>269</v>
      </c>
      <c r="B58" s="29" t="s">
        <v>1025</v>
      </c>
      <c r="C58" s="60" t="b">
        <v>0</v>
      </c>
      <c r="D58" s="24" t="s">
        <v>605</v>
      </c>
      <c r="E58" s="24"/>
      <c r="F58" s="24"/>
      <c r="G58" s="24"/>
      <c r="H58" s="55"/>
      <c r="I58" s="55"/>
      <c r="J58" s="55"/>
      <c r="K58" s="55"/>
      <c r="L58" s="55"/>
      <c r="M58" s="55"/>
      <c r="N58" s="55"/>
      <c r="O58" s="55"/>
      <c r="P58" s="55"/>
      <c r="Q58" s="55"/>
      <c r="R58" s="55"/>
    </row>
    <row r="59" spans="1:18" s="2" customFormat="1" ht="26.1" customHeight="1">
      <c r="A59" s="24" t="s">
        <v>269</v>
      </c>
      <c r="B59" s="29" t="s">
        <v>1026</v>
      </c>
      <c r="C59" s="60" t="b">
        <v>0</v>
      </c>
      <c r="D59" s="24" t="s">
        <v>605</v>
      </c>
      <c r="E59" s="24"/>
      <c r="F59" s="24"/>
      <c r="G59" s="24"/>
      <c r="H59" s="55"/>
      <c r="I59" s="55"/>
      <c r="J59" s="55"/>
      <c r="K59" s="55"/>
      <c r="L59" s="55"/>
      <c r="M59" s="55"/>
      <c r="N59" s="55"/>
      <c r="O59" s="55"/>
      <c r="P59" s="55"/>
      <c r="Q59" s="55"/>
      <c r="R59" s="55"/>
    </row>
    <row r="60" spans="1:18" s="2" customFormat="1" ht="26.1" customHeight="1">
      <c r="A60" s="24" t="s">
        <v>269</v>
      </c>
      <c r="B60" s="29" t="s">
        <v>1027</v>
      </c>
      <c r="C60" s="60" t="b">
        <v>0</v>
      </c>
      <c r="D60" s="24" t="s">
        <v>605</v>
      </c>
      <c r="E60" s="24"/>
      <c r="F60" s="24"/>
      <c r="G60" s="24"/>
      <c r="H60" s="55"/>
      <c r="I60" s="55"/>
      <c r="J60" s="55"/>
      <c r="K60" s="55"/>
      <c r="L60" s="55"/>
      <c r="M60" s="55"/>
      <c r="N60" s="55"/>
      <c r="O60" s="55"/>
      <c r="P60" s="55"/>
      <c r="Q60" s="55"/>
      <c r="R60" s="55"/>
    </row>
    <row r="61" spans="1:18" s="2" customFormat="1" ht="26.1" customHeight="1">
      <c r="A61" s="24" t="s">
        <v>269</v>
      </c>
      <c r="B61" s="29" t="s">
        <v>1028</v>
      </c>
      <c r="C61" s="60" t="b">
        <v>0</v>
      </c>
      <c r="D61" s="24" t="s">
        <v>605</v>
      </c>
      <c r="E61" s="24"/>
      <c r="F61" s="24"/>
      <c r="G61" s="24"/>
      <c r="H61" s="55"/>
      <c r="I61" s="55"/>
      <c r="J61" s="55"/>
      <c r="K61" s="55"/>
      <c r="L61" s="55"/>
      <c r="M61" s="55"/>
      <c r="N61" s="55"/>
      <c r="O61" s="55"/>
      <c r="P61" s="55"/>
      <c r="Q61" s="55"/>
      <c r="R61" s="55"/>
    </row>
    <row r="62" spans="1:18" s="2" customFormat="1" ht="26.1" customHeight="1">
      <c r="A62" s="24" t="s">
        <v>269</v>
      </c>
      <c r="B62" s="29" t="s">
        <v>1029</v>
      </c>
      <c r="C62" s="60" t="b">
        <v>0</v>
      </c>
      <c r="D62" s="24" t="s">
        <v>605</v>
      </c>
      <c r="E62" s="24"/>
      <c r="F62" s="24"/>
      <c r="G62" s="24"/>
      <c r="H62" s="55"/>
      <c r="I62" s="55"/>
      <c r="J62" s="55"/>
      <c r="K62" s="55"/>
      <c r="L62" s="55"/>
      <c r="M62" s="55"/>
      <c r="N62" s="55"/>
      <c r="O62" s="55"/>
      <c r="P62" s="55"/>
      <c r="Q62" s="55"/>
      <c r="R62" s="55"/>
    </row>
    <row r="63" spans="1:18" s="2" customFormat="1" ht="26.1" customHeight="1">
      <c r="A63" s="24" t="s">
        <v>269</v>
      </c>
      <c r="B63" s="29" t="s">
        <v>1030</v>
      </c>
      <c r="C63" s="60" t="b">
        <v>0</v>
      </c>
      <c r="D63" s="24" t="s">
        <v>605</v>
      </c>
      <c r="E63" s="24"/>
      <c r="F63" s="24"/>
      <c r="G63" s="24"/>
      <c r="H63" s="55"/>
      <c r="I63" s="55"/>
      <c r="J63" s="55"/>
      <c r="K63" s="55"/>
      <c r="L63" s="55"/>
      <c r="M63" s="55"/>
      <c r="N63" s="55"/>
      <c r="O63" s="55"/>
      <c r="P63" s="55"/>
      <c r="Q63" s="55"/>
      <c r="R63" s="55"/>
    </row>
    <row r="64" spans="1:18" s="2" customFormat="1" ht="26.1" customHeight="1">
      <c r="A64" s="24" t="s">
        <v>269</v>
      </c>
      <c r="B64" s="29" t="s">
        <v>1031</v>
      </c>
      <c r="C64" s="60" t="b">
        <v>0</v>
      </c>
      <c r="D64" s="24" t="s">
        <v>605</v>
      </c>
      <c r="E64" s="24"/>
      <c r="F64" s="24"/>
      <c r="G64" s="24"/>
      <c r="H64" s="55"/>
      <c r="I64" s="55"/>
      <c r="J64" s="55"/>
      <c r="K64" s="55"/>
      <c r="L64" s="55"/>
      <c r="M64" s="55"/>
      <c r="N64" s="55"/>
      <c r="O64" s="55"/>
      <c r="P64" s="55"/>
      <c r="Q64" s="55"/>
      <c r="R64" s="55"/>
    </row>
    <row r="65" spans="1:18" s="2" customFormat="1" ht="18.95" customHeight="1">
      <c r="A65" s="55"/>
      <c r="B65" s="55"/>
      <c r="C65" s="55"/>
      <c r="D65" s="55"/>
      <c r="E65" s="55"/>
      <c r="F65" s="55"/>
      <c r="G65" s="55"/>
      <c r="H65" s="55"/>
      <c r="I65" s="55"/>
      <c r="J65" s="55"/>
      <c r="K65" s="55"/>
      <c r="L65" s="55"/>
      <c r="M65" s="55"/>
      <c r="N65" s="55"/>
      <c r="O65" s="55"/>
      <c r="P65" s="55"/>
      <c r="Q65" s="55"/>
      <c r="R65" s="55"/>
    </row>
    <row r="66" spans="1:18" s="2" customFormat="1" ht="26.1" customHeight="1">
      <c r="A66" s="150" t="s">
        <v>1032</v>
      </c>
      <c r="B66" s="194"/>
      <c r="C66" s="194"/>
      <c r="D66" s="194"/>
      <c r="E66" s="194"/>
      <c r="F66" s="194"/>
      <c r="G66" s="194"/>
      <c r="H66" s="194"/>
      <c r="I66" s="194"/>
      <c r="J66" s="194"/>
      <c r="K66" s="194"/>
      <c r="L66" s="195"/>
      <c r="M66" s="55"/>
      <c r="N66" s="55"/>
      <c r="O66" s="55"/>
      <c r="P66" s="55"/>
      <c r="Q66" s="55"/>
      <c r="R66" s="55"/>
    </row>
    <row r="67" spans="1:18" s="2" customFormat="1" ht="26.1" customHeight="1">
      <c r="A67" s="22" t="s">
        <v>143</v>
      </c>
      <c r="B67" s="22" t="s">
        <v>1033</v>
      </c>
      <c r="C67" s="22" t="s">
        <v>354</v>
      </c>
      <c r="D67" s="22" t="s">
        <v>355</v>
      </c>
      <c r="E67" s="22" t="s">
        <v>356</v>
      </c>
      <c r="F67" s="22" t="s">
        <v>357</v>
      </c>
      <c r="G67" s="22" t="s">
        <v>358</v>
      </c>
      <c r="H67" s="22"/>
      <c r="I67" s="22"/>
      <c r="J67" s="22"/>
      <c r="K67" s="22"/>
      <c r="L67" s="22"/>
      <c r="M67" s="55"/>
      <c r="N67" s="55"/>
      <c r="O67" s="55"/>
      <c r="P67" s="55"/>
      <c r="Q67" s="55"/>
      <c r="R67" s="55"/>
    </row>
    <row r="68" spans="1:18" s="2" customFormat="1" ht="21" customHeight="1">
      <c r="A68" s="24" t="s">
        <v>276</v>
      </c>
      <c r="B68" s="29" t="s">
        <v>1034</v>
      </c>
      <c r="C68" s="60" t="b">
        <v>0</v>
      </c>
      <c r="D68" s="24" t="s">
        <v>277</v>
      </c>
      <c r="E68" s="24"/>
      <c r="F68" s="24"/>
      <c r="G68" s="24"/>
      <c r="H68" s="55"/>
      <c r="I68" s="55"/>
      <c r="J68" s="55"/>
      <c r="K68" s="55"/>
      <c r="L68" s="55"/>
      <c r="M68" s="55"/>
      <c r="N68" s="55"/>
      <c r="O68" s="55"/>
      <c r="P68" s="55"/>
      <c r="Q68" s="55"/>
      <c r="R68" s="55"/>
    </row>
    <row r="69" spans="1:18" s="2" customFormat="1" ht="21" customHeight="1">
      <c r="A69" s="24" t="s">
        <v>276</v>
      </c>
      <c r="B69" s="29" t="s">
        <v>1035</v>
      </c>
      <c r="C69" s="60" t="b">
        <v>0</v>
      </c>
      <c r="D69" s="24" t="s">
        <v>277</v>
      </c>
      <c r="E69" s="24"/>
      <c r="F69" s="24"/>
      <c r="G69" s="24"/>
      <c r="H69" s="55"/>
      <c r="I69" s="55"/>
      <c r="J69" s="55"/>
      <c r="K69" s="55"/>
      <c r="L69" s="55"/>
      <c r="M69" s="55"/>
      <c r="N69" s="55"/>
      <c r="O69" s="55"/>
      <c r="P69" s="55"/>
      <c r="Q69" s="55"/>
      <c r="R69" s="55"/>
    </row>
    <row r="70" spans="1:18" s="2" customFormat="1" ht="21" customHeight="1">
      <c r="A70" s="24" t="s">
        <v>276</v>
      </c>
      <c r="B70" s="29" t="s">
        <v>1036</v>
      </c>
      <c r="C70" s="60" t="b">
        <v>0</v>
      </c>
      <c r="D70" s="24" t="s">
        <v>277</v>
      </c>
      <c r="E70" s="24"/>
      <c r="F70" s="24"/>
      <c r="G70" s="24"/>
      <c r="H70" s="55"/>
      <c r="I70" s="55"/>
      <c r="J70" s="55"/>
      <c r="K70" s="55"/>
      <c r="L70" s="55"/>
      <c r="M70" s="55"/>
      <c r="N70" s="55"/>
      <c r="O70" s="55"/>
      <c r="P70" s="55"/>
      <c r="Q70" s="55"/>
      <c r="R70" s="55"/>
    </row>
    <row r="71" spans="1:18" s="2" customFormat="1" ht="21" customHeight="1">
      <c r="A71" s="24" t="s">
        <v>276</v>
      </c>
      <c r="B71" s="29" t="s">
        <v>1037</v>
      </c>
      <c r="C71" s="60" t="b">
        <v>0</v>
      </c>
      <c r="D71" s="24" t="s">
        <v>277</v>
      </c>
      <c r="E71" s="24"/>
      <c r="F71" s="24"/>
      <c r="G71" s="24"/>
      <c r="H71" s="55"/>
      <c r="I71" s="55"/>
      <c r="J71" s="55"/>
      <c r="K71" s="55"/>
      <c r="L71" s="55"/>
      <c r="M71" s="55"/>
      <c r="N71" s="55"/>
      <c r="O71" s="55"/>
      <c r="P71" s="55"/>
      <c r="Q71" s="55"/>
      <c r="R71" s="55"/>
    </row>
    <row r="72" spans="1:18" s="2" customFormat="1" ht="21" customHeight="1">
      <c r="A72" s="24" t="s">
        <v>276</v>
      </c>
      <c r="B72" s="29" t="s">
        <v>1038</v>
      </c>
      <c r="C72" s="60" t="b">
        <v>0</v>
      </c>
      <c r="D72" s="24" t="s">
        <v>277</v>
      </c>
      <c r="E72" s="24"/>
      <c r="F72" s="24"/>
      <c r="G72" s="24"/>
      <c r="H72" s="55"/>
      <c r="I72" s="55"/>
      <c r="J72" s="55"/>
      <c r="K72" s="55"/>
      <c r="L72" s="55"/>
      <c r="M72" s="55"/>
      <c r="N72" s="55"/>
      <c r="O72" s="55"/>
      <c r="P72" s="55"/>
      <c r="Q72" s="55"/>
      <c r="R72" s="55"/>
    </row>
    <row r="73" spans="1:18" ht="26.1" customHeight="1">
      <c r="A73" s="24" t="s">
        <v>276</v>
      </c>
      <c r="B73" s="29" t="s">
        <v>1039</v>
      </c>
      <c r="C73" s="60" t="b">
        <v>0</v>
      </c>
      <c r="D73" s="24" t="s">
        <v>277</v>
      </c>
      <c r="E73" s="24"/>
      <c r="F73" s="24"/>
      <c r="G73" s="24"/>
      <c r="H73" s="55"/>
      <c r="I73" s="55"/>
      <c r="J73" s="55"/>
      <c r="K73" s="55"/>
      <c r="L73" s="48"/>
      <c r="M73" s="55"/>
      <c r="N73" s="55"/>
      <c r="O73" s="55"/>
      <c r="P73" s="55"/>
      <c r="Q73" s="55"/>
      <c r="R73" s="55"/>
    </row>
    <row r="74" spans="1:18" ht="21" customHeight="1">
      <c r="A74" s="24" t="s">
        <v>276</v>
      </c>
      <c r="B74" s="29" t="s">
        <v>1040</v>
      </c>
      <c r="C74" s="60" t="b">
        <v>0</v>
      </c>
      <c r="D74" s="24" t="s">
        <v>277</v>
      </c>
      <c r="E74" s="24"/>
      <c r="F74" s="24"/>
      <c r="G74" s="24"/>
      <c r="H74" s="55"/>
      <c r="I74" s="55"/>
      <c r="J74" s="55"/>
      <c r="K74" s="55"/>
      <c r="L74" s="48"/>
      <c r="M74" s="55"/>
      <c r="N74" s="55"/>
      <c r="O74" s="55"/>
      <c r="P74" s="55"/>
      <c r="Q74" s="55"/>
      <c r="R74" s="55"/>
    </row>
    <row r="75" spans="1:18" s="2" customFormat="1" ht="26.1" customHeight="1">
      <c r="A75" s="24" t="s">
        <v>276</v>
      </c>
      <c r="B75" s="29" t="s">
        <v>1041</v>
      </c>
      <c r="C75" s="60" t="b">
        <v>0</v>
      </c>
      <c r="D75" s="24" t="s">
        <v>277</v>
      </c>
      <c r="E75" s="24"/>
      <c r="F75" s="24"/>
      <c r="G75" s="24"/>
      <c r="H75" s="55"/>
      <c r="I75" s="55"/>
      <c r="J75" s="55"/>
      <c r="K75" s="55"/>
      <c r="L75" s="55"/>
      <c r="M75" s="55"/>
      <c r="N75" s="55"/>
      <c r="O75" s="55"/>
      <c r="P75" s="55"/>
      <c r="Q75" s="55"/>
      <c r="R75" s="55"/>
    </row>
    <row r="76" spans="1:18" ht="21" customHeight="1">
      <c r="A76" s="24" t="s">
        <v>276</v>
      </c>
      <c r="B76" s="29" t="s">
        <v>1042</v>
      </c>
      <c r="C76" s="60" t="b">
        <v>0</v>
      </c>
      <c r="D76" s="24" t="s">
        <v>277</v>
      </c>
      <c r="E76" s="24"/>
      <c r="F76" s="24"/>
      <c r="G76" s="24"/>
      <c r="H76" s="55"/>
      <c r="I76" s="55"/>
      <c r="J76" s="55"/>
      <c r="K76" s="55"/>
      <c r="L76" s="48"/>
      <c r="M76" s="55"/>
      <c r="N76" s="55"/>
      <c r="O76" s="55"/>
      <c r="P76" s="55"/>
      <c r="Q76" s="55"/>
      <c r="R76" s="55"/>
    </row>
    <row r="77" spans="1:18" ht="21" customHeight="1">
      <c r="A77" s="24" t="s">
        <v>276</v>
      </c>
      <c r="B77" s="29" t="s">
        <v>1043</v>
      </c>
      <c r="C77" s="60" t="b">
        <v>0</v>
      </c>
      <c r="D77" s="24" t="s">
        <v>277</v>
      </c>
      <c r="E77" s="24"/>
      <c r="F77" s="24"/>
      <c r="G77" s="24"/>
      <c r="H77" s="55"/>
      <c r="I77" s="55"/>
      <c r="J77" s="55"/>
      <c r="K77" s="55"/>
      <c r="L77" s="48"/>
      <c r="M77" s="55"/>
      <c r="N77" s="55"/>
      <c r="O77" s="55"/>
      <c r="P77" s="55"/>
      <c r="Q77" s="55"/>
      <c r="R77" s="55"/>
    </row>
    <row r="78" spans="1:18" ht="21" customHeight="1">
      <c r="A78" s="24" t="s">
        <v>276</v>
      </c>
      <c r="B78" s="29" t="s">
        <v>1044</v>
      </c>
      <c r="C78" s="60" t="b">
        <v>0</v>
      </c>
      <c r="D78" s="24" t="s">
        <v>277</v>
      </c>
      <c r="E78" s="24"/>
      <c r="F78" s="24"/>
      <c r="G78" s="24"/>
      <c r="H78" s="55"/>
      <c r="I78" s="55"/>
      <c r="J78" s="55"/>
      <c r="K78" s="55"/>
      <c r="L78" s="48"/>
      <c r="M78" s="55"/>
      <c r="N78" s="55"/>
      <c r="O78" s="55"/>
      <c r="P78" s="55"/>
      <c r="Q78" s="55"/>
      <c r="R78" s="55"/>
    </row>
    <row r="79" spans="1:18" ht="21" customHeight="1">
      <c r="A79" s="24" t="s">
        <v>276</v>
      </c>
      <c r="B79" s="29" t="s">
        <v>1045</v>
      </c>
      <c r="C79" s="60" t="b">
        <v>0</v>
      </c>
      <c r="D79" s="24" t="s">
        <v>277</v>
      </c>
      <c r="E79" s="24"/>
      <c r="F79" s="24"/>
      <c r="G79" s="24"/>
      <c r="H79" s="55"/>
      <c r="I79" s="55"/>
      <c r="J79" s="55"/>
      <c r="K79" s="55"/>
      <c r="L79" s="48"/>
      <c r="M79" s="55"/>
      <c r="N79" s="55"/>
      <c r="O79" s="55"/>
      <c r="P79" s="55"/>
      <c r="Q79" s="55"/>
      <c r="R79" s="55"/>
    </row>
    <row r="80" spans="1:18" ht="21" customHeight="1">
      <c r="A80" s="24" t="s">
        <v>276</v>
      </c>
      <c r="B80" s="29" t="s">
        <v>1046</v>
      </c>
      <c r="C80" s="60" t="b">
        <v>0</v>
      </c>
      <c r="D80" s="24" t="s">
        <v>277</v>
      </c>
      <c r="E80" s="24"/>
      <c r="F80" s="24"/>
      <c r="G80" s="24"/>
      <c r="H80" s="55"/>
      <c r="I80" s="55"/>
      <c r="J80" s="55"/>
      <c r="K80" s="55"/>
      <c r="L80" s="48"/>
      <c r="M80" s="55"/>
      <c r="N80" s="55"/>
      <c r="O80" s="55"/>
      <c r="P80" s="55"/>
      <c r="Q80" s="55"/>
      <c r="R80" s="55"/>
    </row>
    <row r="81" spans="1:18" ht="21" customHeight="1">
      <c r="A81" s="24" t="s">
        <v>276</v>
      </c>
      <c r="B81" s="29" t="s">
        <v>1047</v>
      </c>
      <c r="C81" s="60" t="b">
        <v>0</v>
      </c>
      <c r="D81" s="24" t="s">
        <v>277</v>
      </c>
      <c r="E81" s="24"/>
      <c r="F81" s="24"/>
      <c r="G81" s="24"/>
      <c r="H81" s="55"/>
      <c r="I81" s="55"/>
      <c r="J81" s="55"/>
      <c r="K81" s="55"/>
      <c r="L81" s="48"/>
      <c r="M81" s="55"/>
      <c r="N81" s="55"/>
      <c r="O81" s="55"/>
      <c r="P81" s="55"/>
      <c r="Q81" s="55"/>
      <c r="R81" s="55"/>
    </row>
    <row r="82" spans="1:18" s="2" customFormat="1" ht="21" customHeight="1">
      <c r="A82" s="24" t="s">
        <v>276</v>
      </c>
      <c r="B82" s="29" t="s">
        <v>1048</v>
      </c>
      <c r="C82" s="60" t="b">
        <v>0</v>
      </c>
      <c r="D82" s="24" t="s">
        <v>277</v>
      </c>
      <c r="E82" s="24"/>
      <c r="F82" s="24"/>
      <c r="G82" s="24"/>
      <c r="H82" s="55"/>
      <c r="I82" s="55"/>
      <c r="J82" s="55"/>
      <c r="K82" s="55"/>
      <c r="L82" s="55"/>
      <c r="M82" s="55"/>
      <c r="N82" s="55"/>
      <c r="O82" s="55"/>
      <c r="P82" s="55"/>
      <c r="Q82" s="55"/>
      <c r="R82" s="55"/>
    </row>
    <row r="83" spans="1:18" s="2" customFormat="1" ht="21" customHeight="1">
      <c r="A83" s="24" t="s">
        <v>276</v>
      </c>
      <c r="B83" s="29" t="s">
        <v>1049</v>
      </c>
      <c r="C83" s="60" t="b">
        <v>0</v>
      </c>
      <c r="D83" s="24" t="s">
        <v>277</v>
      </c>
      <c r="E83" s="24"/>
      <c r="F83" s="24"/>
      <c r="G83" s="24"/>
      <c r="H83" s="55"/>
      <c r="I83" s="55"/>
      <c r="J83" s="55"/>
      <c r="K83" s="55"/>
      <c r="L83" s="55"/>
      <c r="M83" s="55"/>
      <c r="N83" s="55"/>
      <c r="O83" s="55"/>
      <c r="P83" s="55"/>
      <c r="Q83" s="55"/>
      <c r="R83" s="55"/>
    </row>
    <row r="84" spans="1:18" s="2" customFormat="1" ht="18.95" customHeight="1">
      <c r="A84" s="55"/>
      <c r="B84" s="55"/>
      <c r="C84" s="55"/>
      <c r="D84" s="55"/>
      <c r="E84" s="55"/>
      <c r="F84" s="55"/>
      <c r="G84" s="55"/>
      <c r="H84" s="55"/>
      <c r="I84" s="55"/>
      <c r="J84" s="55"/>
      <c r="K84" s="55"/>
      <c r="L84" s="55"/>
      <c r="M84" s="55"/>
      <c r="N84" s="55"/>
      <c r="O84" s="55"/>
      <c r="P84" s="55"/>
      <c r="Q84" s="55"/>
      <c r="R84" s="55"/>
    </row>
    <row r="85" spans="1:18" s="2" customFormat="1" ht="26.1" customHeight="1">
      <c r="A85" s="150" t="s">
        <v>1050</v>
      </c>
      <c r="B85" s="194"/>
      <c r="C85" s="194"/>
      <c r="D85" s="194"/>
      <c r="E85" s="194"/>
      <c r="F85" s="194"/>
      <c r="G85" s="194"/>
      <c r="H85" s="194"/>
      <c r="I85" s="194"/>
      <c r="J85" s="194"/>
      <c r="K85" s="194"/>
      <c r="L85" s="195"/>
      <c r="M85" s="55"/>
      <c r="N85" s="55"/>
      <c r="O85" s="55"/>
      <c r="P85" s="55"/>
      <c r="Q85" s="55"/>
      <c r="R85" s="55"/>
    </row>
    <row r="86" spans="1:18" s="2" customFormat="1" ht="26.1" customHeight="1">
      <c r="A86" s="22" t="s">
        <v>143</v>
      </c>
      <c r="B86" s="22" t="s">
        <v>575</v>
      </c>
      <c r="C86" s="22" t="s">
        <v>576</v>
      </c>
      <c r="D86" s="22" t="s">
        <v>577</v>
      </c>
      <c r="E86" s="22" t="s">
        <v>144</v>
      </c>
      <c r="F86" s="22" t="s">
        <v>145</v>
      </c>
      <c r="G86" s="22" t="s">
        <v>578</v>
      </c>
      <c r="H86" s="22" t="s">
        <v>499</v>
      </c>
      <c r="I86" s="22"/>
      <c r="J86" s="22"/>
      <c r="K86" s="22"/>
      <c r="L86" s="22"/>
      <c r="M86" s="55"/>
      <c r="N86" s="55"/>
      <c r="O86" s="55"/>
      <c r="P86" s="55"/>
      <c r="Q86" s="55"/>
      <c r="R86" s="55"/>
    </row>
    <row r="87" spans="1:18" s="2" customFormat="1" ht="44.1" customHeight="1">
      <c r="A87" s="25" t="s">
        <v>263</v>
      </c>
      <c r="B87" s="26" t="s">
        <v>1051</v>
      </c>
      <c r="C87" s="27" t="s">
        <v>1052</v>
      </c>
      <c r="D87" s="27" t="s">
        <v>1053</v>
      </c>
      <c r="E87" s="27" t="s">
        <v>264</v>
      </c>
      <c r="F87" s="27" t="s">
        <v>152</v>
      </c>
      <c r="G87" s="27"/>
      <c r="H87" s="27"/>
      <c r="I87" s="55"/>
      <c r="J87" s="55"/>
      <c r="K87" s="55"/>
      <c r="L87" s="55"/>
      <c r="M87" s="55"/>
      <c r="N87" s="55"/>
      <c r="O87" s="55"/>
      <c r="P87" s="55"/>
      <c r="Q87" s="55"/>
      <c r="R87" s="55"/>
    </row>
    <row r="88" spans="1:18" s="2" customFormat="1" ht="33.950000000000003" customHeight="1">
      <c r="A88" s="25" t="s">
        <v>263</v>
      </c>
      <c r="B88" s="26" t="s">
        <v>1054</v>
      </c>
      <c r="C88" s="27" t="s">
        <v>1055</v>
      </c>
      <c r="D88" s="27" t="s">
        <v>1056</v>
      </c>
      <c r="E88" s="27" t="s">
        <v>1057</v>
      </c>
      <c r="F88" s="27" t="s">
        <v>152</v>
      </c>
      <c r="G88" s="27"/>
      <c r="H88" s="27"/>
      <c r="I88" s="55"/>
      <c r="J88" s="55"/>
      <c r="K88" s="55"/>
      <c r="L88" s="55"/>
      <c r="M88" s="55"/>
      <c r="N88" s="55"/>
      <c r="O88" s="55"/>
      <c r="P88" s="55"/>
      <c r="Q88" s="55"/>
      <c r="R88" s="55"/>
    </row>
    <row r="89" spans="1:18" s="2" customFormat="1" ht="33.950000000000003" customHeight="1">
      <c r="A89" s="25" t="s">
        <v>263</v>
      </c>
      <c r="B89" s="26" t="s">
        <v>1058</v>
      </c>
      <c r="C89" s="27" t="s">
        <v>1059</v>
      </c>
      <c r="D89" s="27" t="s">
        <v>1060</v>
      </c>
      <c r="E89" s="27" t="s">
        <v>730</v>
      </c>
      <c r="F89" s="27" t="s">
        <v>152</v>
      </c>
      <c r="G89" s="27"/>
      <c r="H89" s="27"/>
      <c r="I89" s="55"/>
      <c r="J89" s="55"/>
      <c r="K89" s="55"/>
      <c r="L89" s="55"/>
      <c r="M89" s="55"/>
      <c r="N89" s="55"/>
      <c r="O89" s="55"/>
      <c r="P89" s="55"/>
      <c r="Q89" s="55"/>
      <c r="R89" s="55"/>
    </row>
    <row r="90" spans="1:18" s="2" customFormat="1" ht="33.950000000000003" customHeight="1">
      <c r="A90" s="25" t="s">
        <v>263</v>
      </c>
      <c r="B90" s="26" t="s">
        <v>1061</v>
      </c>
      <c r="C90" s="27" t="s">
        <v>1062</v>
      </c>
      <c r="D90" s="27" t="s">
        <v>1063</v>
      </c>
      <c r="E90" s="27" t="s">
        <v>1064</v>
      </c>
      <c r="F90" s="27" t="s">
        <v>152</v>
      </c>
      <c r="G90" s="27"/>
      <c r="H90" s="27"/>
      <c r="I90" s="55"/>
      <c r="J90" s="55"/>
      <c r="K90" s="55"/>
      <c r="L90" s="55"/>
      <c r="M90" s="55"/>
      <c r="N90" s="55"/>
      <c r="O90" s="55"/>
      <c r="P90" s="55"/>
      <c r="Q90" s="55"/>
      <c r="R90" s="55"/>
    </row>
    <row r="91" spans="1:18" s="2" customFormat="1" ht="33.950000000000003" customHeight="1">
      <c r="A91" s="25" t="s">
        <v>263</v>
      </c>
      <c r="B91" s="26" t="s">
        <v>1065</v>
      </c>
      <c r="C91" s="27" t="s">
        <v>1066</v>
      </c>
      <c r="D91" s="27" t="s">
        <v>1067</v>
      </c>
      <c r="E91" s="27" t="s">
        <v>1007</v>
      </c>
      <c r="F91" s="27" t="s">
        <v>152</v>
      </c>
      <c r="G91" s="27"/>
      <c r="H91" s="27"/>
      <c r="I91" s="55"/>
      <c r="J91" s="55"/>
      <c r="K91" s="55"/>
      <c r="L91" s="55"/>
      <c r="M91" s="55"/>
      <c r="N91" s="55"/>
      <c r="O91" s="55"/>
      <c r="P91" s="55"/>
      <c r="Q91" s="55"/>
      <c r="R91" s="55"/>
    </row>
    <row r="92" spans="1:18" s="2" customFormat="1" ht="33.950000000000003" customHeight="1">
      <c r="A92" s="25" t="s">
        <v>263</v>
      </c>
      <c r="B92" s="26" t="s">
        <v>1068</v>
      </c>
      <c r="C92" s="27" t="s">
        <v>1069</v>
      </c>
      <c r="D92" s="27" t="s">
        <v>1070</v>
      </c>
      <c r="E92" s="27" t="s">
        <v>730</v>
      </c>
      <c r="F92" s="27" t="s">
        <v>152</v>
      </c>
      <c r="G92" s="27"/>
      <c r="H92" s="27"/>
      <c r="I92" s="55"/>
      <c r="J92" s="55"/>
      <c r="K92" s="55"/>
      <c r="L92" s="55"/>
      <c r="M92" s="55"/>
      <c r="N92" s="55"/>
      <c r="O92" s="55"/>
      <c r="P92" s="55"/>
      <c r="Q92" s="55"/>
      <c r="R92" s="55"/>
    </row>
    <row r="93" spans="1:18" ht="18.95" customHeight="1">
      <c r="A93" s="55"/>
      <c r="B93" s="55"/>
      <c r="C93" s="55"/>
      <c r="D93" s="55"/>
      <c r="E93" s="55"/>
      <c r="F93" s="55"/>
      <c r="G93" s="55"/>
      <c r="H93" s="55"/>
      <c r="I93" s="55"/>
      <c r="J93" s="55"/>
      <c r="K93" s="55"/>
      <c r="L93" s="48"/>
      <c r="M93" s="55"/>
      <c r="N93" s="55"/>
      <c r="O93" s="55"/>
      <c r="P93" s="55"/>
      <c r="Q93" s="55"/>
      <c r="R93" s="55"/>
    </row>
    <row r="94" spans="1:18" ht="26.1" customHeight="1">
      <c r="A94" s="150" t="s">
        <v>1071</v>
      </c>
      <c r="B94" s="194"/>
      <c r="C94" s="194"/>
      <c r="D94" s="194"/>
      <c r="E94" s="194"/>
      <c r="F94" s="194"/>
      <c r="G94" s="194"/>
      <c r="H94" s="194"/>
      <c r="I94" s="194"/>
      <c r="J94" s="194"/>
      <c r="K94" s="194"/>
      <c r="L94" s="195"/>
      <c r="M94" s="55"/>
      <c r="N94" s="55"/>
      <c r="O94" s="55"/>
      <c r="P94" s="55"/>
      <c r="Q94" s="55"/>
      <c r="R94" s="55"/>
    </row>
    <row r="95" spans="1:18" s="2" customFormat="1" ht="24" customHeight="1">
      <c r="A95" s="22" t="s">
        <v>143</v>
      </c>
      <c r="B95" s="22" t="s">
        <v>491</v>
      </c>
      <c r="C95" s="22" t="s">
        <v>492</v>
      </c>
      <c r="D95" s="22" t="s">
        <v>493</v>
      </c>
      <c r="E95" s="22" t="s">
        <v>494</v>
      </c>
      <c r="F95" s="22" t="s">
        <v>495</v>
      </c>
      <c r="G95" s="22" t="s">
        <v>496</v>
      </c>
      <c r="H95" s="22" t="s">
        <v>497</v>
      </c>
      <c r="I95" s="22" t="s">
        <v>498</v>
      </c>
      <c r="J95" s="22" t="s">
        <v>499</v>
      </c>
      <c r="K95" s="22"/>
      <c r="L95" s="22"/>
      <c r="M95" s="55"/>
      <c r="N95" s="55"/>
      <c r="O95" s="55"/>
      <c r="P95" s="55"/>
      <c r="Q95" s="55"/>
      <c r="R95" s="55"/>
    </row>
    <row r="96" spans="1:18" ht="33.950000000000003" customHeight="1">
      <c r="A96" s="30" t="s">
        <v>249</v>
      </c>
      <c r="B96" s="24" t="s">
        <v>1072</v>
      </c>
      <c r="C96" s="60" t="b">
        <v>0</v>
      </c>
      <c r="D96" s="24" t="s">
        <v>501</v>
      </c>
      <c r="E96" s="24"/>
      <c r="F96" s="24"/>
      <c r="G96" s="24"/>
      <c r="H96" s="24"/>
      <c r="I96" s="24"/>
      <c r="J96" s="24"/>
      <c r="K96" s="55"/>
      <c r="L96" s="48"/>
      <c r="M96" s="55"/>
      <c r="N96" s="55"/>
      <c r="O96" s="55"/>
      <c r="P96" s="55"/>
      <c r="Q96" s="55"/>
      <c r="R96" s="55"/>
    </row>
    <row r="97" spans="1:18" ht="33.950000000000003" customHeight="1">
      <c r="A97" s="30" t="s">
        <v>249</v>
      </c>
      <c r="B97" s="24" t="s">
        <v>1073</v>
      </c>
      <c r="C97" s="60" t="b">
        <v>0</v>
      </c>
      <c r="D97" s="24" t="s">
        <v>501</v>
      </c>
      <c r="E97" s="24"/>
      <c r="F97" s="24"/>
      <c r="G97" s="24"/>
      <c r="H97" s="24"/>
      <c r="I97" s="24"/>
      <c r="J97" s="24"/>
      <c r="K97" s="55"/>
      <c r="L97" s="48"/>
      <c r="M97" s="55"/>
      <c r="N97" s="55"/>
      <c r="O97" s="55"/>
      <c r="P97" s="55"/>
      <c r="Q97" s="55"/>
      <c r="R97" s="55"/>
    </row>
    <row r="98" spans="1:18" ht="26.1" customHeight="1">
      <c r="A98" s="30" t="s">
        <v>249</v>
      </c>
      <c r="B98" s="24" t="s">
        <v>1074</v>
      </c>
      <c r="C98" s="60" t="b">
        <v>0</v>
      </c>
      <c r="D98" s="24" t="s">
        <v>501</v>
      </c>
      <c r="E98" s="24"/>
      <c r="F98" s="24"/>
      <c r="G98" s="24"/>
      <c r="H98" s="24"/>
      <c r="I98" s="24"/>
      <c r="J98" s="24"/>
      <c r="K98" s="55"/>
      <c r="L98" s="48"/>
      <c r="M98" s="55"/>
      <c r="N98" s="55"/>
      <c r="O98" s="55"/>
      <c r="P98" s="55"/>
      <c r="Q98" s="55"/>
      <c r="R98" s="55"/>
    </row>
    <row r="99" spans="1:18" ht="33.950000000000003" customHeight="1">
      <c r="A99" s="30" t="s">
        <v>269</v>
      </c>
      <c r="B99" s="24" t="s">
        <v>1075</v>
      </c>
      <c r="C99" s="60" t="b">
        <v>0</v>
      </c>
      <c r="D99" s="24" t="s">
        <v>501</v>
      </c>
      <c r="E99" s="24"/>
      <c r="F99" s="24"/>
      <c r="G99" s="24"/>
      <c r="H99" s="24"/>
      <c r="I99" s="24"/>
      <c r="J99" s="24"/>
      <c r="K99" s="55"/>
      <c r="L99" s="48"/>
      <c r="M99" s="55"/>
      <c r="N99" s="55"/>
      <c r="O99" s="55"/>
      <c r="P99" s="55"/>
      <c r="Q99" s="55"/>
      <c r="R99" s="55"/>
    </row>
    <row r="100" spans="1:18" ht="33.950000000000003" customHeight="1">
      <c r="A100" s="30" t="s">
        <v>269</v>
      </c>
      <c r="B100" s="24" t="s">
        <v>1076</v>
      </c>
      <c r="C100" s="60" t="b">
        <v>0</v>
      </c>
      <c r="D100" s="24" t="s">
        <v>501</v>
      </c>
      <c r="E100" s="24"/>
      <c r="F100" s="24"/>
      <c r="G100" s="24"/>
      <c r="H100" s="24"/>
      <c r="I100" s="24"/>
      <c r="J100" s="24"/>
      <c r="K100" s="55"/>
      <c r="L100" s="48"/>
      <c r="M100" s="55"/>
      <c r="N100" s="55"/>
      <c r="O100" s="55"/>
      <c r="P100" s="55"/>
      <c r="Q100" s="55"/>
      <c r="R100" s="55"/>
    </row>
    <row r="101" spans="1:18" ht="33.950000000000003" customHeight="1">
      <c r="A101" s="30" t="s">
        <v>269</v>
      </c>
      <c r="B101" s="24" t="s">
        <v>1077</v>
      </c>
      <c r="C101" s="60" t="b">
        <v>0</v>
      </c>
      <c r="D101" s="24" t="s">
        <v>501</v>
      </c>
      <c r="E101" s="24"/>
      <c r="F101" s="24"/>
      <c r="G101" s="24"/>
      <c r="H101" s="24"/>
      <c r="I101" s="24"/>
      <c r="J101" s="24"/>
      <c r="K101" s="55"/>
      <c r="L101" s="48"/>
      <c r="M101" s="55"/>
      <c r="N101" s="55"/>
      <c r="O101" s="55"/>
      <c r="P101" s="55"/>
      <c r="Q101" s="55"/>
      <c r="R101" s="55"/>
    </row>
    <row r="102" spans="1:18" ht="33.950000000000003" customHeight="1">
      <c r="A102" s="30" t="s">
        <v>276</v>
      </c>
      <c r="B102" s="24" t="s">
        <v>1078</v>
      </c>
      <c r="C102" s="60" t="b">
        <v>0</v>
      </c>
      <c r="D102" s="24" t="s">
        <v>501</v>
      </c>
      <c r="E102" s="24"/>
      <c r="F102" s="24"/>
      <c r="G102" s="24"/>
      <c r="H102" s="24"/>
      <c r="I102" s="24"/>
      <c r="J102" s="24"/>
      <c r="K102" s="55"/>
      <c r="L102" s="48"/>
      <c r="M102" s="55"/>
      <c r="N102" s="55"/>
      <c r="O102" s="55"/>
      <c r="P102" s="55"/>
      <c r="Q102" s="55"/>
      <c r="R102" s="55"/>
    </row>
    <row r="103" spans="1:18" s="2" customFormat="1" ht="33.950000000000003" customHeight="1">
      <c r="A103" s="30" t="s">
        <v>276</v>
      </c>
      <c r="B103" s="24" t="s">
        <v>1079</v>
      </c>
      <c r="C103" s="60" t="b">
        <v>0</v>
      </c>
      <c r="D103" s="24" t="s">
        <v>501</v>
      </c>
      <c r="E103" s="24"/>
      <c r="F103" s="24"/>
      <c r="G103" s="24"/>
      <c r="H103" s="24"/>
      <c r="I103" s="24"/>
      <c r="J103" s="24"/>
      <c r="K103" s="55"/>
      <c r="L103" s="55"/>
      <c r="M103" s="55"/>
      <c r="N103" s="55"/>
      <c r="O103" s="55"/>
      <c r="P103" s="55"/>
      <c r="Q103" s="55"/>
      <c r="R103" s="55"/>
    </row>
    <row r="104" spans="1:18" s="2" customFormat="1" ht="33.950000000000003" customHeight="1">
      <c r="A104" s="30" t="s">
        <v>276</v>
      </c>
      <c r="B104" s="24" t="s">
        <v>1080</v>
      </c>
      <c r="C104" s="60" t="b">
        <v>0</v>
      </c>
      <c r="D104" s="24" t="s">
        <v>501</v>
      </c>
      <c r="E104" s="24"/>
      <c r="F104" s="24"/>
      <c r="G104" s="24"/>
      <c r="H104" s="24"/>
      <c r="I104" s="24"/>
      <c r="J104" s="24"/>
      <c r="K104" s="55"/>
      <c r="L104" s="55"/>
      <c r="M104" s="55"/>
      <c r="N104" s="55"/>
      <c r="O104" s="55"/>
      <c r="P104" s="55"/>
      <c r="Q104" s="55"/>
      <c r="R104" s="55"/>
    </row>
    <row r="105" spans="1:18" s="2" customFormat="1" ht="18.95" customHeight="1">
      <c r="A105" s="55"/>
      <c r="B105" s="55"/>
      <c r="C105" s="55"/>
      <c r="D105" s="55"/>
      <c r="E105" s="55"/>
      <c r="F105" s="55"/>
      <c r="G105" s="55"/>
      <c r="H105" s="55"/>
      <c r="I105" s="55"/>
      <c r="J105" s="55"/>
      <c r="K105" s="55"/>
      <c r="L105" s="55"/>
      <c r="M105" s="55"/>
      <c r="N105" s="55"/>
      <c r="O105" s="55"/>
      <c r="P105" s="55"/>
      <c r="Q105" s="55"/>
      <c r="R105" s="55"/>
    </row>
    <row r="106" spans="1:18" s="2" customFormat="1" ht="33.950000000000003" customHeight="1">
      <c r="A106" s="150" t="s">
        <v>510</v>
      </c>
      <c r="B106" s="194"/>
      <c r="C106" s="194"/>
      <c r="D106" s="194"/>
      <c r="E106" s="194"/>
      <c r="F106" s="194"/>
      <c r="G106" s="194"/>
      <c r="H106" s="194"/>
      <c r="I106" s="194"/>
      <c r="J106" s="194"/>
      <c r="K106" s="194"/>
      <c r="L106" s="195"/>
      <c r="M106" s="55"/>
      <c r="N106" s="55"/>
      <c r="O106" s="55"/>
      <c r="P106" s="55"/>
      <c r="Q106" s="55"/>
      <c r="R106" s="55"/>
    </row>
    <row r="107" spans="1:18" s="2" customFormat="1" ht="24" customHeight="1">
      <c r="A107" s="22" t="s">
        <v>511</v>
      </c>
      <c r="B107" s="22" t="s">
        <v>493</v>
      </c>
      <c r="C107" s="22" t="s">
        <v>512</v>
      </c>
      <c r="D107" s="22" t="s">
        <v>494</v>
      </c>
      <c r="E107" s="22" t="s">
        <v>495</v>
      </c>
      <c r="F107" s="22" t="s">
        <v>497</v>
      </c>
      <c r="G107" s="22" t="s">
        <v>498</v>
      </c>
      <c r="H107" s="22" t="s">
        <v>513</v>
      </c>
      <c r="I107" s="22"/>
      <c r="J107" s="22"/>
      <c r="K107" s="22"/>
      <c r="L107" s="22"/>
      <c r="M107" s="55"/>
      <c r="N107" s="55"/>
      <c r="O107" s="55"/>
      <c r="P107" s="55"/>
      <c r="Q107" s="55"/>
      <c r="R107" s="55"/>
    </row>
    <row r="108" spans="1:18" s="2" customFormat="1" ht="21" customHeight="1">
      <c r="A108" s="26"/>
      <c r="B108" s="27" t="s">
        <v>501</v>
      </c>
      <c r="C108" s="61" t="b">
        <v>0</v>
      </c>
      <c r="D108" s="27"/>
      <c r="E108" s="27"/>
      <c r="F108" s="27"/>
      <c r="G108" s="27"/>
      <c r="H108" s="27"/>
      <c r="I108" s="55"/>
      <c r="J108" s="55"/>
      <c r="K108" s="55"/>
      <c r="L108" s="55"/>
      <c r="M108" s="55"/>
      <c r="N108" s="55"/>
      <c r="O108" s="55"/>
      <c r="P108" s="55"/>
      <c r="Q108" s="55"/>
      <c r="R108" s="55"/>
    </row>
    <row r="109" spans="1:18" s="2" customFormat="1" ht="26.1" customHeight="1">
      <c r="A109" s="26" t="s">
        <v>515</v>
      </c>
      <c r="B109" s="27" t="s">
        <v>501</v>
      </c>
      <c r="C109" s="61" t="b">
        <v>0</v>
      </c>
      <c r="D109" s="27"/>
      <c r="E109" s="27"/>
      <c r="F109" s="27"/>
      <c r="G109" s="27"/>
      <c r="H109" s="27"/>
      <c r="I109" s="55"/>
      <c r="J109" s="55"/>
      <c r="K109" s="55"/>
      <c r="L109" s="55"/>
      <c r="M109" s="55"/>
      <c r="N109" s="55"/>
      <c r="O109" s="55"/>
      <c r="P109" s="55"/>
      <c r="Q109" s="55"/>
      <c r="R109" s="55"/>
    </row>
    <row r="110" spans="1:18" s="2" customFormat="1" ht="26.1" customHeight="1">
      <c r="A110" s="26" t="s">
        <v>516</v>
      </c>
      <c r="B110" s="27" t="s">
        <v>501</v>
      </c>
      <c r="C110" s="61" t="b">
        <v>0</v>
      </c>
      <c r="D110" s="27"/>
      <c r="E110" s="27"/>
      <c r="F110" s="27"/>
      <c r="G110" s="27"/>
      <c r="H110" s="27"/>
      <c r="I110" s="55"/>
      <c r="J110" s="55"/>
      <c r="K110" s="55"/>
      <c r="L110" s="55"/>
      <c r="M110" s="55"/>
      <c r="N110" s="55"/>
      <c r="O110" s="55"/>
      <c r="P110" s="55"/>
      <c r="Q110" s="55"/>
      <c r="R110" s="55"/>
    </row>
    <row r="111" spans="1:18" s="2" customFormat="1" ht="26.1" customHeight="1">
      <c r="A111" s="26" t="s">
        <v>517</v>
      </c>
      <c r="B111" s="27" t="s">
        <v>501</v>
      </c>
      <c r="C111" s="61" t="b">
        <v>0</v>
      </c>
      <c r="D111" s="27"/>
      <c r="E111" s="27"/>
      <c r="F111" s="27"/>
      <c r="G111" s="27"/>
      <c r="H111" s="27"/>
      <c r="I111" s="55"/>
      <c r="J111" s="55"/>
      <c r="K111" s="55"/>
      <c r="L111" s="55"/>
      <c r="M111" s="55"/>
      <c r="N111" s="55"/>
      <c r="O111" s="55"/>
      <c r="P111" s="55"/>
      <c r="Q111" s="55"/>
      <c r="R111" s="55"/>
    </row>
    <row r="112" spans="1:18" s="2" customFormat="1" ht="21" customHeight="1">
      <c r="A112" s="26" t="s">
        <v>518</v>
      </c>
      <c r="B112" s="27" t="s">
        <v>501</v>
      </c>
      <c r="C112" s="61" t="b">
        <v>0</v>
      </c>
      <c r="D112" s="27"/>
      <c r="E112" s="27"/>
      <c r="F112" s="27"/>
      <c r="G112" s="27"/>
      <c r="H112" s="27"/>
      <c r="I112" s="55"/>
      <c r="J112" s="55"/>
      <c r="K112" s="55"/>
      <c r="L112" s="55"/>
      <c r="M112" s="55"/>
      <c r="N112" s="55"/>
      <c r="O112" s="55"/>
      <c r="P112" s="55"/>
      <c r="Q112" s="55"/>
      <c r="R112" s="55"/>
    </row>
    <row r="113" spans="1:18" s="2" customFormat="1" ht="21" customHeight="1">
      <c r="A113" s="26" t="s">
        <v>211</v>
      </c>
      <c r="B113" s="27" t="s">
        <v>501</v>
      </c>
      <c r="C113" s="61" t="b">
        <v>0</v>
      </c>
      <c r="D113" s="27"/>
      <c r="E113" s="27"/>
      <c r="F113" s="27"/>
      <c r="G113" s="27"/>
      <c r="H113" s="27"/>
      <c r="I113" s="55"/>
      <c r="J113" s="55"/>
      <c r="K113" s="55"/>
      <c r="L113" s="55"/>
      <c r="M113" s="55"/>
      <c r="N113" s="55"/>
      <c r="O113" s="55"/>
      <c r="P113" s="55"/>
      <c r="Q113" s="55"/>
      <c r="R113" s="55"/>
    </row>
    <row r="114" spans="1:18" s="2" customFormat="1" ht="21" customHeight="1">
      <c r="A114" s="26" t="s">
        <v>519</v>
      </c>
      <c r="B114" s="27" t="s">
        <v>501</v>
      </c>
      <c r="C114" s="61" t="b">
        <v>0</v>
      </c>
      <c r="D114" s="27"/>
      <c r="E114" s="27"/>
      <c r="F114" s="27"/>
      <c r="G114" s="27"/>
      <c r="H114" s="27"/>
      <c r="I114" s="55"/>
      <c r="J114" s="55"/>
      <c r="K114" s="55"/>
      <c r="L114" s="55"/>
      <c r="M114" s="55"/>
      <c r="N114" s="55"/>
      <c r="O114" s="55"/>
      <c r="P114" s="55"/>
      <c r="Q114" s="55"/>
      <c r="R114" s="55"/>
    </row>
    <row r="115" spans="1:18" s="2" customFormat="1" ht="26.1" customHeight="1">
      <c r="A115" s="26" t="s">
        <v>520</v>
      </c>
      <c r="B115" s="27" t="s">
        <v>501</v>
      </c>
      <c r="C115" s="61" t="b">
        <v>0</v>
      </c>
      <c r="D115" s="27"/>
      <c r="E115" s="27"/>
      <c r="F115" s="27"/>
      <c r="G115" s="27"/>
      <c r="H115" s="27"/>
      <c r="I115" s="55"/>
      <c r="J115" s="55"/>
      <c r="K115" s="55"/>
      <c r="L115" s="55"/>
      <c r="M115" s="55"/>
      <c r="N115" s="55"/>
      <c r="O115" s="55"/>
      <c r="P115" s="55"/>
      <c r="Q115" s="55"/>
      <c r="R115" s="55"/>
    </row>
    <row r="116" spans="1:18" s="2" customFormat="1" ht="18.95" customHeight="1">
      <c r="A116" s="55"/>
      <c r="B116" s="55"/>
      <c r="C116" s="55"/>
      <c r="D116" s="55"/>
      <c r="E116" s="55"/>
      <c r="F116" s="55"/>
      <c r="G116" s="55"/>
      <c r="H116" s="55"/>
      <c r="I116" s="55"/>
      <c r="J116" s="55"/>
      <c r="K116" s="55"/>
      <c r="L116" s="55"/>
      <c r="M116" s="55"/>
      <c r="N116" s="55"/>
      <c r="O116" s="55"/>
      <c r="P116" s="55"/>
      <c r="Q116" s="55"/>
      <c r="R116" s="55"/>
    </row>
    <row r="117" spans="1:18" ht="26.1" customHeight="1">
      <c r="A117" s="150" t="s">
        <v>521</v>
      </c>
      <c r="B117" s="194"/>
      <c r="C117" s="194"/>
      <c r="D117" s="194"/>
      <c r="E117" s="194"/>
      <c r="F117" s="194"/>
      <c r="G117" s="194"/>
      <c r="H117" s="194"/>
      <c r="I117" s="194"/>
      <c r="J117" s="194"/>
      <c r="K117" s="194"/>
      <c r="L117" s="195"/>
      <c r="M117" s="55"/>
      <c r="N117" s="55"/>
      <c r="O117" s="55"/>
      <c r="P117" s="55"/>
      <c r="Q117" s="55"/>
      <c r="R117" s="55"/>
    </row>
    <row r="118" spans="1:18" s="2" customFormat="1" ht="26.1" customHeight="1">
      <c r="A118" s="22" t="s">
        <v>522</v>
      </c>
      <c r="B118" s="22"/>
      <c r="C118" s="22"/>
      <c r="D118" s="22"/>
      <c r="E118" s="22"/>
      <c r="F118" s="22"/>
      <c r="G118" s="22"/>
      <c r="H118" s="22"/>
      <c r="I118" s="22"/>
      <c r="J118" s="22"/>
      <c r="K118" s="22"/>
      <c r="L118" s="22"/>
      <c r="M118" s="55"/>
      <c r="N118" s="55"/>
      <c r="O118" s="55"/>
      <c r="P118" s="55"/>
      <c r="Q118" s="55"/>
      <c r="R118" s="55"/>
    </row>
    <row r="119" spans="1:18" ht="24" customHeight="1">
      <c r="A119" s="149"/>
      <c r="B119" s="194"/>
      <c r="C119" s="194"/>
      <c r="D119" s="194"/>
      <c r="E119" s="194"/>
      <c r="F119" s="194"/>
      <c r="G119" s="194"/>
      <c r="H119" s="194"/>
      <c r="I119" s="194"/>
      <c r="J119" s="194"/>
      <c r="K119" s="194"/>
      <c r="L119" s="195"/>
      <c r="M119" s="55"/>
      <c r="N119" s="55"/>
      <c r="O119" s="55"/>
      <c r="P119" s="55"/>
      <c r="Q119" s="55"/>
      <c r="R119" s="55"/>
    </row>
    <row r="120" spans="1:18" ht="24" customHeight="1">
      <c r="A120" s="149"/>
      <c r="B120" s="194"/>
      <c r="C120" s="194"/>
      <c r="D120" s="194"/>
      <c r="E120" s="194"/>
      <c r="F120" s="194"/>
      <c r="G120" s="194"/>
      <c r="H120" s="194"/>
      <c r="I120" s="194"/>
      <c r="J120" s="194"/>
      <c r="K120" s="194"/>
      <c r="L120" s="195"/>
      <c r="M120" s="55"/>
      <c r="N120" s="55"/>
      <c r="O120" s="55"/>
      <c r="P120" s="55"/>
      <c r="Q120" s="55"/>
      <c r="R120" s="55"/>
    </row>
    <row r="121" spans="1:18" ht="24" customHeight="1">
      <c r="A121" s="149"/>
      <c r="B121" s="194"/>
      <c r="C121" s="194"/>
      <c r="D121" s="194"/>
      <c r="E121" s="194"/>
      <c r="F121" s="194"/>
      <c r="G121" s="194"/>
      <c r="H121" s="194"/>
      <c r="I121" s="194"/>
      <c r="J121" s="194"/>
      <c r="K121" s="194"/>
      <c r="L121" s="195"/>
      <c r="M121" s="55"/>
      <c r="N121" s="55"/>
      <c r="O121" s="55"/>
      <c r="P121" s="55"/>
      <c r="Q121" s="55"/>
      <c r="R121" s="55"/>
    </row>
    <row r="122" spans="1:18" ht="24" customHeight="1">
      <c r="A122" s="149"/>
      <c r="B122" s="194"/>
      <c r="C122" s="194"/>
      <c r="D122" s="194"/>
      <c r="E122" s="194"/>
      <c r="F122" s="194"/>
      <c r="G122" s="194"/>
      <c r="H122" s="194"/>
      <c r="I122" s="194"/>
      <c r="J122" s="194"/>
      <c r="K122" s="194"/>
      <c r="L122" s="195"/>
      <c r="M122" s="55"/>
      <c r="N122" s="55"/>
      <c r="O122" s="55"/>
      <c r="P122" s="55"/>
      <c r="Q122" s="55"/>
      <c r="R122" s="55"/>
    </row>
    <row r="123" spans="1:18" ht="26.1" customHeight="1">
      <c r="A123" s="22" t="s">
        <v>523</v>
      </c>
      <c r="B123" s="22" t="s">
        <v>524</v>
      </c>
      <c r="C123" s="22" t="s">
        <v>525</v>
      </c>
      <c r="D123" s="22" t="s">
        <v>494</v>
      </c>
      <c r="E123" s="22" t="s">
        <v>526</v>
      </c>
      <c r="F123" s="22" t="s">
        <v>527</v>
      </c>
      <c r="G123" s="22"/>
      <c r="H123" s="22"/>
      <c r="I123" s="22"/>
      <c r="J123" s="22"/>
      <c r="K123" s="22"/>
      <c r="L123" s="22"/>
      <c r="M123" s="55"/>
      <c r="N123" s="55"/>
      <c r="O123" s="55"/>
      <c r="P123" s="55"/>
      <c r="Q123" s="55"/>
      <c r="R123" s="55"/>
    </row>
    <row r="124" spans="1:18" ht="21" customHeight="1">
      <c r="A124" s="31" t="s">
        <v>528</v>
      </c>
      <c r="B124" s="24"/>
      <c r="C124" s="24"/>
      <c r="D124" s="24"/>
      <c r="E124" s="24"/>
      <c r="F124" s="24"/>
      <c r="G124" s="55"/>
      <c r="H124" s="55"/>
      <c r="I124" s="55"/>
      <c r="J124" s="55"/>
      <c r="K124" s="55"/>
      <c r="L124" s="48"/>
      <c r="M124" s="55"/>
      <c r="N124" s="55"/>
      <c r="O124" s="55"/>
      <c r="P124" s="55"/>
      <c r="Q124" s="55"/>
      <c r="R124" s="55"/>
    </row>
    <row r="125" spans="1:18" ht="21" customHeight="1">
      <c r="A125" s="31" t="s">
        <v>529</v>
      </c>
      <c r="B125" s="24"/>
      <c r="C125" s="24"/>
      <c r="D125" s="24"/>
      <c r="E125" s="24"/>
      <c r="F125" s="24"/>
      <c r="G125" s="55"/>
      <c r="H125" s="55"/>
      <c r="I125" s="55"/>
      <c r="J125" s="55"/>
      <c r="K125" s="55"/>
      <c r="L125" s="48"/>
      <c r="M125" s="55"/>
      <c r="N125" s="55"/>
      <c r="O125" s="55"/>
      <c r="P125" s="55"/>
      <c r="Q125" s="55"/>
      <c r="R125" s="55"/>
    </row>
    <row r="126" spans="1:18" ht="21" customHeight="1">
      <c r="A126" s="31" t="s">
        <v>530</v>
      </c>
      <c r="B126" s="24"/>
      <c r="C126" s="24"/>
      <c r="D126" s="24"/>
      <c r="E126" s="24"/>
      <c r="F126" s="24"/>
      <c r="G126" s="55"/>
      <c r="H126" s="55"/>
      <c r="I126" s="55"/>
      <c r="J126" s="55"/>
      <c r="K126" s="55"/>
      <c r="L126" s="48"/>
      <c r="M126" s="55"/>
      <c r="N126" s="55"/>
      <c r="O126" s="55"/>
      <c r="P126" s="55"/>
      <c r="Q126" s="55"/>
      <c r="R126" s="55"/>
    </row>
    <row r="127" spans="1:18" ht="18.95" customHeight="1">
      <c r="A127" s="55"/>
      <c r="B127" s="55"/>
      <c r="C127" s="55"/>
      <c r="D127" s="55"/>
      <c r="E127" s="55"/>
      <c r="F127" s="55"/>
      <c r="G127" s="55"/>
      <c r="H127" s="55"/>
      <c r="I127" s="55"/>
      <c r="J127" s="55"/>
      <c r="K127" s="55"/>
      <c r="L127" s="48"/>
      <c r="M127" s="55"/>
      <c r="N127" s="55"/>
      <c r="O127" s="55"/>
      <c r="P127" s="55"/>
      <c r="Q127" s="55"/>
      <c r="R127" s="55"/>
    </row>
    <row r="128" spans="1:18" ht="21" customHeight="1">
      <c r="A128" s="32" t="s">
        <v>531</v>
      </c>
      <c r="B128" s="33"/>
      <c r="C128" s="33"/>
      <c r="D128" s="33"/>
      <c r="E128" s="33"/>
      <c r="F128" s="33"/>
      <c r="G128" s="33"/>
      <c r="H128" s="32" t="s">
        <v>532</v>
      </c>
      <c r="I128" s="33"/>
      <c r="J128" s="32" t="s">
        <v>144</v>
      </c>
      <c r="K128" s="33"/>
      <c r="L128" s="33"/>
      <c r="M128" s="55"/>
      <c r="N128" s="55"/>
      <c r="O128" s="55"/>
      <c r="P128" s="55"/>
      <c r="Q128" s="55"/>
      <c r="R128" s="55"/>
    </row>
    <row r="129" spans="1:18" ht="18.95" customHeight="1">
      <c r="A129" s="55"/>
      <c r="B129" s="55"/>
      <c r="C129" s="55"/>
      <c r="D129" s="55"/>
      <c r="E129" s="55"/>
      <c r="F129" s="55"/>
      <c r="G129" s="55"/>
      <c r="H129" s="55"/>
      <c r="I129" s="55"/>
      <c r="J129" s="55"/>
      <c r="K129" s="55"/>
      <c r="L129" s="48"/>
      <c r="M129" s="55"/>
      <c r="N129" s="55"/>
      <c r="O129" s="55"/>
      <c r="P129" s="55"/>
      <c r="Q129" s="55"/>
      <c r="R129" s="55"/>
    </row>
    <row r="130" spans="1:18" ht="18.95" customHeight="1">
      <c r="A130" s="55"/>
      <c r="B130" s="55"/>
      <c r="C130" s="55"/>
      <c r="D130" s="55"/>
      <c r="E130" s="55"/>
      <c r="F130" s="55"/>
      <c r="G130" s="55"/>
      <c r="H130" s="55"/>
      <c r="I130" s="55"/>
      <c r="J130" s="55"/>
      <c r="K130" s="55"/>
      <c r="L130" s="48"/>
      <c r="M130" s="55"/>
      <c r="N130" s="55"/>
      <c r="O130" s="55"/>
      <c r="P130" s="55"/>
      <c r="Q130" s="55"/>
      <c r="R130" s="55"/>
    </row>
    <row r="131" spans="1:18" s="2" customFormat="1" ht="18.95" customHeight="1">
      <c r="A131" s="55"/>
      <c r="B131" s="55"/>
      <c r="C131" s="55"/>
      <c r="D131" s="55"/>
      <c r="E131" s="55"/>
      <c r="F131" s="55"/>
      <c r="G131" s="55"/>
      <c r="H131" s="55"/>
      <c r="I131" s="55"/>
      <c r="J131" s="55"/>
      <c r="K131" s="55"/>
      <c r="L131" s="55"/>
      <c r="M131" s="55"/>
      <c r="N131" s="55"/>
      <c r="O131" s="55"/>
      <c r="P131" s="55"/>
      <c r="Q131" s="55"/>
      <c r="R131" s="55"/>
    </row>
    <row r="132" spans="1:18" s="2" customFormat="1" ht="18.95" customHeight="1">
      <c r="A132" s="55"/>
      <c r="B132" s="55"/>
      <c r="C132" s="55"/>
      <c r="D132" s="55"/>
      <c r="E132" s="55"/>
      <c r="F132" s="55"/>
      <c r="G132" s="55"/>
      <c r="H132" s="55"/>
      <c r="I132" s="55"/>
      <c r="J132" s="55"/>
      <c r="K132" s="55"/>
      <c r="L132" s="55"/>
      <c r="M132" s="55"/>
      <c r="N132" s="55"/>
      <c r="O132" s="55"/>
      <c r="P132" s="55"/>
      <c r="Q132" s="55"/>
      <c r="R132" s="55"/>
    </row>
    <row r="133" spans="1:18" s="2" customFormat="1" ht="18.95" customHeight="1">
      <c r="A133" s="55"/>
      <c r="B133" s="55"/>
      <c r="C133" s="55"/>
      <c r="D133" s="55"/>
      <c r="E133" s="55"/>
      <c r="F133" s="55"/>
      <c r="G133" s="55"/>
      <c r="H133" s="55"/>
      <c r="I133" s="55"/>
      <c r="J133" s="55"/>
      <c r="K133" s="55"/>
      <c r="L133" s="55"/>
      <c r="M133" s="55"/>
      <c r="N133" s="55"/>
      <c r="O133" s="55"/>
      <c r="P133" s="55"/>
      <c r="Q133" s="55"/>
      <c r="R133" s="55"/>
    </row>
    <row r="134" spans="1:18" s="2" customFormat="1" ht="18.95" customHeight="1">
      <c r="A134" s="55"/>
      <c r="B134" s="55"/>
      <c r="C134" s="55"/>
      <c r="D134" s="55"/>
      <c r="E134" s="55"/>
      <c r="F134" s="55"/>
      <c r="G134" s="55"/>
      <c r="H134" s="55"/>
      <c r="I134" s="55"/>
      <c r="J134" s="55"/>
      <c r="K134" s="55"/>
      <c r="L134" s="55"/>
      <c r="M134" s="55"/>
      <c r="N134" s="55"/>
      <c r="O134" s="55"/>
      <c r="P134" s="55"/>
      <c r="Q134" s="55"/>
      <c r="R134" s="55"/>
    </row>
    <row r="135" spans="1:18" s="2" customFormat="1" ht="18.95" customHeight="1">
      <c r="A135" s="55"/>
      <c r="B135" s="55"/>
      <c r="C135" s="55"/>
      <c r="D135" s="55"/>
      <c r="E135" s="55"/>
      <c r="F135" s="55"/>
      <c r="G135" s="55"/>
      <c r="H135" s="55"/>
      <c r="I135" s="55"/>
      <c r="J135" s="55"/>
      <c r="K135" s="55"/>
      <c r="L135" s="55"/>
      <c r="M135" s="55"/>
      <c r="N135" s="55"/>
      <c r="O135" s="55"/>
      <c r="P135" s="55"/>
      <c r="Q135" s="55"/>
      <c r="R135" s="55"/>
    </row>
    <row r="136" spans="1:18" s="2" customFormat="1" ht="18.95" customHeight="1">
      <c r="A136" s="55"/>
      <c r="B136" s="55"/>
      <c r="C136" s="55"/>
      <c r="D136" s="55"/>
      <c r="E136" s="55"/>
      <c r="F136" s="55"/>
      <c r="G136" s="55"/>
      <c r="H136" s="55"/>
      <c r="I136" s="55"/>
      <c r="J136" s="55"/>
      <c r="K136" s="55"/>
      <c r="L136" s="55"/>
      <c r="M136" s="55"/>
      <c r="N136" s="55"/>
      <c r="O136" s="55"/>
      <c r="P136" s="55"/>
      <c r="Q136" s="55"/>
      <c r="R136" s="55"/>
    </row>
    <row r="137" spans="1:18" s="2" customFormat="1" ht="18.95" customHeight="1">
      <c r="A137" s="55"/>
      <c r="B137" s="55"/>
      <c r="C137" s="55"/>
      <c r="D137" s="55"/>
      <c r="E137" s="55"/>
      <c r="F137" s="55"/>
      <c r="G137" s="55"/>
      <c r="H137" s="55"/>
      <c r="I137" s="55"/>
      <c r="J137" s="55"/>
      <c r="K137" s="55"/>
      <c r="L137" s="55"/>
      <c r="M137" s="55"/>
      <c r="N137" s="55"/>
      <c r="O137" s="55"/>
      <c r="P137" s="55"/>
      <c r="Q137" s="55"/>
      <c r="R137" s="55"/>
    </row>
    <row r="138" spans="1:18" s="2" customFormat="1" ht="18.95" customHeight="1">
      <c r="A138" s="55"/>
      <c r="B138" s="55"/>
      <c r="C138" s="55"/>
      <c r="D138" s="55"/>
      <c r="E138" s="55"/>
      <c r="F138" s="55"/>
      <c r="G138" s="55"/>
      <c r="H138" s="55"/>
      <c r="I138" s="55"/>
      <c r="J138" s="55"/>
      <c r="K138" s="55"/>
      <c r="L138" s="55"/>
      <c r="M138" s="55"/>
      <c r="N138" s="55"/>
      <c r="O138" s="55"/>
      <c r="P138" s="55"/>
      <c r="Q138" s="55"/>
      <c r="R138" s="55"/>
    </row>
    <row r="139" spans="1:18" s="2" customFormat="1" ht="18.95" customHeight="1">
      <c r="A139" s="55"/>
      <c r="B139" s="55"/>
      <c r="C139" s="55"/>
      <c r="D139" s="55"/>
      <c r="E139" s="55"/>
      <c r="F139" s="55"/>
      <c r="G139" s="55"/>
      <c r="H139" s="55"/>
      <c r="I139" s="55"/>
      <c r="J139" s="55"/>
      <c r="K139" s="55"/>
      <c r="L139" s="55"/>
      <c r="M139" s="55"/>
      <c r="N139" s="55"/>
      <c r="O139" s="55"/>
      <c r="P139" s="55"/>
      <c r="Q139" s="55"/>
      <c r="R139" s="55"/>
    </row>
    <row r="140" spans="1:18" s="2" customFormat="1" ht="18.95" customHeight="1">
      <c r="A140" s="55"/>
      <c r="B140" s="55"/>
      <c r="C140" s="55"/>
      <c r="D140" s="55"/>
      <c r="E140" s="55"/>
      <c r="F140" s="55"/>
      <c r="G140" s="55"/>
      <c r="H140" s="55"/>
      <c r="I140" s="55"/>
      <c r="J140" s="55"/>
      <c r="K140" s="55"/>
      <c r="L140" s="55"/>
      <c r="M140" s="55"/>
      <c r="N140" s="55"/>
      <c r="O140" s="55"/>
      <c r="P140" s="55"/>
      <c r="Q140" s="55"/>
      <c r="R140" s="55"/>
    </row>
    <row r="141" spans="1:18" s="2" customFormat="1" ht="18.95" customHeight="1">
      <c r="A141" s="55"/>
      <c r="B141" s="55"/>
      <c r="C141" s="55"/>
      <c r="D141" s="55"/>
      <c r="E141" s="55"/>
      <c r="F141" s="55"/>
      <c r="G141" s="55"/>
      <c r="H141" s="55"/>
      <c r="I141" s="55"/>
      <c r="J141" s="55"/>
      <c r="K141" s="55"/>
      <c r="L141" s="55"/>
      <c r="M141" s="55"/>
      <c r="N141" s="55"/>
      <c r="O141" s="55"/>
      <c r="P141" s="55"/>
      <c r="Q141" s="55"/>
      <c r="R141" s="55"/>
    </row>
    <row r="142" spans="1:18" s="2" customFormat="1" ht="18.95" customHeight="1">
      <c r="A142" s="55"/>
      <c r="B142" s="55"/>
      <c r="C142" s="55"/>
      <c r="D142" s="55"/>
      <c r="E142" s="55"/>
      <c r="F142" s="55"/>
      <c r="G142" s="55"/>
      <c r="H142" s="55"/>
      <c r="I142" s="55"/>
      <c r="J142" s="55"/>
      <c r="K142" s="55"/>
      <c r="L142" s="55"/>
      <c r="M142" s="55"/>
      <c r="N142" s="55"/>
      <c r="O142" s="55"/>
      <c r="P142" s="55"/>
      <c r="Q142" s="55"/>
      <c r="R142" s="55"/>
    </row>
    <row r="143" spans="1:18" s="2" customFormat="1" ht="18.95" customHeight="1">
      <c r="A143" s="55"/>
      <c r="B143" s="55"/>
      <c r="C143" s="55"/>
      <c r="D143" s="55"/>
      <c r="E143" s="55"/>
      <c r="F143" s="55"/>
      <c r="G143" s="55"/>
      <c r="H143" s="55"/>
      <c r="I143" s="55"/>
      <c r="J143" s="55"/>
      <c r="K143" s="55"/>
      <c r="L143" s="55"/>
      <c r="M143" s="55"/>
      <c r="N143" s="55"/>
      <c r="O143" s="55"/>
      <c r="P143" s="55"/>
      <c r="Q143" s="55"/>
      <c r="R143" s="55"/>
    </row>
    <row r="144" spans="1:18" s="2" customFormat="1" ht="18.95" customHeight="1">
      <c r="A144" s="55"/>
      <c r="B144" s="55"/>
      <c r="C144" s="55"/>
      <c r="D144" s="55"/>
      <c r="E144" s="55"/>
      <c r="F144" s="55"/>
      <c r="G144" s="55"/>
      <c r="H144" s="55"/>
      <c r="I144" s="55"/>
      <c r="J144" s="55"/>
      <c r="K144" s="55"/>
      <c r="L144" s="55"/>
      <c r="M144" s="55"/>
      <c r="N144" s="55"/>
      <c r="O144" s="55"/>
      <c r="P144" s="55"/>
      <c r="Q144" s="55"/>
      <c r="R144" s="55"/>
    </row>
    <row r="145" spans="1:18" s="2" customFormat="1" ht="18.95" customHeight="1">
      <c r="A145" s="55"/>
      <c r="B145" s="55"/>
      <c r="C145" s="55"/>
      <c r="D145" s="55"/>
      <c r="E145" s="55"/>
      <c r="F145" s="55"/>
      <c r="G145" s="55"/>
      <c r="H145" s="55"/>
      <c r="I145" s="55"/>
      <c r="J145" s="55"/>
      <c r="K145" s="55"/>
      <c r="L145" s="55"/>
      <c r="M145" s="55"/>
      <c r="N145" s="55"/>
      <c r="O145" s="55"/>
      <c r="P145" s="55"/>
      <c r="Q145" s="55"/>
      <c r="R145" s="55"/>
    </row>
    <row r="146" spans="1:18" s="2" customFormat="1" ht="18.95" customHeight="1">
      <c r="A146" s="55"/>
      <c r="B146" s="55"/>
      <c r="C146" s="55"/>
      <c r="D146" s="55"/>
      <c r="E146" s="55"/>
      <c r="F146" s="55"/>
      <c r="G146" s="55"/>
      <c r="H146" s="55"/>
      <c r="I146" s="55"/>
      <c r="J146" s="55"/>
      <c r="K146" s="55"/>
      <c r="L146" s="55"/>
      <c r="M146" s="55"/>
      <c r="N146" s="55"/>
      <c r="O146" s="55"/>
      <c r="P146" s="55"/>
      <c r="Q146" s="55"/>
      <c r="R146" s="55"/>
    </row>
    <row r="147" spans="1:18" s="2" customFormat="1" ht="18.95" customHeight="1">
      <c r="A147" s="55"/>
      <c r="B147" s="55"/>
      <c r="C147" s="55"/>
      <c r="D147" s="55"/>
      <c r="E147" s="55"/>
      <c r="F147" s="55"/>
      <c r="G147" s="55"/>
      <c r="H147" s="55"/>
      <c r="I147" s="55"/>
      <c r="J147" s="55"/>
      <c r="K147" s="55"/>
      <c r="L147" s="55"/>
      <c r="M147" s="55"/>
      <c r="N147" s="55"/>
      <c r="O147" s="55"/>
      <c r="P147" s="55"/>
      <c r="Q147" s="55"/>
      <c r="R147" s="55"/>
    </row>
    <row r="148" spans="1:18" s="2" customFormat="1" ht="18.95" customHeight="1">
      <c r="A148" s="55"/>
      <c r="B148" s="55"/>
      <c r="C148" s="55"/>
      <c r="D148" s="55"/>
      <c r="E148" s="55"/>
      <c r="F148" s="55"/>
      <c r="G148" s="55"/>
      <c r="H148" s="55"/>
      <c r="I148" s="55"/>
      <c r="J148" s="55"/>
      <c r="K148" s="55"/>
      <c r="L148" s="55"/>
      <c r="M148" s="55"/>
      <c r="N148" s="55"/>
      <c r="O148" s="55"/>
      <c r="P148" s="55"/>
      <c r="Q148" s="55"/>
      <c r="R148" s="55"/>
    </row>
    <row r="149" spans="1:18" s="2" customFormat="1" ht="18.95" customHeight="1">
      <c r="A149" s="55"/>
      <c r="B149" s="55"/>
      <c r="C149" s="55"/>
      <c r="D149" s="55"/>
      <c r="E149" s="55"/>
      <c r="F149" s="55"/>
      <c r="G149" s="55"/>
      <c r="H149" s="55"/>
      <c r="I149" s="55"/>
      <c r="J149" s="55"/>
      <c r="K149" s="55"/>
      <c r="L149" s="55"/>
      <c r="M149" s="55"/>
      <c r="N149" s="55"/>
      <c r="O149" s="55"/>
      <c r="P149" s="55"/>
      <c r="Q149" s="55"/>
      <c r="R149" s="55"/>
    </row>
    <row r="150" spans="1:18" s="2" customFormat="1" ht="18.95" customHeight="1">
      <c r="A150" s="55"/>
      <c r="B150" s="55"/>
      <c r="C150" s="55"/>
      <c r="D150" s="55"/>
      <c r="E150" s="55"/>
      <c r="F150" s="55"/>
      <c r="G150" s="55"/>
      <c r="H150" s="55"/>
      <c r="I150" s="55"/>
      <c r="J150" s="55"/>
      <c r="K150" s="55"/>
      <c r="L150" s="55"/>
      <c r="M150" s="55"/>
      <c r="N150" s="55"/>
      <c r="O150" s="55"/>
      <c r="P150" s="55"/>
      <c r="Q150" s="55"/>
      <c r="R150" s="55"/>
    </row>
    <row r="151" spans="1:18" s="2" customFormat="1" ht="18.95" customHeight="1">
      <c r="A151" s="55"/>
      <c r="B151" s="55"/>
      <c r="C151" s="55"/>
      <c r="D151" s="55"/>
      <c r="E151" s="55"/>
      <c r="F151" s="55"/>
      <c r="G151" s="55"/>
      <c r="H151" s="55"/>
      <c r="I151" s="55"/>
      <c r="J151" s="55"/>
      <c r="K151" s="55"/>
      <c r="L151" s="55"/>
      <c r="M151" s="55"/>
      <c r="N151" s="55"/>
      <c r="O151" s="55"/>
      <c r="P151" s="55"/>
      <c r="Q151" s="55"/>
      <c r="R151" s="55"/>
    </row>
    <row r="152" spans="1:18" s="2" customFormat="1" ht="18.95" customHeight="1">
      <c r="A152" s="55"/>
      <c r="B152" s="55"/>
      <c r="C152" s="55"/>
      <c r="D152" s="55"/>
      <c r="E152" s="55"/>
      <c r="F152" s="55"/>
      <c r="G152" s="55"/>
      <c r="H152" s="55"/>
      <c r="I152" s="55"/>
      <c r="J152" s="55"/>
      <c r="K152" s="55"/>
      <c r="L152" s="55"/>
      <c r="M152" s="55"/>
      <c r="N152" s="55"/>
      <c r="O152" s="55"/>
      <c r="P152" s="55"/>
      <c r="Q152" s="55"/>
      <c r="R152" s="55"/>
    </row>
    <row r="153" spans="1:18" ht="18.95" customHeight="1">
      <c r="A153" s="55"/>
      <c r="B153" s="55"/>
      <c r="C153" s="55"/>
      <c r="D153" s="55"/>
      <c r="E153" s="55"/>
      <c r="F153" s="55"/>
      <c r="G153" s="55"/>
      <c r="H153" s="55"/>
      <c r="I153" s="55"/>
      <c r="J153" s="55"/>
      <c r="K153" s="55"/>
      <c r="L153" s="48"/>
      <c r="M153" s="55"/>
      <c r="N153" s="55"/>
      <c r="O153" s="55"/>
      <c r="P153" s="55"/>
      <c r="Q153" s="55"/>
      <c r="R153" s="55"/>
    </row>
    <row r="154" spans="1:18" ht="18.95" customHeight="1">
      <c r="A154" s="55"/>
      <c r="B154" s="55"/>
      <c r="C154" s="55"/>
      <c r="D154" s="55"/>
      <c r="E154" s="55"/>
      <c r="F154" s="55"/>
      <c r="G154" s="55"/>
      <c r="H154" s="55"/>
      <c r="I154" s="55"/>
      <c r="J154" s="55"/>
      <c r="K154" s="55"/>
      <c r="L154" s="48"/>
      <c r="M154" s="55"/>
      <c r="N154" s="55"/>
      <c r="O154" s="55"/>
      <c r="P154" s="55"/>
      <c r="Q154" s="55"/>
      <c r="R154" s="55"/>
    </row>
    <row r="155" spans="1:18" ht="18.95" customHeight="1">
      <c r="A155" s="55"/>
      <c r="B155" s="55"/>
      <c r="C155" s="55"/>
      <c r="D155" s="55"/>
      <c r="E155" s="55"/>
      <c r="F155" s="55"/>
      <c r="G155" s="55"/>
      <c r="H155" s="55"/>
      <c r="I155" s="55"/>
      <c r="J155" s="55"/>
      <c r="K155" s="55"/>
      <c r="L155" s="48"/>
      <c r="M155" s="55"/>
      <c r="N155" s="55"/>
      <c r="O155" s="55"/>
      <c r="P155" s="55"/>
      <c r="Q155" s="55"/>
      <c r="R155" s="55"/>
    </row>
    <row r="156" spans="1:18" ht="18.95" customHeight="1">
      <c r="A156" s="55"/>
      <c r="B156" s="55"/>
      <c r="C156" s="55"/>
      <c r="D156" s="55"/>
      <c r="E156" s="55"/>
      <c r="F156" s="55"/>
      <c r="G156" s="55"/>
      <c r="H156" s="55"/>
      <c r="I156" s="55"/>
      <c r="J156" s="55"/>
      <c r="K156" s="55"/>
      <c r="L156" s="48"/>
      <c r="M156" s="55"/>
      <c r="N156" s="55"/>
      <c r="O156" s="55"/>
      <c r="P156" s="55"/>
      <c r="Q156" s="55"/>
      <c r="R156" s="55"/>
    </row>
    <row r="157" spans="1:18" ht="18.95" customHeight="1">
      <c r="A157" s="55"/>
      <c r="B157" s="55"/>
      <c r="C157" s="55"/>
      <c r="D157" s="55"/>
      <c r="E157" s="55"/>
      <c r="F157" s="55"/>
      <c r="G157" s="55"/>
      <c r="H157" s="55"/>
      <c r="I157" s="55"/>
      <c r="J157" s="55"/>
      <c r="K157" s="55"/>
      <c r="L157" s="48"/>
      <c r="M157" s="55"/>
      <c r="N157" s="55"/>
      <c r="O157" s="55"/>
      <c r="P157" s="55"/>
      <c r="Q157" s="55"/>
      <c r="R157" s="55"/>
    </row>
    <row r="158" spans="1:18" ht="18.95" customHeight="1">
      <c r="A158" s="55"/>
      <c r="B158" s="55"/>
      <c r="C158" s="55"/>
      <c r="D158" s="55"/>
      <c r="E158" s="55"/>
      <c r="F158" s="55"/>
      <c r="G158" s="55"/>
      <c r="H158" s="55"/>
      <c r="I158" s="55"/>
      <c r="J158" s="55"/>
      <c r="K158" s="55"/>
      <c r="L158" s="48"/>
      <c r="M158" s="55"/>
      <c r="N158" s="55"/>
      <c r="O158" s="55"/>
      <c r="P158" s="55"/>
      <c r="Q158" s="55"/>
      <c r="R158" s="55"/>
    </row>
    <row r="159" spans="1:18" ht="18.95" customHeight="1">
      <c r="A159" s="55"/>
      <c r="B159" s="55"/>
      <c r="C159" s="55"/>
      <c r="D159" s="55"/>
      <c r="E159" s="55"/>
      <c r="F159" s="55"/>
      <c r="G159" s="55"/>
      <c r="H159" s="55"/>
      <c r="I159" s="55"/>
      <c r="J159" s="55"/>
      <c r="K159" s="55"/>
      <c r="L159" s="48"/>
      <c r="M159" s="55"/>
      <c r="N159" s="55"/>
      <c r="O159" s="55"/>
      <c r="P159" s="55"/>
      <c r="Q159" s="55"/>
      <c r="R159" s="55"/>
    </row>
    <row r="160" spans="1:18" ht="18.95" customHeight="1">
      <c r="A160" s="55"/>
      <c r="B160" s="55"/>
      <c r="C160" s="55"/>
      <c r="D160" s="55"/>
      <c r="E160" s="55"/>
      <c r="F160" s="55"/>
      <c r="G160" s="55"/>
      <c r="H160" s="55"/>
      <c r="I160" s="55"/>
      <c r="J160" s="55"/>
      <c r="K160" s="55"/>
      <c r="L160" s="48"/>
      <c r="M160" s="55"/>
      <c r="N160" s="55"/>
      <c r="O160" s="55"/>
      <c r="P160" s="55"/>
      <c r="Q160" s="55"/>
      <c r="R160" s="55"/>
    </row>
    <row r="161" spans="1:18" ht="18.95" customHeight="1">
      <c r="A161" s="55"/>
      <c r="B161" s="55"/>
      <c r="C161" s="55"/>
      <c r="D161" s="55"/>
      <c r="E161" s="55"/>
      <c r="F161" s="55"/>
      <c r="G161" s="55"/>
      <c r="H161" s="55"/>
      <c r="I161" s="55"/>
      <c r="J161" s="55"/>
      <c r="K161" s="55"/>
      <c r="L161" s="48"/>
      <c r="M161" s="55"/>
      <c r="N161" s="55"/>
      <c r="O161" s="55"/>
      <c r="P161" s="55"/>
      <c r="Q161" s="55"/>
      <c r="R161" s="55"/>
    </row>
    <row r="162" spans="1:18" ht="18.95" customHeight="1">
      <c r="A162" s="55"/>
      <c r="B162" s="55"/>
      <c r="C162" s="55"/>
      <c r="D162" s="55"/>
      <c r="E162" s="55"/>
      <c r="F162" s="55"/>
      <c r="G162" s="55"/>
      <c r="H162" s="55"/>
      <c r="I162" s="55"/>
      <c r="J162" s="55"/>
      <c r="K162" s="55"/>
      <c r="L162" s="48"/>
      <c r="M162" s="55"/>
      <c r="N162" s="55"/>
      <c r="O162" s="55"/>
      <c r="P162" s="55"/>
      <c r="Q162" s="55"/>
      <c r="R162" s="55"/>
    </row>
    <row r="163" spans="1:18" s="2" customFormat="1" ht="18.95" customHeight="1">
      <c r="A163" s="55"/>
      <c r="B163" s="55"/>
      <c r="C163" s="55"/>
      <c r="D163" s="55"/>
      <c r="E163" s="55"/>
      <c r="F163" s="55"/>
      <c r="G163" s="55"/>
      <c r="H163" s="55"/>
      <c r="I163" s="55"/>
      <c r="J163" s="55"/>
      <c r="K163" s="55"/>
      <c r="L163" s="55"/>
      <c r="M163" s="55"/>
      <c r="N163" s="55"/>
      <c r="O163" s="55"/>
      <c r="P163" s="55"/>
      <c r="Q163" s="55"/>
      <c r="R163" s="55"/>
    </row>
    <row r="164" spans="1:18" s="2" customFormat="1" ht="18.95" customHeight="1">
      <c r="A164" s="55"/>
      <c r="B164" s="55"/>
      <c r="C164" s="55"/>
      <c r="D164" s="55"/>
      <c r="E164" s="55"/>
      <c r="F164" s="55"/>
      <c r="G164" s="55"/>
      <c r="H164" s="55"/>
      <c r="I164" s="55"/>
      <c r="J164" s="55"/>
      <c r="K164" s="55"/>
      <c r="L164" s="55"/>
      <c r="M164" s="55"/>
      <c r="N164" s="55"/>
      <c r="O164" s="55"/>
      <c r="P164" s="55"/>
      <c r="Q164" s="55"/>
      <c r="R164" s="55"/>
    </row>
    <row r="165" spans="1:18" s="2" customFormat="1" ht="18.95" customHeight="1">
      <c r="A165" s="55"/>
      <c r="B165" s="55"/>
      <c r="C165" s="55"/>
      <c r="D165" s="55"/>
      <c r="E165" s="55"/>
      <c r="F165" s="55"/>
      <c r="G165" s="55"/>
      <c r="H165" s="55"/>
      <c r="I165" s="55"/>
      <c r="J165" s="55"/>
      <c r="K165" s="55"/>
      <c r="L165" s="55"/>
      <c r="M165" s="55"/>
      <c r="N165" s="55"/>
      <c r="O165" s="55"/>
      <c r="P165" s="55"/>
      <c r="Q165" s="55"/>
      <c r="R165" s="55"/>
    </row>
    <row r="166" spans="1:18" s="2" customFormat="1" ht="18.95" customHeight="1">
      <c r="A166" s="55"/>
      <c r="B166" s="55"/>
      <c r="C166" s="55"/>
      <c r="D166" s="55"/>
      <c r="E166" s="55"/>
      <c r="F166" s="55"/>
      <c r="G166" s="55"/>
      <c r="H166" s="55"/>
      <c r="I166" s="55"/>
      <c r="J166" s="55"/>
      <c r="K166" s="55"/>
      <c r="L166" s="55"/>
      <c r="M166" s="55"/>
      <c r="N166" s="55"/>
      <c r="O166" s="55"/>
      <c r="P166" s="55"/>
      <c r="Q166" s="55"/>
      <c r="R166" s="55"/>
    </row>
    <row r="167" spans="1:18" s="2" customFormat="1" ht="18.95" customHeight="1">
      <c r="A167" s="55"/>
      <c r="B167" s="55"/>
      <c r="C167" s="55"/>
      <c r="D167" s="55"/>
      <c r="E167" s="55"/>
      <c r="F167" s="55"/>
      <c r="G167" s="55"/>
      <c r="H167" s="55"/>
      <c r="I167" s="55"/>
      <c r="J167" s="55"/>
      <c r="K167" s="55"/>
      <c r="L167" s="55"/>
      <c r="M167" s="55"/>
      <c r="N167" s="55"/>
      <c r="O167" s="55"/>
      <c r="P167" s="55"/>
      <c r="Q167" s="55"/>
      <c r="R167" s="55"/>
    </row>
    <row r="168" spans="1:18" s="2" customFormat="1" ht="18.95" customHeight="1">
      <c r="A168" s="55"/>
      <c r="B168" s="55"/>
      <c r="C168" s="55"/>
      <c r="D168" s="55"/>
      <c r="E168" s="55"/>
      <c r="F168" s="55"/>
      <c r="G168" s="55"/>
      <c r="H168" s="55"/>
      <c r="I168" s="55"/>
      <c r="J168" s="55"/>
      <c r="K168" s="55"/>
      <c r="L168" s="55"/>
      <c r="M168" s="55"/>
      <c r="N168" s="55"/>
      <c r="O168" s="55"/>
      <c r="P168" s="55"/>
      <c r="Q168" s="55"/>
      <c r="R168" s="55"/>
    </row>
    <row r="169" spans="1:18" s="2" customFormat="1" ht="18.95" customHeight="1">
      <c r="A169" s="55"/>
      <c r="B169" s="55"/>
      <c r="C169" s="55"/>
      <c r="D169" s="55"/>
      <c r="E169" s="55"/>
      <c r="F169" s="55"/>
      <c r="G169" s="55"/>
      <c r="H169" s="55"/>
      <c r="I169" s="55"/>
      <c r="J169" s="55"/>
      <c r="K169" s="55"/>
      <c r="L169" s="55"/>
      <c r="M169" s="55"/>
      <c r="N169" s="55"/>
      <c r="O169" s="55"/>
      <c r="P169" s="55"/>
      <c r="Q169" s="55"/>
      <c r="R169" s="55"/>
    </row>
    <row r="170" spans="1:18" s="2" customFormat="1" ht="18.95" customHeight="1">
      <c r="A170" s="55"/>
      <c r="B170" s="55"/>
      <c r="C170" s="55"/>
      <c r="D170" s="55"/>
      <c r="E170" s="55"/>
      <c r="F170" s="55"/>
      <c r="G170" s="55"/>
      <c r="H170" s="55"/>
      <c r="I170" s="55"/>
      <c r="J170" s="55"/>
      <c r="K170" s="55"/>
      <c r="L170" s="55"/>
      <c r="M170" s="55"/>
      <c r="N170" s="55"/>
      <c r="O170" s="55"/>
      <c r="P170" s="55"/>
      <c r="Q170" s="55"/>
      <c r="R170" s="55"/>
    </row>
    <row r="171" spans="1:18" s="2" customFormat="1" ht="18.95" customHeight="1">
      <c r="A171" s="55"/>
      <c r="B171" s="55"/>
      <c r="C171" s="55"/>
      <c r="D171" s="55"/>
      <c r="E171" s="55"/>
      <c r="F171" s="55"/>
      <c r="G171" s="55"/>
      <c r="H171" s="55"/>
      <c r="I171" s="55"/>
      <c r="J171" s="55"/>
      <c r="K171" s="55"/>
      <c r="L171" s="55"/>
      <c r="M171" s="55"/>
      <c r="N171" s="55"/>
      <c r="O171" s="55"/>
      <c r="P171" s="55"/>
      <c r="Q171" s="55"/>
      <c r="R171" s="55"/>
    </row>
    <row r="172" spans="1:18" s="2" customFormat="1" ht="18.95" customHeight="1">
      <c r="A172" s="55"/>
      <c r="B172" s="55"/>
      <c r="C172" s="55"/>
      <c r="D172" s="55"/>
      <c r="E172" s="55"/>
      <c r="F172" s="55"/>
      <c r="G172" s="55"/>
      <c r="H172" s="55"/>
      <c r="I172" s="55"/>
      <c r="J172" s="55"/>
      <c r="K172" s="55"/>
      <c r="L172" s="55"/>
      <c r="M172" s="55"/>
      <c r="N172" s="55"/>
      <c r="O172" s="55"/>
      <c r="P172" s="55"/>
      <c r="Q172" s="55"/>
      <c r="R172" s="55"/>
    </row>
    <row r="173" spans="1:18" s="2" customFormat="1" ht="18.95" customHeight="1">
      <c r="A173" s="55"/>
      <c r="B173" s="55"/>
      <c r="C173" s="55"/>
      <c r="D173" s="55"/>
      <c r="E173" s="55"/>
      <c r="F173" s="55"/>
      <c r="G173" s="55"/>
      <c r="H173" s="55"/>
      <c r="I173" s="55"/>
      <c r="J173" s="55"/>
      <c r="K173" s="55"/>
      <c r="L173" s="55"/>
      <c r="M173" s="55"/>
      <c r="N173" s="55"/>
      <c r="O173" s="55"/>
      <c r="P173" s="55"/>
      <c r="Q173" s="55"/>
      <c r="R173" s="55"/>
    </row>
    <row r="174" spans="1:18" s="2" customFormat="1" ht="18.95" customHeight="1">
      <c r="A174" s="55"/>
      <c r="B174" s="55"/>
      <c r="C174" s="55"/>
      <c r="D174" s="55"/>
      <c r="E174" s="55"/>
      <c r="F174" s="55"/>
      <c r="G174" s="55"/>
      <c r="H174" s="55"/>
      <c r="I174" s="55"/>
      <c r="J174" s="55"/>
      <c r="K174" s="55"/>
      <c r="L174" s="55"/>
      <c r="M174" s="55"/>
      <c r="N174" s="55"/>
      <c r="O174" s="55"/>
      <c r="P174" s="55"/>
      <c r="Q174" s="55"/>
      <c r="R174" s="55"/>
    </row>
    <row r="175" spans="1:18" s="2" customFormat="1" ht="18.95" customHeight="1">
      <c r="A175" s="55"/>
      <c r="B175" s="55"/>
      <c r="C175" s="55"/>
      <c r="D175" s="55"/>
      <c r="E175" s="55"/>
      <c r="F175" s="55"/>
      <c r="G175" s="55"/>
      <c r="H175" s="55"/>
      <c r="I175" s="55"/>
      <c r="J175" s="55"/>
      <c r="K175" s="55"/>
      <c r="L175" s="55"/>
      <c r="M175" s="55"/>
      <c r="N175" s="55"/>
      <c r="O175" s="55"/>
      <c r="P175" s="55"/>
      <c r="Q175" s="55"/>
      <c r="R175" s="55"/>
    </row>
    <row r="176" spans="1:18" s="2" customFormat="1" ht="18.95" customHeight="1">
      <c r="A176" s="55"/>
      <c r="B176" s="55"/>
      <c r="C176" s="55"/>
      <c r="D176" s="55"/>
      <c r="E176" s="55"/>
      <c r="F176" s="55"/>
      <c r="G176" s="55"/>
      <c r="H176" s="55"/>
      <c r="I176" s="55"/>
      <c r="J176" s="55"/>
      <c r="K176" s="55"/>
      <c r="L176" s="55"/>
      <c r="M176" s="55"/>
      <c r="N176" s="55"/>
      <c r="O176" s="55"/>
      <c r="P176" s="55"/>
      <c r="Q176" s="55"/>
      <c r="R176" s="55"/>
    </row>
    <row r="177" spans="1:18" s="2" customFormat="1" ht="18.95" customHeight="1">
      <c r="A177" s="55"/>
      <c r="B177" s="55"/>
      <c r="C177" s="55"/>
      <c r="D177" s="55"/>
      <c r="E177" s="55"/>
      <c r="F177" s="55"/>
      <c r="G177" s="55"/>
      <c r="H177" s="55"/>
      <c r="I177" s="55"/>
      <c r="J177" s="55"/>
      <c r="K177" s="55"/>
      <c r="L177" s="55"/>
      <c r="M177" s="55"/>
      <c r="N177" s="55"/>
      <c r="O177" s="55"/>
      <c r="P177" s="55"/>
      <c r="Q177" s="55"/>
      <c r="R177" s="55"/>
    </row>
    <row r="178" spans="1:18" s="2" customFormat="1" ht="18.95" customHeight="1">
      <c r="A178" s="55"/>
      <c r="B178" s="55"/>
      <c r="C178" s="55"/>
      <c r="D178" s="55"/>
      <c r="E178" s="55"/>
      <c r="F178" s="55"/>
      <c r="G178" s="55"/>
      <c r="H178" s="55"/>
      <c r="I178" s="55"/>
      <c r="J178" s="55"/>
      <c r="K178" s="55"/>
      <c r="L178" s="55"/>
      <c r="M178" s="55"/>
      <c r="N178" s="55"/>
      <c r="O178" s="55"/>
      <c r="P178" s="55"/>
      <c r="Q178" s="55"/>
      <c r="R178" s="55"/>
    </row>
    <row r="179" spans="1:18" ht="18.95" customHeight="1">
      <c r="A179" s="55"/>
      <c r="B179" s="55"/>
      <c r="C179" s="55"/>
      <c r="D179" s="55"/>
      <c r="E179" s="55"/>
      <c r="F179" s="55"/>
      <c r="G179" s="55"/>
      <c r="H179" s="55"/>
      <c r="I179" s="55"/>
      <c r="J179" s="55"/>
      <c r="K179" s="55"/>
      <c r="L179" s="48"/>
      <c r="M179" s="55"/>
      <c r="N179" s="55"/>
      <c r="O179" s="55"/>
      <c r="P179" s="55"/>
      <c r="Q179" s="55"/>
      <c r="R179" s="55"/>
    </row>
    <row r="180" spans="1:18" ht="18.95" customHeight="1">
      <c r="A180" s="55"/>
      <c r="B180" s="55"/>
      <c r="C180" s="55"/>
      <c r="D180" s="55"/>
      <c r="E180" s="55"/>
      <c r="F180" s="55"/>
      <c r="G180" s="55"/>
      <c r="H180" s="55"/>
      <c r="I180" s="55"/>
      <c r="J180" s="55"/>
      <c r="K180" s="55"/>
      <c r="L180" s="48"/>
      <c r="M180" s="55"/>
      <c r="N180" s="55"/>
      <c r="O180" s="55"/>
      <c r="P180" s="55"/>
      <c r="Q180" s="55"/>
      <c r="R180" s="55"/>
    </row>
    <row r="181" spans="1:18" ht="18.95" customHeight="1">
      <c r="A181" s="55"/>
      <c r="B181" s="55"/>
      <c r="C181" s="55"/>
      <c r="D181" s="55"/>
      <c r="E181" s="55"/>
      <c r="F181" s="55"/>
      <c r="G181" s="55"/>
      <c r="H181" s="55"/>
      <c r="I181" s="55"/>
      <c r="J181" s="55"/>
      <c r="K181" s="55"/>
      <c r="L181" s="48"/>
      <c r="M181" s="55"/>
      <c r="N181" s="55"/>
      <c r="O181" s="55"/>
      <c r="P181" s="55"/>
      <c r="Q181" s="55"/>
      <c r="R181" s="55"/>
    </row>
    <row r="182" spans="1:18" ht="18.95" customHeight="1">
      <c r="A182" s="55"/>
      <c r="B182" s="55"/>
      <c r="C182" s="55"/>
      <c r="D182" s="55"/>
      <c r="E182" s="55"/>
      <c r="F182" s="55"/>
      <c r="G182" s="55"/>
      <c r="H182" s="55"/>
      <c r="I182" s="55"/>
      <c r="J182" s="55"/>
      <c r="K182" s="55"/>
      <c r="L182" s="48"/>
      <c r="M182" s="55"/>
      <c r="N182" s="55"/>
      <c r="O182" s="55"/>
      <c r="P182" s="55"/>
      <c r="Q182" s="55"/>
      <c r="R182" s="55"/>
    </row>
    <row r="183" spans="1:18" ht="18.95" customHeight="1">
      <c r="A183" s="55"/>
      <c r="B183" s="55"/>
      <c r="C183" s="55"/>
      <c r="D183" s="55"/>
      <c r="E183" s="55"/>
      <c r="F183" s="55"/>
      <c r="G183" s="55"/>
      <c r="H183" s="55"/>
      <c r="I183" s="55"/>
      <c r="J183" s="55"/>
      <c r="K183" s="55"/>
      <c r="L183" s="48"/>
      <c r="M183" s="55"/>
      <c r="N183" s="55"/>
      <c r="O183" s="55"/>
      <c r="P183" s="55"/>
      <c r="Q183" s="55"/>
      <c r="R183" s="55"/>
    </row>
    <row r="184" spans="1:18" ht="18.95" customHeight="1">
      <c r="A184" s="55"/>
      <c r="B184" s="55"/>
      <c r="C184" s="55"/>
      <c r="D184" s="55"/>
      <c r="E184" s="55"/>
      <c r="F184" s="55"/>
      <c r="G184" s="55"/>
      <c r="H184" s="55"/>
      <c r="I184" s="55"/>
      <c r="J184" s="55"/>
      <c r="K184" s="55"/>
      <c r="L184" s="48"/>
      <c r="M184" s="55"/>
      <c r="N184" s="55"/>
      <c r="O184" s="55"/>
      <c r="P184" s="55"/>
      <c r="Q184" s="55"/>
      <c r="R184" s="55"/>
    </row>
    <row r="185" spans="1:18" ht="18.95" customHeight="1">
      <c r="A185" s="55"/>
      <c r="B185" s="55"/>
      <c r="C185" s="55"/>
      <c r="D185" s="55"/>
      <c r="E185" s="55"/>
      <c r="F185" s="55"/>
      <c r="G185" s="55"/>
      <c r="H185" s="55"/>
      <c r="I185" s="55"/>
      <c r="J185" s="55"/>
      <c r="K185" s="55"/>
      <c r="L185" s="48"/>
      <c r="M185" s="55"/>
      <c r="N185" s="55"/>
      <c r="O185" s="55"/>
      <c r="P185" s="55"/>
      <c r="Q185" s="55"/>
      <c r="R185" s="55"/>
    </row>
    <row r="186" spans="1:18" ht="18.95" customHeight="1">
      <c r="A186" s="55"/>
      <c r="B186" s="55"/>
      <c r="C186" s="55"/>
      <c r="D186" s="55"/>
      <c r="E186" s="55"/>
      <c r="F186" s="55"/>
      <c r="G186" s="55"/>
      <c r="H186" s="55"/>
      <c r="I186" s="55"/>
      <c r="J186" s="55"/>
      <c r="K186" s="55"/>
      <c r="L186" s="48"/>
      <c r="M186" s="55"/>
      <c r="N186" s="55"/>
      <c r="O186" s="55"/>
      <c r="P186" s="55"/>
      <c r="Q186" s="55"/>
      <c r="R186" s="55"/>
    </row>
    <row r="187" spans="1:18" ht="18.95" customHeight="1">
      <c r="A187" s="55"/>
      <c r="B187" s="55"/>
      <c r="C187" s="55"/>
      <c r="D187" s="55"/>
      <c r="E187" s="55"/>
      <c r="F187" s="55"/>
      <c r="G187" s="55"/>
      <c r="H187" s="55"/>
      <c r="I187" s="55"/>
      <c r="J187" s="55"/>
      <c r="K187" s="55"/>
      <c r="L187" s="48"/>
      <c r="M187" s="55"/>
      <c r="N187" s="55"/>
      <c r="O187" s="55"/>
      <c r="P187" s="55"/>
      <c r="Q187" s="55"/>
      <c r="R187" s="55"/>
    </row>
    <row r="188" spans="1:18" s="2" customFormat="1" ht="18.95" customHeight="1">
      <c r="A188" s="55"/>
      <c r="B188" s="55"/>
      <c r="C188" s="55"/>
      <c r="D188" s="55"/>
      <c r="E188" s="55"/>
      <c r="F188" s="55"/>
      <c r="G188" s="55"/>
      <c r="H188" s="55"/>
      <c r="I188" s="55"/>
      <c r="J188" s="55"/>
      <c r="K188" s="55"/>
      <c r="L188" s="55"/>
      <c r="M188" s="55"/>
      <c r="N188" s="55"/>
      <c r="O188" s="55"/>
      <c r="P188" s="55"/>
      <c r="Q188" s="55"/>
      <c r="R188" s="55"/>
    </row>
    <row r="189" spans="1:18" s="2" customFormat="1" ht="18.95" customHeight="1">
      <c r="A189" s="55"/>
      <c r="B189" s="55"/>
      <c r="C189" s="55"/>
      <c r="D189" s="55"/>
      <c r="E189" s="55"/>
      <c r="F189" s="55"/>
      <c r="G189" s="55"/>
      <c r="H189" s="55"/>
      <c r="I189" s="55"/>
      <c r="J189" s="55"/>
      <c r="K189" s="55"/>
      <c r="L189" s="55"/>
      <c r="M189" s="55"/>
      <c r="N189" s="55"/>
      <c r="O189" s="55"/>
      <c r="P189" s="55"/>
      <c r="Q189" s="55"/>
      <c r="R189" s="55"/>
    </row>
    <row r="190" spans="1:18" s="2" customFormat="1" ht="18.95" customHeight="1">
      <c r="A190" s="55"/>
      <c r="B190" s="55"/>
      <c r="C190" s="55"/>
      <c r="D190" s="55"/>
      <c r="E190" s="55"/>
      <c r="F190" s="55"/>
      <c r="G190" s="55"/>
      <c r="H190" s="55"/>
      <c r="I190" s="55"/>
      <c r="J190" s="55"/>
      <c r="K190" s="55"/>
      <c r="L190" s="55"/>
      <c r="M190" s="55"/>
      <c r="N190" s="55"/>
      <c r="O190" s="55"/>
      <c r="P190" s="55"/>
      <c r="Q190" s="55"/>
      <c r="R190" s="55"/>
    </row>
    <row r="191" spans="1:18" s="2" customFormat="1" ht="18.95" customHeight="1">
      <c r="A191" s="55"/>
      <c r="B191" s="55"/>
      <c r="C191" s="55"/>
      <c r="D191" s="55"/>
      <c r="E191" s="55"/>
      <c r="F191" s="55"/>
      <c r="G191" s="55"/>
      <c r="H191" s="55"/>
      <c r="I191" s="55"/>
      <c r="J191" s="55"/>
      <c r="K191" s="55"/>
      <c r="L191" s="55"/>
      <c r="M191" s="55"/>
      <c r="N191" s="55"/>
      <c r="O191" s="55"/>
      <c r="P191" s="55"/>
      <c r="Q191" s="55"/>
      <c r="R191" s="55"/>
    </row>
    <row r="192" spans="1:18" s="2" customFormat="1" ht="18.95" customHeight="1">
      <c r="A192" s="55"/>
      <c r="B192" s="55"/>
      <c r="C192" s="55"/>
      <c r="D192" s="55"/>
      <c r="E192" s="55"/>
      <c r="F192" s="55"/>
      <c r="G192" s="55"/>
      <c r="H192" s="55"/>
      <c r="I192" s="55"/>
      <c r="J192" s="55"/>
      <c r="K192" s="55"/>
      <c r="L192" s="55"/>
      <c r="M192" s="55"/>
      <c r="N192" s="55"/>
      <c r="O192" s="55"/>
      <c r="P192" s="55"/>
      <c r="Q192" s="55"/>
      <c r="R192" s="55"/>
    </row>
    <row r="193" spans="1:18" s="2" customFormat="1" ht="18.95" customHeight="1">
      <c r="A193" s="55"/>
      <c r="B193" s="55"/>
      <c r="C193" s="55"/>
      <c r="D193" s="55"/>
      <c r="E193" s="55"/>
      <c r="F193" s="55"/>
      <c r="G193" s="55"/>
      <c r="H193" s="55"/>
      <c r="I193" s="55"/>
      <c r="J193" s="55"/>
      <c r="K193" s="55"/>
      <c r="L193" s="55"/>
      <c r="M193" s="55"/>
      <c r="N193" s="55"/>
      <c r="O193" s="55"/>
      <c r="P193" s="55"/>
      <c r="Q193" s="55"/>
      <c r="R193" s="55"/>
    </row>
    <row r="194" spans="1:18" s="2" customFormat="1" ht="18.95" customHeight="1">
      <c r="A194" s="55"/>
      <c r="B194" s="55"/>
      <c r="C194" s="55"/>
      <c r="D194" s="55"/>
      <c r="E194" s="55"/>
      <c r="F194" s="55"/>
      <c r="G194" s="55"/>
      <c r="H194" s="55"/>
      <c r="I194" s="55"/>
      <c r="J194" s="55"/>
      <c r="K194" s="55"/>
      <c r="L194" s="55"/>
      <c r="M194" s="55"/>
      <c r="N194" s="55"/>
      <c r="O194" s="55"/>
      <c r="P194" s="55"/>
      <c r="Q194" s="55"/>
      <c r="R194" s="55"/>
    </row>
    <row r="195" spans="1:18" s="2" customFormat="1" ht="18.95" customHeight="1">
      <c r="A195" s="55"/>
      <c r="B195" s="55"/>
      <c r="C195" s="55"/>
      <c r="D195" s="55"/>
      <c r="E195" s="55"/>
      <c r="F195" s="55"/>
      <c r="G195" s="55"/>
      <c r="H195" s="55"/>
      <c r="I195" s="55"/>
      <c r="J195" s="55"/>
      <c r="K195" s="55"/>
      <c r="L195" s="55"/>
      <c r="M195" s="55"/>
      <c r="N195" s="55"/>
      <c r="O195" s="55"/>
      <c r="P195" s="55"/>
      <c r="Q195" s="55"/>
      <c r="R195" s="55"/>
    </row>
    <row r="196" spans="1:18" s="2" customFormat="1" ht="18.95" customHeight="1">
      <c r="A196" s="55"/>
      <c r="B196" s="55"/>
      <c r="C196" s="55"/>
      <c r="D196" s="55"/>
      <c r="E196" s="55"/>
      <c r="F196" s="55"/>
      <c r="G196" s="55"/>
      <c r="H196" s="55"/>
      <c r="I196" s="55"/>
      <c r="J196" s="55"/>
      <c r="K196" s="55"/>
      <c r="L196" s="55"/>
      <c r="M196" s="55"/>
      <c r="N196" s="55"/>
      <c r="O196" s="55"/>
      <c r="P196" s="55"/>
      <c r="Q196" s="55"/>
      <c r="R196" s="55"/>
    </row>
    <row r="197" spans="1:18" s="2" customFormat="1" ht="18.95" customHeight="1">
      <c r="A197" s="55"/>
      <c r="B197" s="55"/>
      <c r="C197" s="55"/>
      <c r="D197" s="55"/>
      <c r="E197" s="55"/>
      <c r="F197" s="55"/>
      <c r="G197" s="55"/>
      <c r="H197" s="55"/>
      <c r="I197" s="55"/>
      <c r="J197" s="55"/>
      <c r="K197" s="55"/>
      <c r="L197" s="55"/>
      <c r="M197" s="55"/>
      <c r="N197" s="55"/>
      <c r="O197" s="55"/>
      <c r="P197" s="55"/>
      <c r="Q197" s="55"/>
      <c r="R197" s="55"/>
    </row>
    <row r="198" spans="1:18" s="2" customFormat="1" ht="18.95" customHeight="1">
      <c r="A198" s="55"/>
      <c r="B198" s="55"/>
      <c r="C198" s="55"/>
      <c r="D198" s="55"/>
      <c r="E198" s="55"/>
      <c r="F198" s="55"/>
      <c r="G198" s="55"/>
      <c r="H198" s="55"/>
      <c r="I198" s="55"/>
      <c r="J198" s="55"/>
      <c r="K198" s="55"/>
      <c r="L198" s="55"/>
      <c r="M198" s="55"/>
      <c r="N198" s="55"/>
      <c r="O198" s="55"/>
      <c r="P198" s="55"/>
      <c r="Q198" s="55"/>
      <c r="R198" s="55"/>
    </row>
    <row r="199" spans="1:18" s="2" customFormat="1" ht="18.95" customHeight="1">
      <c r="A199" s="55"/>
      <c r="B199" s="55"/>
      <c r="C199" s="55"/>
      <c r="D199" s="55"/>
      <c r="E199" s="55"/>
      <c r="F199" s="55"/>
      <c r="G199" s="55"/>
      <c r="H199" s="55"/>
      <c r="I199" s="55"/>
      <c r="J199" s="55"/>
      <c r="K199" s="55"/>
      <c r="L199" s="55"/>
      <c r="M199" s="55"/>
      <c r="N199" s="55"/>
      <c r="O199" s="55"/>
      <c r="P199" s="55"/>
      <c r="Q199" s="55"/>
      <c r="R199" s="55"/>
    </row>
    <row r="200" spans="1:18" s="2" customFormat="1" ht="18.95" customHeight="1">
      <c r="A200" s="55"/>
      <c r="B200" s="55"/>
      <c r="C200" s="55"/>
      <c r="D200" s="55"/>
      <c r="E200" s="55"/>
      <c r="F200" s="55"/>
      <c r="G200" s="55"/>
      <c r="H200" s="55"/>
      <c r="I200" s="55"/>
      <c r="J200" s="55"/>
      <c r="K200" s="55"/>
      <c r="L200" s="55"/>
      <c r="M200" s="55"/>
      <c r="N200" s="55"/>
      <c r="O200" s="55"/>
      <c r="P200" s="55"/>
      <c r="Q200" s="55"/>
      <c r="R200" s="55"/>
    </row>
    <row r="201" spans="1:18" s="2" customFormat="1" ht="18.95" customHeight="1">
      <c r="A201" s="55"/>
      <c r="B201" s="55"/>
      <c r="C201" s="55"/>
      <c r="D201" s="55"/>
      <c r="E201" s="55"/>
      <c r="F201" s="55"/>
      <c r="G201" s="55"/>
      <c r="H201" s="55"/>
      <c r="I201" s="55"/>
      <c r="J201" s="55"/>
      <c r="K201" s="55"/>
      <c r="L201" s="55"/>
      <c r="M201" s="55"/>
      <c r="N201" s="55"/>
      <c r="O201" s="55"/>
      <c r="P201" s="55"/>
      <c r="Q201" s="55"/>
      <c r="R201" s="55"/>
    </row>
    <row r="202" spans="1:18" ht="18.95" customHeight="1">
      <c r="A202" s="55"/>
      <c r="B202" s="55"/>
      <c r="C202" s="55"/>
      <c r="D202" s="55"/>
      <c r="E202" s="55"/>
      <c r="F202" s="55"/>
      <c r="G202" s="55"/>
      <c r="H202" s="55"/>
      <c r="I202" s="55"/>
      <c r="J202" s="55"/>
      <c r="K202" s="55"/>
      <c r="L202" s="48"/>
      <c r="M202" s="55"/>
      <c r="N202" s="55"/>
      <c r="O202" s="55"/>
      <c r="P202" s="55"/>
      <c r="Q202" s="55"/>
      <c r="R202" s="55"/>
    </row>
    <row r="203" spans="1:18" ht="18.95" customHeight="1">
      <c r="A203" s="55"/>
      <c r="B203" s="55"/>
      <c r="C203" s="55"/>
      <c r="D203" s="55"/>
      <c r="E203" s="55"/>
      <c r="F203" s="55"/>
      <c r="G203" s="55"/>
      <c r="H203" s="55"/>
      <c r="I203" s="55"/>
      <c r="J203" s="55"/>
      <c r="K203" s="55"/>
      <c r="L203" s="48"/>
      <c r="M203" s="55"/>
      <c r="N203" s="55"/>
      <c r="O203" s="55"/>
      <c r="P203" s="55"/>
      <c r="Q203" s="55"/>
      <c r="R203" s="55"/>
    </row>
    <row r="204" spans="1:18" ht="18.95" customHeight="1">
      <c r="A204" s="55"/>
      <c r="B204" s="55"/>
      <c r="C204" s="55"/>
      <c r="D204" s="55"/>
      <c r="E204" s="55"/>
      <c r="F204" s="55"/>
      <c r="G204" s="55"/>
      <c r="H204" s="55"/>
      <c r="I204" s="55"/>
      <c r="J204" s="55"/>
      <c r="K204" s="55"/>
      <c r="L204" s="48"/>
      <c r="M204" s="55"/>
      <c r="N204" s="55"/>
      <c r="O204" s="55"/>
      <c r="P204" s="55"/>
      <c r="Q204" s="55"/>
      <c r="R204" s="55"/>
    </row>
    <row r="205" spans="1:18" ht="18.95" customHeight="1">
      <c r="A205" s="55"/>
      <c r="B205" s="55"/>
      <c r="C205" s="55"/>
      <c r="D205" s="55"/>
      <c r="E205" s="55"/>
      <c r="F205" s="55"/>
      <c r="G205" s="55"/>
      <c r="H205" s="55"/>
      <c r="I205" s="55"/>
      <c r="J205" s="55"/>
      <c r="K205" s="55"/>
      <c r="L205" s="48"/>
      <c r="M205" s="55"/>
      <c r="N205" s="55"/>
      <c r="O205" s="55"/>
      <c r="P205" s="55"/>
      <c r="Q205" s="55"/>
      <c r="R205" s="55"/>
    </row>
    <row r="206" spans="1:18" ht="18.95" customHeight="1">
      <c r="A206" s="55"/>
      <c r="B206" s="55"/>
      <c r="C206" s="55"/>
      <c r="D206" s="55"/>
      <c r="E206" s="55"/>
      <c r="F206" s="55"/>
      <c r="G206" s="55"/>
      <c r="H206" s="55"/>
      <c r="I206" s="55"/>
      <c r="J206" s="55"/>
      <c r="K206" s="55"/>
      <c r="L206" s="48"/>
      <c r="M206" s="55"/>
      <c r="N206" s="55"/>
      <c r="O206" s="55"/>
      <c r="P206" s="55"/>
      <c r="Q206" s="55"/>
      <c r="R206" s="55"/>
    </row>
    <row r="207" spans="1:18" ht="18.95" customHeight="1">
      <c r="A207" s="55"/>
      <c r="B207" s="55"/>
      <c r="C207" s="55"/>
      <c r="D207" s="55"/>
      <c r="E207" s="55"/>
      <c r="F207" s="55"/>
      <c r="G207" s="55"/>
      <c r="H207" s="55"/>
      <c r="I207" s="55"/>
      <c r="J207" s="55"/>
      <c r="K207" s="55"/>
      <c r="L207" s="48"/>
      <c r="M207" s="55"/>
      <c r="N207" s="55"/>
      <c r="O207" s="55"/>
      <c r="P207" s="55"/>
      <c r="Q207" s="55"/>
      <c r="R207" s="55"/>
    </row>
    <row r="208" spans="1:18" s="2" customFormat="1" ht="18.95" customHeight="1">
      <c r="A208" s="55"/>
      <c r="B208" s="55"/>
      <c r="C208" s="55"/>
      <c r="D208" s="55"/>
      <c r="E208" s="55"/>
      <c r="F208" s="55"/>
      <c r="G208" s="55"/>
      <c r="H208" s="55"/>
      <c r="I208" s="55"/>
      <c r="J208" s="55"/>
      <c r="K208" s="55"/>
      <c r="L208" s="55"/>
      <c r="M208" s="55"/>
      <c r="N208" s="55"/>
      <c r="O208" s="55"/>
      <c r="P208" s="55"/>
      <c r="Q208" s="55"/>
      <c r="R208" s="55"/>
    </row>
    <row r="209" spans="1:18" s="2" customFormat="1" ht="18.95" customHeight="1">
      <c r="A209" s="55"/>
      <c r="B209" s="55"/>
      <c r="C209" s="55"/>
      <c r="D209" s="55"/>
      <c r="E209" s="55"/>
      <c r="F209" s="55"/>
      <c r="G209" s="55"/>
      <c r="H209" s="55"/>
      <c r="I209" s="55"/>
      <c r="J209" s="55"/>
      <c r="K209" s="55"/>
      <c r="L209" s="55"/>
      <c r="M209" s="55"/>
      <c r="N209" s="55"/>
      <c r="O209" s="55"/>
      <c r="P209" s="55"/>
      <c r="Q209" s="55"/>
      <c r="R209" s="55"/>
    </row>
    <row r="210" spans="1:18" s="2" customFormat="1" ht="18.95" customHeight="1">
      <c r="A210" s="55"/>
      <c r="B210" s="55"/>
      <c r="C210" s="55"/>
      <c r="D210" s="55"/>
      <c r="E210" s="55"/>
      <c r="F210" s="55"/>
      <c r="G210" s="55"/>
      <c r="H210" s="55"/>
      <c r="I210" s="55"/>
      <c r="J210" s="55"/>
      <c r="K210" s="55"/>
      <c r="L210" s="55"/>
      <c r="M210" s="55"/>
      <c r="N210" s="55"/>
      <c r="O210" s="55"/>
      <c r="P210" s="55"/>
      <c r="Q210" s="55"/>
      <c r="R210" s="55"/>
    </row>
    <row r="211" spans="1:18" s="2" customFormat="1" ht="18.95" customHeight="1">
      <c r="A211" s="55"/>
      <c r="B211" s="55"/>
      <c r="C211" s="55"/>
      <c r="D211" s="55"/>
      <c r="E211" s="55"/>
      <c r="F211" s="55"/>
      <c r="G211" s="55"/>
      <c r="H211" s="55"/>
      <c r="I211" s="55"/>
      <c r="J211" s="55"/>
      <c r="K211" s="55"/>
      <c r="L211" s="55"/>
      <c r="M211" s="55"/>
      <c r="N211" s="55"/>
      <c r="O211" s="55"/>
      <c r="P211" s="55"/>
      <c r="Q211" s="55"/>
      <c r="R211" s="55"/>
    </row>
    <row r="212" spans="1:18" s="2" customFormat="1" ht="18.95" customHeight="1">
      <c r="A212" s="55"/>
      <c r="B212" s="55"/>
      <c r="C212" s="55"/>
      <c r="D212" s="55"/>
      <c r="E212" s="55"/>
      <c r="F212" s="55"/>
      <c r="G212" s="55"/>
      <c r="H212" s="55"/>
      <c r="I212" s="55"/>
      <c r="J212" s="55"/>
      <c r="K212" s="55"/>
      <c r="L212" s="55"/>
      <c r="M212" s="55"/>
      <c r="N212" s="55"/>
      <c r="O212" s="55"/>
      <c r="P212" s="55"/>
      <c r="Q212" s="55"/>
      <c r="R212" s="55"/>
    </row>
    <row r="213" spans="1:18" s="2" customFormat="1" ht="18.95" customHeight="1">
      <c r="A213" s="55"/>
      <c r="B213" s="55"/>
      <c r="C213" s="55"/>
      <c r="D213" s="55"/>
      <c r="E213" s="55"/>
      <c r="F213" s="55"/>
      <c r="G213" s="55"/>
      <c r="H213" s="55"/>
      <c r="I213" s="55"/>
      <c r="J213" s="55"/>
      <c r="K213" s="55"/>
      <c r="L213" s="55"/>
      <c r="M213" s="55"/>
      <c r="N213" s="55"/>
      <c r="O213" s="55"/>
      <c r="P213" s="55"/>
      <c r="Q213" s="55"/>
      <c r="R213" s="55"/>
    </row>
    <row r="214" spans="1:18" s="2" customFormat="1" ht="18.95" customHeight="1">
      <c r="A214" s="55"/>
      <c r="B214" s="55"/>
      <c r="C214" s="55"/>
      <c r="D214" s="55"/>
      <c r="E214" s="55"/>
      <c r="F214" s="55"/>
      <c r="G214" s="55"/>
      <c r="H214" s="55"/>
      <c r="I214" s="55"/>
      <c r="J214" s="55"/>
      <c r="K214" s="55"/>
      <c r="L214" s="55"/>
      <c r="M214" s="55"/>
      <c r="N214" s="55"/>
      <c r="O214" s="55"/>
      <c r="P214" s="55"/>
      <c r="Q214" s="55"/>
      <c r="R214" s="55"/>
    </row>
    <row r="215" spans="1:18" s="2" customFormat="1" ht="18.95" customHeight="1">
      <c r="A215" s="55"/>
      <c r="B215" s="55"/>
      <c r="C215" s="55"/>
      <c r="D215" s="55"/>
      <c r="E215" s="55"/>
      <c r="F215" s="55"/>
      <c r="G215" s="55"/>
      <c r="H215" s="55"/>
      <c r="I215" s="55"/>
      <c r="J215" s="55"/>
      <c r="K215" s="55"/>
      <c r="L215" s="55"/>
      <c r="M215" s="55"/>
      <c r="N215" s="55"/>
      <c r="O215" s="55"/>
      <c r="P215" s="55"/>
      <c r="Q215" s="55"/>
      <c r="R215" s="55"/>
    </row>
    <row r="216" spans="1:18" ht="18.95" customHeight="1">
      <c r="A216" s="55"/>
      <c r="B216" s="55"/>
      <c r="C216" s="55"/>
      <c r="D216" s="55"/>
      <c r="E216" s="55"/>
      <c r="F216" s="55"/>
      <c r="G216" s="55"/>
      <c r="H216" s="55"/>
      <c r="I216" s="55"/>
      <c r="J216" s="55"/>
      <c r="K216" s="55"/>
      <c r="L216" s="48"/>
      <c r="M216" s="55"/>
      <c r="N216" s="55"/>
      <c r="O216" s="55"/>
      <c r="P216" s="55"/>
      <c r="Q216" s="55"/>
      <c r="R216" s="55"/>
    </row>
    <row r="217" spans="1:18" ht="18.95" customHeight="1">
      <c r="A217" s="55"/>
      <c r="B217" s="55"/>
      <c r="C217" s="55"/>
      <c r="D217" s="55"/>
      <c r="E217" s="55"/>
      <c r="F217" s="55"/>
      <c r="G217" s="55"/>
      <c r="H217" s="55"/>
      <c r="I217" s="55"/>
      <c r="J217" s="55"/>
      <c r="K217" s="55"/>
      <c r="L217" s="48"/>
      <c r="M217" s="55"/>
      <c r="N217" s="55"/>
      <c r="O217" s="55"/>
      <c r="P217" s="55"/>
      <c r="Q217" s="55"/>
      <c r="R217" s="55"/>
    </row>
    <row r="218" spans="1:18" ht="18.95" customHeight="1">
      <c r="A218" s="55"/>
      <c r="B218" s="55"/>
      <c r="C218" s="55"/>
      <c r="D218" s="55"/>
      <c r="E218" s="55"/>
      <c r="F218" s="55"/>
      <c r="G218" s="55"/>
      <c r="H218" s="55"/>
      <c r="I218" s="55"/>
      <c r="J218" s="55"/>
      <c r="K218" s="55"/>
      <c r="L218" s="48"/>
      <c r="M218" s="55"/>
      <c r="N218" s="55"/>
      <c r="O218" s="55"/>
      <c r="P218" s="55"/>
      <c r="Q218" s="55"/>
      <c r="R218" s="55"/>
    </row>
    <row r="219" spans="1:18" ht="18.95" customHeight="1">
      <c r="A219" s="55"/>
      <c r="B219" s="55"/>
      <c r="C219" s="55"/>
      <c r="D219" s="55"/>
      <c r="E219" s="55"/>
      <c r="F219" s="55"/>
      <c r="G219" s="55"/>
      <c r="H219" s="55"/>
      <c r="I219" s="55"/>
      <c r="J219" s="55"/>
      <c r="K219" s="55"/>
      <c r="L219" s="48"/>
      <c r="M219" s="55"/>
      <c r="N219" s="55"/>
      <c r="O219" s="55"/>
      <c r="P219" s="55"/>
      <c r="Q219" s="55"/>
      <c r="R219" s="55"/>
    </row>
    <row r="220" spans="1:18" ht="18.95" customHeight="1">
      <c r="A220" s="55"/>
      <c r="B220" s="55"/>
      <c r="C220" s="55"/>
      <c r="D220" s="55"/>
      <c r="E220" s="55"/>
      <c r="F220" s="55"/>
      <c r="G220" s="55"/>
      <c r="H220" s="55"/>
      <c r="I220" s="55"/>
      <c r="J220" s="55"/>
      <c r="K220" s="55"/>
      <c r="L220" s="48"/>
      <c r="M220" s="55"/>
      <c r="N220" s="55"/>
      <c r="O220" s="55"/>
      <c r="P220" s="55"/>
      <c r="Q220" s="55"/>
      <c r="R220" s="55"/>
    </row>
    <row r="221" spans="1:18" ht="18.95" customHeight="1">
      <c r="A221" s="55"/>
      <c r="B221" s="55"/>
      <c r="C221" s="55"/>
      <c r="D221" s="55"/>
      <c r="E221" s="55"/>
      <c r="F221" s="55"/>
      <c r="G221" s="55"/>
      <c r="H221" s="55"/>
      <c r="I221" s="55"/>
      <c r="J221" s="55"/>
      <c r="K221" s="55"/>
      <c r="L221" s="48"/>
      <c r="M221" s="55"/>
      <c r="N221" s="55"/>
      <c r="O221" s="55"/>
      <c r="P221" s="55"/>
      <c r="Q221" s="55"/>
      <c r="R221" s="55"/>
    </row>
    <row r="222" spans="1:18" ht="18.95" customHeight="1">
      <c r="A222" s="55"/>
      <c r="B222" s="55"/>
      <c r="C222" s="55"/>
      <c r="D222" s="55"/>
      <c r="E222" s="55"/>
      <c r="F222" s="55"/>
      <c r="G222" s="55"/>
      <c r="H222" s="55"/>
      <c r="I222" s="55"/>
      <c r="J222" s="55"/>
      <c r="K222" s="55"/>
      <c r="L222" s="48"/>
      <c r="M222" s="55"/>
      <c r="N222" s="55"/>
      <c r="O222" s="55"/>
      <c r="P222" s="55"/>
      <c r="Q222" s="55"/>
      <c r="R222" s="55"/>
    </row>
    <row r="223" spans="1:18" ht="18.95" customHeight="1">
      <c r="A223" s="55"/>
      <c r="B223" s="55"/>
      <c r="C223" s="55"/>
      <c r="D223" s="55"/>
      <c r="E223" s="55"/>
      <c r="F223" s="55"/>
      <c r="G223" s="55"/>
      <c r="H223" s="55"/>
      <c r="I223" s="55"/>
      <c r="J223" s="55"/>
      <c r="K223" s="55"/>
      <c r="L223" s="48"/>
      <c r="M223" s="55"/>
      <c r="N223" s="55"/>
      <c r="O223" s="55"/>
      <c r="P223" s="55"/>
      <c r="Q223" s="55"/>
      <c r="R223" s="55"/>
    </row>
    <row r="224" spans="1:18" ht="18.95" customHeight="1">
      <c r="A224" s="55"/>
      <c r="B224" s="55"/>
      <c r="C224" s="55"/>
      <c r="D224" s="55"/>
      <c r="E224" s="55"/>
      <c r="F224" s="55"/>
      <c r="G224" s="55"/>
      <c r="H224" s="55"/>
      <c r="I224" s="55"/>
      <c r="J224" s="55"/>
      <c r="K224" s="55"/>
      <c r="L224" s="48"/>
      <c r="M224" s="55"/>
      <c r="N224" s="55"/>
      <c r="O224" s="55"/>
      <c r="P224" s="55"/>
      <c r="Q224" s="55"/>
      <c r="R224" s="55"/>
    </row>
    <row r="225" spans="1:18" s="2" customFormat="1" ht="18.95" customHeight="1">
      <c r="A225" s="55"/>
      <c r="B225" s="55"/>
      <c r="C225" s="55"/>
      <c r="D225" s="55"/>
      <c r="E225" s="55"/>
      <c r="F225" s="55"/>
      <c r="G225" s="55"/>
      <c r="H225" s="55"/>
      <c r="I225" s="55"/>
      <c r="J225" s="55"/>
      <c r="K225" s="55"/>
      <c r="L225" s="55"/>
      <c r="M225" s="55"/>
      <c r="N225" s="55"/>
      <c r="O225" s="55"/>
      <c r="P225" s="55"/>
      <c r="Q225" s="55"/>
      <c r="R225" s="55"/>
    </row>
    <row r="226" spans="1:18" ht="18.95" customHeight="1">
      <c r="A226" s="55"/>
      <c r="B226" s="55"/>
      <c r="C226" s="55"/>
      <c r="D226" s="55"/>
      <c r="E226" s="55"/>
      <c r="F226" s="55"/>
      <c r="G226" s="55"/>
      <c r="H226" s="55"/>
      <c r="I226" s="55"/>
      <c r="J226" s="55"/>
      <c r="K226" s="55"/>
      <c r="L226" s="48"/>
      <c r="M226" s="55"/>
      <c r="N226" s="55"/>
      <c r="O226" s="55"/>
      <c r="P226" s="55"/>
      <c r="Q226" s="55"/>
      <c r="R226" s="55"/>
    </row>
    <row r="227" spans="1:18" ht="18.95" customHeight="1">
      <c r="A227" s="55"/>
      <c r="B227" s="55"/>
      <c r="C227" s="55"/>
      <c r="D227" s="55"/>
      <c r="E227" s="55"/>
      <c r="F227" s="55"/>
      <c r="G227" s="55"/>
      <c r="H227" s="55"/>
      <c r="I227" s="55"/>
      <c r="J227" s="55"/>
      <c r="K227" s="55"/>
      <c r="L227" s="48"/>
      <c r="M227" s="55"/>
      <c r="N227" s="55"/>
      <c r="O227" s="55"/>
      <c r="P227" s="55"/>
      <c r="Q227" s="55"/>
      <c r="R227" s="55"/>
    </row>
    <row r="228" spans="1:18" ht="18.95" customHeight="1">
      <c r="A228" s="55"/>
      <c r="B228" s="55"/>
      <c r="C228" s="55"/>
      <c r="D228" s="55"/>
      <c r="E228" s="55"/>
      <c r="F228" s="55"/>
      <c r="G228" s="55"/>
      <c r="H228" s="55"/>
      <c r="I228" s="55"/>
      <c r="J228" s="55"/>
      <c r="K228" s="55"/>
      <c r="L228" s="48"/>
      <c r="M228" s="55"/>
      <c r="N228" s="55"/>
      <c r="O228" s="55"/>
      <c r="P228" s="55"/>
      <c r="Q228" s="55"/>
      <c r="R228" s="55"/>
    </row>
    <row r="229" spans="1:18" ht="18.95" customHeight="1">
      <c r="A229" s="55"/>
      <c r="B229" s="55"/>
      <c r="C229" s="55"/>
      <c r="D229" s="55"/>
      <c r="E229" s="55"/>
      <c r="F229" s="55"/>
      <c r="G229" s="55"/>
      <c r="H229" s="55"/>
      <c r="I229" s="55"/>
      <c r="J229" s="55"/>
      <c r="K229" s="55"/>
      <c r="L229" s="48"/>
      <c r="M229" s="55"/>
      <c r="N229" s="55"/>
      <c r="O229" s="55"/>
      <c r="P229" s="55"/>
      <c r="Q229" s="55"/>
      <c r="R229" s="55"/>
    </row>
    <row r="230" spans="1:18" ht="18.95" customHeight="1">
      <c r="A230" s="55"/>
      <c r="B230" s="55"/>
      <c r="C230" s="55"/>
      <c r="D230" s="55"/>
      <c r="E230" s="55"/>
      <c r="F230" s="55"/>
      <c r="G230" s="55"/>
      <c r="H230" s="55"/>
      <c r="I230" s="55"/>
      <c r="J230" s="55"/>
      <c r="K230" s="55"/>
      <c r="L230" s="48"/>
      <c r="M230" s="55"/>
      <c r="N230" s="55"/>
      <c r="O230" s="55"/>
      <c r="P230" s="55"/>
      <c r="Q230" s="55"/>
      <c r="R230" s="55"/>
    </row>
    <row r="231" spans="1:18" ht="18.95" customHeight="1">
      <c r="A231" s="55"/>
      <c r="B231" s="55"/>
      <c r="C231" s="55"/>
      <c r="D231" s="55"/>
      <c r="E231" s="55"/>
      <c r="F231" s="55"/>
      <c r="G231" s="55"/>
      <c r="H231" s="55"/>
      <c r="I231" s="55"/>
      <c r="J231" s="55"/>
      <c r="K231" s="55"/>
      <c r="L231" s="48"/>
      <c r="M231" s="55"/>
      <c r="N231" s="55"/>
      <c r="O231" s="55"/>
      <c r="P231" s="55"/>
      <c r="Q231" s="55"/>
      <c r="R231" s="55"/>
    </row>
    <row r="232" spans="1:18" ht="18.95" customHeight="1">
      <c r="A232" s="55"/>
      <c r="B232" s="55"/>
      <c r="C232" s="55"/>
      <c r="D232" s="55"/>
      <c r="E232" s="55"/>
      <c r="F232" s="55"/>
      <c r="G232" s="55"/>
      <c r="H232" s="55"/>
      <c r="I232" s="55"/>
      <c r="J232" s="55"/>
      <c r="K232" s="55"/>
      <c r="L232" s="48"/>
      <c r="M232" s="55"/>
      <c r="N232" s="55"/>
      <c r="O232" s="55"/>
      <c r="P232" s="55"/>
      <c r="Q232" s="55"/>
      <c r="R232" s="55"/>
    </row>
    <row r="233" spans="1:18" ht="18.95" customHeight="1">
      <c r="A233" s="55"/>
      <c r="B233" s="55"/>
      <c r="C233" s="55"/>
      <c r="D233" s="55"/>
      <c r="E233" s="55"/>
      <c r="F233" s="55"/>
      <c r="G233" s="55"/>
      <c r="H233" s="55"/>
      <c r="I233" s="55"/>
      <c r="J233" s="55"/>
      <c r="K233" s="55"/>
      <c r="L233" s="48"/>
      <c r="M233" s="55"/>
      <c r="N233" s="55"/>
      <c r="O233" s="55"/>
      <c r="P233" s="55"/>
      <c r="Q233" s="55"/>
      <c r="R233" s="55"/>
    </row>
    <row r="234" spans="1:18" ht="18.95" customHeight="1">
      <c r="A234" s="55"/>
      <c r="B234" s="55"/>
      <c r="C234" s="55"/>
      <c r="D234" s="55"/>
      <c r="E234" s="55"/>
      <c r="F234" s="55"/>
      <c r="G234" s="55"/>
      <c r="H234" s="55"/>
      <c r="I234" s="55"/>
      <c r="J234" s="55"/>
      <c r="K234" s="55"/>
      <c r="L234" s="48"/>
      <c r="M234" s="55"/>
      <c r="N234" s="55"/>
      <c r="O234" s="55"/>
      <c r="P234" s="55"/>
      <c r="Q234" s="55"/>
      <c r="R234" s="55"/>
    </row>
    <row r="235" spans="1:18" ht="18.95" customHeight="1">
      <c r="A235" s="55"/>
      <c r="B235" s="55"/>
      <c r="C235" s="55"/>
      <c r="D235" s="55"/>
      <c r="E235" s="55"/>
      <c r="F235" s="55"/>
      <c r="G235" s="55"/>
      <c r="H235" s="55"/>
      <c r="I235" s="55"/>
      <c r="J235" s="55"/>
      <c r="K235" s="55"/>
      <c r="L235" s="48"/>
      <c r="M235" s="55"/>
      <c r="N235" s="55"/>
      <c r="O235" s="55"/>
      <c r="P235" s="55"/>
      <c r="Q235" s="55"/>
      <c r="R235" s="55"/>
    </row>
    <row r="236" spans="1:18" ht="18.95" customHeight="1">
      <c r="A236" s="55"/>
      <c r="B236" s="55"/>
      <c r="C236" s="55"/>
      <c r="D236" s="55"/>
      <c r="E236" s="55"/>
      <c r="F236" s="55"/>
      <c r="G236" s="55"/>
      <c r="H236" s="55"/>
      <c r="I236" s="55"/>
      <c r="J236" s="55"/>
      <c r="K236" s="55"/>
      <c r="L236" s="48"/>
      <c r="M236" s="55"/>
      <c r="N236" s="55"/>
      <c r="O236" s="55"/>
      <c r="P236" s="55"/>
      <c r="Q236" s="55"/>
      <c r="R236" s="55"/>
    </row>
    <row r="237" spans="1:18" s="2" customFormat="1" ht="18.95" customHeight="1">
      <c r="A237" s="55"/>
      <c r="B237" s="55"/>
      <c r="C237" s="55"/>
      <c r="D237" s="55"/>
      <c r="E237" s="55"/>
      <c r="F237" s="55"/>
      <c r="G237" s="55"/>
      <c r="H237" s="55"/>
      <c r="I237" s="55"/>
      <c r="J237" s="55"/>
      <c r="K237" s="55"/>
      <c r="L237" s="55"/>
      <c r="M237" s="55"/>
      <c r="N237" s="55"/>
      <c r="O237" s="55"/>
      <c r="P237" s="55"/>
      <c r="Q237" s="55"/>
      <c r="R237" s="55"/>
    </row>
    <row r="238" spans="1:18" s="2" customFormat="1" ht="18.95" customHeight="1">
      <c r="A238" s="55"/>
      <c r="B238" s="55"/>
      <c r="C238" s="55"/>
      <c r="D238" s="55"/>
      <c r="E238" s="55"/>
      <c r="F238" s="55"/>
      <c r="G238" s="55"/>
      <c r="H238" s="55"/>
      <c r="I238" s="55"/>
      <c r="J238" s="55"/>
      <c r="K238" s="55"/>
      <c r="L238" s="55"/>
      <c r="M238" s="55"/>
      <c r="N238" s="55"/>
      <c r="O238" s="55"/>
      <c r="P238" s="55"/>
      <c r="Q238" s="55"/>
      <c r="R238" s="55"/>
    </row>
    <row r="239" spans="1:18" s="2" customFormat="1" ht="18.95" customHeight="1">
      <c r="A239" s="55"/>
      <c r="B239" s="55"/>
      <c r="C239" s="55"/>
      <c r="D239" s="55"/>
      <c r="E239" s="55"/>
      <c r="F239" s="55"/>
      <c r="G239" s="55"/>
      <c r="H239" s="55"/>
      <c r="I239" s="55"/>
      <c r="J239" s="55"/>
      <c r="K239" s="55"/>
      <c r="L239" s="55"/>
      <c r="M239" s="55"/>
      <c r="N239" s="55"/>
      <c r="O239" s="55"/>
      <c r="P239" s="55"/>
      <c r="Q239" s="55"/>
      <c r="R239" s="55"/>
    </row>
    <row r="240" spans="1:18" s="2" customFormat="1" ht="18.95" customHeight="1">
      <c r="A240" s="55"/>
      <c r="B240" s="55"/>
      <c r="C240" s="55"/>
      <c r="D240" s="55"/>
      <c r="E240" s="55"/>
      <c r="F240" s="55"/>
      <c r="G240" s="55"/>
      <c r="H240" s="55"/>
      <c r="I240" s="55"/>
      <c r="J240" s="55"/>
      <c r="K240" s="55"/>
      <c r="L240" s="55"/>
      <c r="M240" s="55"/>
      <c r="N240" s="55"/>
      <c r="O240" s="55"/>
      <c r="P240" s="55"/>
      <c r="Q240" s="55"/>
      <c r="R240" s="55"/>
    </row>
    <row r="241" spans="1:18" s="2" customFormat="1" ht="18.95" customHeight="1">
      <c r="A241" s="55"/>
      <c r="B241" s="55"/>
      <c r="C241" s="55"/>
      <c r="D241" s="55"/>
      <c r="E241" s="55"/>
      <c r="F241" s="55"/>
      <c r="G241" s="55"/>
      <c r="H241" s="55"/>
      <c r="I241" s="55"/>
      <c r="J241" s="55"/>
      <c r="K241" s="55"/>
      <c r="L241" s="55"/>
      <c r="M241" s="55"/>
      <c r="N241" s="55"/>
      <c r="O241" s="55"/>
      <c r="P241" s="55"/>
      <c r="Q241" s="55"/>
      <c r="R241" s="55"/>
    </row>
    <row r="242" spans="1:18" s="2" customFormat="1" ht="18.95" customHeight="1">
      <c r="A242" s="55"/>
      <c r="B242" s="55"/>
      <c r="C242" s="55"/>
      <c r="D242" s="55"/>
      <c r="E242" s="55"/>
      <c r="F242" s="55"/>
      <c r="G242" s="55"/>
      <c r="H242" s="55"/>
      <c r="I242" s="55"/>
      <c r="J242" s="55"/>
      <c r="K242" s="55"/>
      <c r="L242" s="55"/>
      <c r="M242" s="55"/>
      <c r="N242" s="55"/>
      <c r="O242" s="55"/>
      <c r="P242" s="55"/>
      <c r="Q242" s="55"/>
      <c r="R242" s="55"/>
    </row>
    <row r="243" spans="1:18" s="2" customFormat="1" ht="18.95" customHeight="1">
      <c r="A243" s="55"/>
      <c r="B243" s="55"/>
      <c r="C243" s="55"/>
      <c r="D243" s="55"/>
      <c r="E243" s="55"/>
      <c r="F243" s="55"/>
      <c r="G243" s="55"/>
      <c r="H243" s="55"/>
      <c r="I243" s="55"/>
      <c r="J243" s="55"/>
      <c r="K243" s="55"/>
      <c r="L243" s="55"/>
      <c r="M243" s="55"/>
      <c r="N243" s="55"/>
      <c r="O243" s="55"/>
      <c r="P243" s="55"/>
      <c r="Q243" s="55"/>
      <c r="R243" s="55"/>
    </row>
    <row r="244" spans="1:18" s="2" customFormat="1" ht="18.95" customHeight="1">
      <c r="A244" s="55"/>
      <c r="B244" s="55"/>
      <c r="C244" s="55"/>
      <c r="D244" s="55"/>
      <c r="E244" s="55"/>
      <c r="F244" s="55"/>
      <c r="G244" s="55"/>
      <c r="H244" s="55"/>
      <c r="I244" s="55"/>
      <c r="J244" s="55"/>
      <c r="K244" s="55"/>
      <c r="L244" s="55"/>
      <c r="M244" s="55"/>
      <c r="N244" s="55"/>
      <c r="O244" s="55"/>
      <c r="P244" s="55"/>
      <c r="Q244" s="55"/>
      <c r="R244" s="55"/>
    </row>
    <row r="245" spans="1:18" s="2" customFormat="1" ht="18.95" customHeight="1">
      <c r="A245" s="55"/>
      <c r="B245" s="55"/>
      <c r="C245" s="55"/>
      <c r="D245" s="55"/>
      <c r="E245" s="55"/>
      <c r="F245" s="55"/>
      <c r="G245" s="55"/>
      <c r="H245" s="55"/>
      <c r="I245" s="55"/>
      <c r="J245" s="55"/>
      <c r="K245" s="55"/>
      <c r="L245" s="55"/>
      <c r="M245" s="55"/>
      <c r="N245" s="55"/>
      <c r="O245" s="55"/>
      <c r="P245" s="55"/>
      <c r="Q245" s="55"/>
      <c r="R245" s="55"/>
    </row>
    <row r="246" spans="1:18" s="2" customFormat="1" ht="18.95" customHeight="1">
      <c r="A246" s="55"/>
      <c r="B246" s="55"/>
      <c r="C246" s="55"/>
      <c r="D246" s="55"/>
      <c r="E246" s="55"/>
      <c r="F246" s="55"/>
      <c r="G246" s="55"/>
      <c r="H246" s="55"/>
      <c r="I246" s="55"/>
      <c r="J246" s="55"/>
      <c r="K246" s="55"/>
      <c r="L246" s="55"/>
      <c r="M246" s="55"/>
      <c r="N246" s="55"/>
      <c r="O246" s="55"/>
      <c r="P246" s="55"/>
      <c r="Q246" s="55"/>
      <c r="R246" s="55"/>
    </row>
    <row r="247" spans="1:18" s="2" customFormat="1" ht="18.95" customHeight="1">
      <c r="A247" s="55"/>
      <c r="B247" s="55"/>
      <c r="C247" s="55"/>
      <c r="D247" s="55"/>
      <c r="E247" s="55"/>
      <c r="F247" s="55"/>
      <c r="G247" s="55"/>
      <c r="H247" s="55"/>
      <c r="I247" s="55"/>
      <c r="J247" s="55"/>
      <c r="K247" s="55"/>
      <c r="L247" s="55"/>
      <c r="M247" s="55"/>
      <c r="N247" s="55"/>
      <c r="O247" s="55"/>
      <c r="P247" s="55"/>
      <c r="Q247" s="55"/>
      <c r="R247" s="55"/>
    </row>
    <row r="248" spans="1:18" ht="18.95" customHeight="1">
      <c r="A248" s="55"/>
      <c r="B248" s="55"/>
      <c r="C248" s="55"/>
      <c r="D248" s="55"/>
      <c r="E248" s="55"/>
      <c r="F248" s="55"/>
      <c r="G248" s="55"/>
      <c r="H248" s="55"/>
      <c r="I248" s="55"/>
      <c r="J248" s="55"/>
      <c r="K248" s="55"/>
      <c r="L248" s="48"/>
      <c r="M248" s="55"/>
      <c r="N248" s="55"/>
      <c r="O248" s="55"/>
      <c r="P248" s="55"/>
      <c r="Q248" s="55"/>
      <c r="R248" s="55"/>
    </row>
    <row r="249" spans="1:18" ht="18.95" customHeight="1">
      <c r="A249" s="55"/>
      <c r="B249" s="55"/>
      <c r="C249" s="55"/>
      <c r="D249" s="55"/>
      <c r="E249" s="55"/>
      <c r="F249" s="55"/>
      <c r="G249" s="55"/>
      <c r="H249" s="55"/>
      <c r="I249" s="55"/>
      <c r="J249" s="55"/>
      <c r="K249" s="55"/>
      <c r="L249" s="48"/>
      <c r="M249" s="55"/>
      <c r="N249" s="55"/>
      <c r="O249" s="55"/>
      <c r="P249" s="55"/>
      <c r="Q249" s="55"/>
      <c r="R249" s="55"/>
    </row>
    <row r="250" spans="1:18" ht="18.95" customHeight="1">
      <c r="A250" s="55"/>
      <c r="B250" s="55"/>
      <c r="C250" s="55"/>
      <c r="D250" s="55"/>
      <c r="E250" s="55"/>
      <c r="F250" s="55"/>
      <c r="G250" s="55"/>
      <c r="H250" s="55"/>
      <c r="I250" s="55"/>
      <c r="J250" s="55"/>
      <c r="K250" s="55"/>
      <c r="L250" s="48"/>
      <c r="M250" s="55"/>
      <c r="N250" s="55"/>
      <c r="O250" s="55"/>
      <c r="P250" s="55"/>
      <c r="Q250" s="55"/>
      <c r="R250" s="55"/>
    </row>
    <row r="251" spans="1:18" ht="18.95" customHeight="1">
      <c r="A251" s="55"/>
      <c r="B251" s="55"/>
      <c r="C251" s="55"/>
      <c r="D251" s="55"/>
      <c r="E251" s="55"/>
      <c r="F251" s="55"/>
      <c r="G251" s="55"/>
      <c r="H251" s="55"/>
      <c r="I251" s="55"/>
      <c r="J251" s="55"/>
      <c r="K251" s="55"/>
      <c r="L251" s="48"/>
      <c r="M251" s="55"/>
      <c r="N251" s="55"/>
      <c r="O251" s="55"/>
      <c r="P251" s="55"/>
      <c r="Q251" s="55"/>
      <c r="R251" s="55"/>
    </row>
    <row r="252" spans="1:18" ht="18.95" customHeight="1">
      <c r="A252" s="55"/>
      <c r="B252" s="55"/>
      <c r="C252" s="55"/>
      <c r="D252" s="55"/>
      <c r="E252" s="55"/>
      <c r="F252" s="55"/>
      <c r="G252" s="55"/>
      <c r="H252" s="55"/>
      <c r="I252" s="55"/>
      <c r="J252" s="55"/>
      <c r="K252" s="55"/>
      <c r="L252" s="48"/>
      <c r="M252" s="55"/>
      <c r="N252" s="55"/>
      <c r="O252" s="55"/>
      <c r="P252" s="55"/>
      <c r="Q252" s="55"/>
      <c r="R252" s="55"/>
    </row>
    <row r="253" spans="1:18" ht="18.95" customHeight="1">
      <c r="A253" s="55"/>
      <c r="B253" s="55"/>
      <c r="C253" s="55"/>
      <c r="D253" s="55"/>
      <c r="E253" s="55"/>
      <c r="F253" s="55"/>
      <c r="G253" s="55"/>
      <c r="H253" s="55"/>
      <c r="I253" s="55"/>
      <c r="J253" s="55"/>
      <c r="K253" s="55"/>
      <c r="L253" s="48"/>
      <c r="M253" s="55"/>
      <c r="N253" s="55"/>
      <c r="O253" s="55"/>
      <c r="P253" s="55"/>
      <c r="Q253" s="55"/>
      <c r="R253" s="55"/>
    </row>
    <row r="254" spans="1:18" ht="18.95" customHeight="1">
      <c r="A254" s="55"/>
      <c r="B254" s="55"/>
      <c r="C254" s="55"/>
      <c r="D254" s="55"/>
      <c r="E254" s="55"/>
      <c r="F254" s="55"/>
      <c r="G254" s="55"/>
      <c r="H254" s="55"/>
      <c r="I254" s="55"/>
      <c r="J254" s="55"/>
      <c r="K254" s="55"/>
      <c r="L254" s="48"/>
      <c r="M254" s="55"/>
      <c r="N254" s="55"/>
      <c r="O254" s="55"/>
      <c r="P254" s="55"/>
      <c r="Q254" s="55"/>
      <c r="R254" s="55"/>
    </row>
    <row r="255" spans="1:18" ht="18.95" customHeight="1">
      <c r="A255" s="55"/>
      <c r="B255" s="55"/>
      <c r="C255" s="55"/>
      <c r="D255" s="55"/>
      <c r="E255" s="55"/>
      <c r="F255" s="55"/>
      <c r="G255" s="55"/>
      <c r="H255" s="55"/>
      <c r="I255" s="55"/>
      <c r="J255" s="55"/>
      <c r="K255" s="55"/>
      <c r="L255" s="48"/>
      <c r="M255" s="55"/>
      <c r="N255" s="55"/>
      <c r="O255" s="55"/>
      <c r="P255" s="55"/>
      <c r="Q255" s="55"/>
      <c r="R255" s="55"/>
    </row>
    <row r="256" spans="1:18" ht="18.95" customHeight="1">
      <c r="A256" s="55"/>
      <c r="B256" s="55"/>
      <c r="C256" s="55"/>
      <c r="D256" s="55"/>
      <c r="E256" s="55"/>
      <c r="F256" s="55"/>
      <c r="G256" s="55"/>
      <c r="H256" s="55"/>
      <c r="I256" s="55"/>
      <c r="J256" s="55"/>
      <c r="K256" s="55"/>
      <c r="L256" s="48"/>
      <c r="M256" s="55"/>
      <c r="N256" s="55"/>
      <c r="O256" s="55"/>
      <c r="P256" s="55"/>
      <c r="Q256" s="55"/>
      <c r="R256" s="55"/>
    </row>
    <row r="257" spans="1:18" ht="18.95" customHeight="1">
      <c r="A257" s="55"/>
      <c r="B257" s="55"/>
      <c r="C257" s="55"/>
      <c r="D257" s="55"/>
      <c r="E257" s="55"/>
      <c r="F257" s="55"/>
      <c r="G257" s="55"/>
      <c r="H257" s="55"/>
      <c r="I257" s="55"/>
      <c r="J257" s="55"/>
      <c r="K257" s="55"/>
      <c r="L257" s="48"/>
      <c r="M257" s="55"/>
      <c r="N257" s="55"/>
      <c r="O257" s="55"/>
      <c r="P257" s="55"/>
      <c r="Q257" s="55"/>
      <c r="R257" s="55"/>
    </row>
    <row r="258" spans="1:18" ht="18.95" customHeight="1">
      <c r="A258" s="55"/>
      <c r="B258" s="55"/>
      <c r="C258" s="55"/>
      <c r="D258" s="55"/>
      <c r="E258" s="55"/>
      <c r="F258" s="55"/>
      <c r="G258" s="55"/>
      <c r="H258" s="55"/>
      <c r="I258" s="55"/>
      <c r="J258" s="55"/>
      <c r="K258" s="55"/>
      <c r="L258" s="48"/>
      <c r="M258" s="55"/>
      <c r="N258" s="55"/>
      <c r="O258" s="55"/>
      <c r="P258" s="55"/>
      <c r="Q258" s="55"/>
      <c r="R258" s="55"/>
    </row>
    <row r="259" spans="1:18" ht="18.95" customHeight="1">
      <c r="A259" s="55"/>
      <c r="B259" s="55"/>
      <c r="C259" s="55"/>
      <c r="D259" s="55"/>
      <c r="E259" s="55"/>
      <c r="F259" s="55"/>
      <c r="G259" s="55"/>
      <c r="H259" s="55"/>
      <c r="I259" s="55"/>
      <c r="J259" s="55"/>
      <c r="K259" s="55"/>
      <c r="L259" s="48"/>
      <c r="M259" s="55"/>
      <c r="N259" s="55"/>
      <c r="O259" s="55"/>
      <c r="P259" s="55"/>
      <c r="Q259" s="55"/>
      <c r="R259" s="55"/>
    </row>
    <row r="260" spans="1:18" ht="18.95" customHeight="1">
      <c r="A260" s="55"/>
      <c r="B260" s="55"/>
      <c r="C260" s="55"/>
      <c r="D260" s="55"/>
      <c r="E260" s="55"/>
      <c r="F260" s="55"/>
      <c r="G260" s="55"/>
      <c r="H260" s="55"/>
      <c r="I260" s="55"/>
      <c r="J260" s="55"/>
      <c r="K260" s="55"/>
      <c r="L260" s="48"/>
      <c r="M260" s="55"/>
      <c r="N260" s="55"/>
      <c r="O260" s="55"/>
      <c r="P260" s="55"/>
      <c r="Q260" s="55"/>
      <c r="R260" s="55"/>
    </row>
    <row r="261" spans="1:18" ht="18.95" customHeight="1">
      <c r="A261" s="55"/>
      <c r="B261" s="55"/>
      <c r="C261" s="55"/>
      <c r="D261" s="55"/>
      <c r="E261" s="55"/>
      <c r="F261" s="55"/>
      <c r="G261" s="55"/>
      <c r="H261" s="55"/>
      <c r="I261" s="55"/>
      <c r="J261" s="55"/>
      <c r="K261" s="55"/>
      <c r="L261" s="48"/>
      <c r="M261" s="55"/>
      <c r="N261" s="55"/>
      <c r="O261" s="55"/>
      <c r="P261" s="55"/>
      <c r="Q261" s="55"/>
      <c r="R261" s="55"/>
    </row>
    <row r="262" spans="1:18" ht="18.95" customHeight="1">
      <c r="A262" s="55"/>
      <c r="B262" s="55"/>
      <c r="C262" s="55"/>
      <c r="D262" s="55"/>
      <c r="E262" s="55"/>
      <c r="F262" s="55"/>
      <c r="G262" s="55"/>
      <c r="H262" s="55"/>
      <c r="I262" s="55"/>
      <c r="J262" s="55"/>
      <c r="K262" s="55"/>
      <c r="L262" s="48"/>
      <c r="M262" s="55"/>
      <c r="N262" s="55"/>
      <c r="O262" s="55"/>
      <c r="P262" s="55"/>
      <c r="Q262" s="55"/>
      <c r="R262" s="55"/>
    </row>
    <row r="263" spans="1:18" ht="18.95" customHeight="1">
      <c r="A263" s="55"/>
      <c r="B263" s="55"/>
      <c r="C263" s="55"/>
      <c r="D263" s="55"/>
      <c r="E263" s="55"/>
      <c r="F263" s="55"/>
      <c r="G263" s="55"/>
      <c r="H263" s="55"/>
      <c r="I263" s="55"/>
      <c r="J263" s="55"/>
      <c r="K263" s="55"/>
      <c r="L263" s="48"/>
      <c r="M263" s="55"/>
      <c r="N263" s="55"/>
      <c r="O263" s="55"/>
      <c r="P263" s="55"/>
      <c r="Q263" s="55"/>
      <c r="R263" s="55"/>
    </row>
    <row r="264" spans="1:18" ht="18.95" customHeight="1">
      <c r="A264" s="55"/>
      <c r="B264" s="55"/>
      <c r="C264" s="55"/>
      <c r="D264" s="55"/>
      <c r="E264" s="55"/>
      <c r="F264" s="55"/>
      <c r="G264" s="55"/>
      <c r="H264" s="55"/>
      <c r="I264" s="55"/>
      <c r="J264" s="55"/>
      <c r="K264" s="55"/>
      <c r="L264" s="48"/>
      <c r="M264" s="55"/>
      <c r="N264" s="55"/>
      <c r="O264" s="55"/>
      <c r="P264" s="55"/>
      <c r="Q264" s="55"/>
      <c r="R264" s="55"/>
    </row>
    <row r="265" spans="1:18" ht="18.95" customHeight="1">
      <c r="A265" s="55"/>
      <c r="B265" s="55"/>
      <c r="C265" s="55"/>
      <c r="D265" s="55"/>
      <c r="E265" s="55"/>
      <c r="F265" s="55"/>
      <c r="G265" s="55"/>
      <c r="H265" s="55"/>
      <c r="I265" s="55"/>
      <c r="J265" s="55"/>
      <c r="K265" s="55"/>
      <c r="L265" s="48"/>
      <c r="M265" s="55"/>
      <c r="N265" s="55"/>
      <c r="O265" s="55"/>
      <c r="P265" s="55"/>
      <c r="Q265" s="55"/>
      <c r="R265" s="55"/>
    </row>
    <row r="266" spans="1:18" ht="18.95" customHeight="1">
      <c r="A266" s="55"/>
      <c r="B266" s="55"/>
      <c r="C266" s="55"/>
      <c r="D266" s="55"/>
      <c r="E266" s="55"/>
      <c r="F266" s="55"/>
      <c r="G266" s="55"/>
      <c r="H266" s="55"/>
      <c r="I266" s="55"/>
      <c r="J266" s="55"/>
      <c r="K266" s="55"/>
      <c r="L266" s="48"/>
      <c r="M266" s="55"/>
      <c r="N266" s="55"/>
      <c r="O266" s="55"/>
      <c r="P266" s="55"/>
      <c r="Q266" s="55"/>
      <c r="R266" s="55"/>
    </row>
    <row r="267" spans="1:18" ht="18.95" customHeight="1">
      <c r="A267" s="55"/>
      <c r="B267" s="55"/>
      <c r="C267" s="55"/>
      <c r="D267" s="55"/>
      <c r="E267" s="55"/>
      <c r="F267" s="55"/>
      <c r="G267" s="55"/>
      <c r="H267" s="55"/>
      <c r="I267" s="55"/>
      <c r="J267" s="55"/>
      <c r="K267" s="55"/>
      <c r="L267" s="48"/>
      <c r="M267" s="55"/>
      <c r="N267" s="55"/>
      <c r="O267" s="55"/>
      <c r="P267" s="55"/>
      <c r="Q267" s="55"/>
      <c r="R267" s="55"/>
    </row>
    <row r="268" spans="1:18" ht="18.95" customHeight="1">
      <c r="A268" s="55"/>
      <c r="B268" s="55"/>
      <c r="C268" s="55"/>
      <c r="D268" s="55"/>
      <c r="E268" s="55"/>
      <c r="F268" s="55"/>
      <c r="G268" s="55"/>
      <c r="H268" s="55"/>
      <c r="I268" s="55"/>
      <c r="J268" s="55"/>
      <c r="K268" s="55"/>
      <c r="L268" s="48"/>
      <c r="M268" s="55"/>
      <c r="N268" s="55"/>
      <c r="O268" s="55"/>
      <c r="P268" s="55"/>
      <c r="Q268" s="55"/>
      <c r="R268" s="55"/>
    </row>
    <row r="269" spans="1:18" s="2" customFormat="1" ht="18.95" customHeight="1">
      <c r="A269" s="55"/>
      <c r="B269" s="55"/>
      <c r="C269" s="55"/>
      <c r="D269" s="55"/>
      <c r="E269" s="55"/>
      <c r="F269" s="55"/>
      <c r="G269" s="55"/>
      <c r="H269" s="55"/>
      <c r="I269" s="55"/>
      <c r="J269" s="55"/>
      <c r="K269" s="55"/>
      <c r="L269" s="55"/>
      <c r="M269" s="55"/>
      <c r="N269" s="55"/>
      <c r="O269" s="55"/>
      <c r="P269" s="55"/>
      <c r="Q269" s="55"/>
      <c r="R269" s="55"/>
    </row>
    <row r="270" spans="1:18" s="2" customFormat="1" ht="18.95" customHeight="1">
      <c r="A270" s="55"/>
      <c r="B270" s="55"/>
      <c r="C270" s="55"/>
      <c r="D270" s="55"/>
      <c r="E270" s="55"/>
      <c r="F270" s="55"/>
      <c r="G270" s="55"/>
      <c r="H270" s="55"/>
      <c r="I270" s="55"/>
      <c r="J270" s="55"/>
      <c r="K270" s="55"/>
      <c r="L270" s="55"/>
      <c r="M270" s="55"/>
      <c r="N270" s="55"/>
      <c r="O270" s="55"/>
      <c r="P270" s="55"/>
      <c r="Q270" s="55"/>
      <c r="R270" s="55"/>
    </row>
    <row r="271" spans="1:18" s="2" customFormat="1" ht="18.95" customHeight="1">
      <c r="A271" s="55"/>
      <c r="B271" s="55"/>
      <c r="C271" s="55"/>
      <c r="D271" s="55"/>
      <c r="E271" s="55"/>
      <c r="F271" s="55"/>
      <c r="G271" s="55"/>
      <c r="H271" s="55"/>
      <c r="I271" s="55"/>
      <c r="J271" s="55"/>
      <c r="K271" s="55"/>
      <c r="L271" s="55"/>
      <c r="M271" s="55"/>
      <c r="N271" s="55"/>
      <c r="O271" s="55"/>
      <c r="P271" s="55"/>
      <c r="Q271" s="55"/>
      <c r="R271" s="55"/>
    </row>
    <row r="272" spans="1:18" s="2" customFormat="1" ht="18.95" customHeight="1">
      <c r="A272" s="55"/>
      <c r="B272" s="55"/>
      <c r="C272" s="55"/>
      <c r="D272" s="55"/>
      <c r="E272" s="55"/>
      <c r="F272" s="55"/>
      <c r="G272" s="55"/>
      <c r="H272" s="55"/>
      <c r="I272" s="55"/>
      <c r="J272" s="55"/>
      <c r="K272" s="55"/>
      <c r="L272" s="55"/>
      <c r="M272" s="55"/>
      <c r="N272" s="55"/>
      <c r="O272" s="55"/>
      <c r="P272" s="55"/>
      <c r="Q272" s="55"/>
      <c r="R272" s="55"/>
    </row>
    <row r="273" spans="1:18" s="2" customFormat="1" ht="18.95" customHeight="1">
      <c r="A273" s="55"/>
      <c r="B273" s="55"/>
      <c r="C273" s="55"/>
      <c r="D273" s="55"/>
      <c r="E273" s="55"/>
      <c r="F273" s="55"/>
      <c r="G273" s="55"/>
      <c r="H273" s="55"/>
      <c r="I273" s="55"/>
      <c r="J273" s="55"/>
      <c r="K273" s="55"/>
      <c r="L273" s="55"/>
      <c r="M273" s="55"/>
      <c r="N273" s="55"/>
      <c r="O273" s="55"/>
      <c r="P273" s="55"/>
      <c r="Q273" s="55"/>
      <c r="R273" s="55"/>
    </row>
    <row r="274" spans="1:18" s="2" customFormat="1" ht="18.95" customHeight="1">
      <c r="A274" s="55"/>
      <c r="B274" s="55"/>
      <c r="C274" s="55"/>
      <c r="D274" s="55"/>
      <c r="E274" s="55"/>
      <c r="F274" s="55"/>
      <c r="G274" s="55"/>
      <c r="H274" s="55"/>
      <c r="I274" s="55"/>
      <c r="J274" s="55"/>
      <c r="K274" s="55"/>
      <c r="L274" s="55"/>
      <c r="M274" s="55"/>
      <c r="N274" s="55"/>
      <c r="O274" s="55"/>
      <c r="P274" s="55"/>
      <c r="Q274" s="55"/>
      <c r="R274" s="55"/>
    </row>
    <row r="275" spans="1:18" ht="18.95" customHeight="1">
      <c r="A275" s="55"/>
      <c r="B275" s="55"/>
      <c r="C275" s="55"/>
      <c r="D275" s="55"/>
      <c r="E275" s="55"/>
      <c r="F275" s="55"/>
      <c r="G275" s="55"/>
      <c r="H275" s="55"/>
      <c r="I275" s="55"/>
      <c r="J275" s="55"/>
      <c r="K275" s="55"/>
      <c r="L275" s="48"/>
      <c r="M275" s="55"/>
      <c r="N275" s="55"/>
      <c r="O275" s="55"/>
      <c r="P275" s="55"/>
      <c r="Q275" s="55"/>
      <c r="R275" s="55"/>
    </row>
    <row r="276" spans="1:18" ht="18.95" customHeight="1">
      <c r="A276" s="55"/>
      <c r="B276" s="55"/>
      <c r="C276" s="55"/>
      <c r="D276" s="55"/>
      <c r="E276" s="55"/>
      <c r="F276" s="55"/>
      <c r="G276" s="55"/>
      <c r="H276" s="55"/>
      <c r="I276" s="55"/>
      <c r="J276" s="55"/>
      <c r="K276" s="55"/>
      <c r="L276" s="48"/>
      <c r="M276" s="55"/>
      <c r="N276" s="55"/>
      <c r="O276" s="55"/>
      <c r="P276" s="55"/>
      <c r="Q276" s="55"/>
      <c r="R276" s="55"/>
    </row>
    <row r="277" spans="1:18" ht="18.95" customHeight="1">
      <c r="A277" s="55"/>
      <c r="B277" s="55"/>
      <c r="C277" s="55"/>
      <c r="D277" s="55"/>
      <c r="E277" s="55"/>
      <c r="F277" s="55"/>
      <c r="G277" s="55"/>
      <c r="H277" s="55"/>
      <c r="I277" s="55"/>
      <c r="J277" s="55"/>
      <c r="K277" s="55"/>
      <c r="L277" s="48"/>
      <c r="M277" s="55"/>
      <c r="N277" s="55"/>
      <c r="O277" s="55"/>
      <c r="P277" s="55"/>
      <c r="Q277" s="55"/>
      <c r="R277" s="55"/>
    </row>
    <row r="278" spans="1:18" ht="18.95" customHeight="1">
      <c r="A278" s="55"/>
      <c r="B278" s="55"/>
      <c r="C278" s="55"/>
      <c r="D278" s="55"/>
      <c r="E278" s="55"/>
      <c r="F278" s="55"/>
      <c r="G278" s="55"/>
      <c r="H278" s="55"/>
      <c r="I278" s="55"/>
      <c r="J278" s="55"/>
      <c r="K278" s="55"/>
      <c r="L278" s="48"/>
      <c r="M278" s="55"/>
      <c r="N278" s="55"/>
      <c r="O278" s="55"/>
      <c r="P278" s="55"/>
      <c r="Q278" s="55"/>
      <c r="R278" s="55"/>
    </row>
    <row r="279" spans="1:18" ht="18.95" customHeight="1">
      <c r="A279" s="55"/>
      <c r="B279" s="55"/>
      <c r="C279" s="55"/>
      <c r="D279" s="55"/>
      <c r="E279" s="55"/>
      <c r="F279" s="55"/>
      <c r="G279" s="55"/>
      <c r="H279" s="55"/>
      <c r="I279" s="55"/>
      <c r="J279" s="55"/>
      <c r="K279" s="55"/>
      <c r="L279" s="48"/>
      <c r="M279" s="55"/>
      <c r="N279" s="55"/>
      <c r="O279" s="55"/>
      <c r="P279" s="55"/>
      <c r="Q279" s="55"/>
      <c r="R279" s="55"/>
    </row>
    <row r="280" spans="1:18" ht="18.95" customHeight="1">
      <c r="A280" s="55"/>
      <c r="B280" s="55"/>
      <c r="C280" s="55"/>
      <c r="D280" s="55"/>
      <c r="E280" s="55"/>
      <c r="F280" s="55"/>
      <c r="G280" s="55"/>
      <c r="H280" s="55"/>
      <c r="I280" s="55"/>
      <c r="J280" s="55"/>
      <c r="K280" s="55"/>
      <c r="L280" s="48"/>
      <c r="M280" s="55"/>
      <c r="N280" s="55"/>
      <c r="O280" s="55"/>
      <c r="P280" s="55"/>
      <c r="Q280" s="55"/>
      <c r="R280" s="55"/>
    </row>
    <row r="281" spans="1:18" ht="18.95" customHeight="1">
      <c r="A281" s="55"/>
      <c r="B281" s="55"/>
      <c r="C281" s="55"/>
      <c r="D281" s="55"/>
      <c r="E281" s="55"/>
      <c r="F281" s="55"/>
      <c r="G281" s="55"/>
      <c r="H281" s="55"/>
      <c r="I281" s="55"/>
      <c r="J281" s="55"/>
      <c r="K281" s="55"/>
      <c r="L281" s="48"/>
      <c r="M281" s="55"/>
      <c r="N281" s="55"/>
      <c r="O281" s="55"/>
      <c r="P281" s="55"/>
      <c r="Q281" s="55"/>
      <c r="R281" s="55"/>
    </row>
    <row r="282" spans="1:18" ht="18.95" customHeight="1">
      <c r="A282" s="55"/>
      <c r="B282" s="55"/>
      <c r="C282" s="55"/>
      <c r="D282" s="55"/>
      <c r="E282" s="55"/>
      <c r="F282" s="55"/>
      <c r="G282" s="55"/>
      <c r="H282" s="55"/>
      <c r="I282" s="55"/>
      <c r="J282" s="55"/>
      <c r="K282" s="55"/>
      <c r="L282" s="48"/>
      <c r="M282" s="55"/>
      <c r="N282" s="55"/>
      <c r="O282" s="55"/>
      <c r="P282" s="55"/>
      <c r="Q282" s="55"/>
      <c r="R282" s="55"/>
    </row>
    <row r="283" spans="1:18" ht="18.95" customHeight="1">
      <c r="A283" s="55"/>
      <c r="B283" s="55"/>
      <c r="C283" s="55"/>
      <c r="D283" s="55"/>
      <c r="E283" s="55"/>
      <c r="F283" s="55"/>
      <c r="G283" s="55"/>
      <c r="H283" s="55"/>
      <c r="I283" s="55"/>
      <c r="J283" s="55"/>
      <c r="K283" s="55"/>
      <c r="L283" s="48"/>
      <c r="M283" s="55"/>
      <c r="N283" s="55"/>
      <c r="O283" s="55"/>
      <c r="P283" s="55"/>
      <c r="Q283" s="55"/>
      <c r="R283" s="55"/>
    </row>
    <row r="284" spans="1:18" ht="18.95" customHeight="1">
      <c r="A284" s="55"/>
      <c r="B284" s="55"/>
      <c r="C284" s="55"/>
      <c r="D284" s="55"/>
      <c r="E284" s="55"/>
      <c r="F284" s="55"/>
      <c r="G284" s="55"/>
      <c r="H284" s="55"/>
      <c r="I284" s="55"/>
      <c r="J284" s="55"/>
      <c r="K284" s="55"/>
      <c r="L284" s="48"/>
      <c r="M284" s="55"/>
      <c r="N284" s="55"/>
      <c r="O284" s="55"/>
      <c r="P284" s="55"/>
      <c r="Q284" s="55"/>
      <c r="R284" s="55"/>
    </row>
    <row r="285" spans="1:18" ht="18.95" customHeight="1">
      <c r="A285" s="55"/>
      <c r="B285" s="55"/>
      <c r="C285" s="55"/>
      <c r="D285" s="55"/>
      <c r="E285" s="55"/>
      <c r="F285" s="55"/>
      <c r="G285" s="55"/>
      <c r="H285" s="55"/>
      <c r="I285" s="55"/>
      <c r="J285" s="55"/>
      <c r="K285" s="55"/>
      <c r="L285" s="48"/>
      <c r="M285" s="55"/>
      <c r="N285" s="55"/>
      <c r="O285" s="55"/>
      <c r="P285" s="55"/>
      <c r="Q285" s="55"/>
      <c r="R285" s="55"/>
    </row>
    <row r="286" spans="1:18" ht="18.95" customHeight="1">
      <c r="A286" s="55"/>
      <c r="B286" s="55"/>
      <c r="C286" s="55"/>
      <c r="D286" s="55"/>
      <c r="E286" s="55"/>
      <c r="F286" s="55"/>
      <c r="G286" s="55"/>
      <c r="H286" s="55"/>
      <c r="I286" s="55"/>
      <c r="J286" s="55"/>
      <c r="K286" s="55"/>
      <c r="L286" s="48"/>
      <c r="M286" s="55"/>
      <c r="N286" s="55"/>
      <c r="O286" s="55"/>
      <c r="P286" s="55"/>
      <c r="Q286" s="55"/>
      <c r="R286" s="55"/>
    </row>
    <row r="287" spans="1:18" ht="18.95" customHeight="1">
      <c r="A287" s="55"/>
      <c r="B287" s="55"/>
      <c r="C287" s="55"/>
      <c r="D287" s="55"/>
      <c r="E287" s="55"/>
      <c r="F287" s="55"/>
      <c r="G287" s="55"/>
      <c r="H287" s="55"/>
      <c r="I287" s="55"/>
      <c r="J287" s="55"/>
      <c r="K287" s="55"/>
      <c r="L287" s="48"/>
      <c r="M287" s="55"/>
      <c r="N287" s="55"/>
      <c r="O287" s="55"/>
      <c r="P287" s="55"/>
      <c r="Q287" s="55"/>
      <c r="R287" s="55"/>
    </row>
    <row r="288" spans="1:18" ht="18.95" customHeight="1">
      <c r="A288" s="55"/>
      <c r="B288" s="55"/>
      <c r="C288" s="55"/>
      <c r="D288" s="55"/>
      <c r="E288" s="55"/>
      <c r="F288" s="55"/>
      <c r="G288" s="55"/>
      <c r="H288" s="55"/>
      <c r="I288" s="55"/>
      <c r="J288" s="55"/>
      <c r="K288" s="55"/>
      <c r="L288" s="48"/>
      <c r="M288" s="55"/>
      <c r="N288" s="55"/>
      <c r="O288" s="55"/>
      <c r="P288" s="55"/>
      <c r="Q288" s="55"/>
      <c r="R288" s="55"/>
    </row>
    <row r="289" spans="1:18" ht="18.95" customHeight="1">
      <c r="A289" s="55"/>
      <c r="B289" s="55"/>
      <c r="C289" s="55"/>
      <c r="D289" s="55"/>
      <c r="E289" s="55"/>
      <c r="F289" s="55"/>
      <c r="G289" s="55"/>
      <c r="H289" s="55"/>
      <c r="I289" s="55"/>
      <c r="J289" s="55"/>
      <c r="K289" s="55"/>
      <c r="L289" s="48"/>
      <c r="M289" s="55"/>
      <c r="N289" s="55"/>
      <c r="O289" s="55"/>
      <c r="P289" s="55"/>
      <c r="Q289" s="55"/>
      <c r="R289" s="55"/>
    </row>
    <row r="290" spans="1:18" ht="18.95" customHeight="1">
      <c r="A290" s="55"/>
      <c r="B290" s="55"/>
      <c r="C290" s="55"/>
      <c r="D290" s="55"/>
      <c r="E290" s="55"/>
      <c r="F290" s="55"/>
      <c r="G290" s="55"/>
      <c r="H290" s="55"/>
      <c r="I290" s="55"/>
      <c r="J290" s="55"/>
      <c r="K290" s="55"/>
      <c r="L290" s="48"/>
      <c r="M290" s="55"/>
      <c r="N290" s="55"/>
      <c r="O290" s="55"/>
      <c r="P290" s="55"/>
      <c r="Q290" s="55"/>
      <c r="R290" s="55"/>
    </row>
    <row r="291" spans="1:18" ht="18.95" customHeight="1">
      <c r="A291" s="55"/>
      <c r="B291" s="55"/>
      <c r="C291" s="55"/>
      <c r="D291" s="55"/>
      <c r="E291" s="55"/>
      <c r="F291" s="55"/>
      <c r="G291" s="55"/>
      <c r="H291" s="55"/>
      <c r="I291" s="55"/>
      <c r="J291" s="55"/>
      <c r="K291" s="55"/>
      <c r="L291" s="48"/>
      <c r="M291" s="55"/>
      <c r="N291" s="55"/>
      <c r="O291" s="55"/>
      <c r="P291" s="55"/>
      <c r="Q291" s="55"/>
      <c r="R291" s="55"/>
    </row>
    <row r="292" spans="1:18" ht="18.95" customHeight="1">
      <c r="A292" s="55"/>
      <c r="B292" s="55"/>
      <c r="C292" s="55"/>
      <c r="D292" s="55"/>
      <c r="E292" s="55"/>
      <c r="F292" s="55"/>
      <c r="G292" s="55"/>
      <c r="H292" s="55"/>
      <c r="I292" s="55"/>
      <c r="J292" s="55"/>
      <c r="K292" s="55"/>
      <c r="L292" s="48"/>
      <c r="M292" s="55"/>
      <c r="N292" s="55"/>
      <c r="O292" s="55"/>
      <c r="P292" s="55"/>
      <c r="Q292" s="55"/>
      <c r="R292" s="55"/>
    </row>
    <row r="293" spans="1:18" ht="18.95" customHeight="1">
      <c r="A293" s="55"/>
      <c r="B293" s="55"/>
      <c r="C293" s="55"/>
      <c r="D293" s="55"/>
      <c r="E293" s="55"/>
      <c r="F293" s="55"/>
      <c r="G293" s="55"/>
      <c r="H293" s="55"/>
      <c r="I293" s="55"/>
      <c r="J293" s="55"/>
      <c r="K293" s="55"/>
      <c r="L293" s="48"/>
      <c r="M293" s="55"/>
      <c r="N293" s="55"/>
      <c r="O293" s="55"/>
      <c r="P293" s="55"/>
      <c r="Q293" s="55"/>
      <c r="R293" s="55"/>
    </row>
    <row r="294" spans="1:18" ht="18.95" customHeight="1">
      <c r="A294" s="55"/>
      <c r="B294" s="55"/>
      <c r="C294" s="55"/>
      <c r="D294" s="55"/>
      <c r="E294" s="55"/>
      <c r="F294" s="55"/>
      <c r="G294" s="55"/>
      <c r="H294" s="55"/>
      <c r="I294" s="55"/>
      <c r="J294" s="55"/>
      <c r="K294" s="55"/>
      <c r="L294" s="48"/>
      <c r="M294" s="55"/>
      <c r="N294" s="55"/>
      <c r="O294" s="55"/>
      <c r="P294" s="55"/>
      <c r="Q294" s="55"/>
      <c r="R294" s="55"/>
    </row>
    <row r="295" spans="1:18" ht="18.95" customHeight="1">
      <c r="A295" s="55"/>
      <c r="B295" s="55"/>
      <c r="C295" s="55"/>
      <c r="D295" s="55"/>
      <c r="E295" s="55"/>
      <c r="F295" s="55"/>
      <c r="G295" s="55"/>
      <c r="H295" s="55"/>
      <c r="I295" s="55"/>
      <c r="J295" s="55"/>
      <c r="K295" s="55"/>
      <c r="L295" s="48"/>
      <c r="M295" s="55"/>
      <c r="N295" s="55"/>
      <c r="O295" s="55"/>
      <c r="P295" s="55"/>
      <c r="Q295" s="55"/>
      <c r="R295" s="55"/>
    </row>
    <row r="296" spans="1:18" ht="18.95" customHeight="1">
      <c r="A296" s="55"/>
      <c r="B296" s="55"/>
      <c r="C296" s="55"/>
      <c r="D296" s="55"/>
      <c r="E296" s="55"/>
      <c r="F296" s="55"/>
      <c r="G296" s="55"/>
      <c r="H296" s="55"/>
      <c r="I296" s="55"/>
      <c r="J296" s="55"/>
      <c r="K296" s="55"/>
      <c r="L296" s="48"/>
      <c r="M296" s="55"/>
      <c r="N296" s="55"/>
      <c r="O296" s="55"/>
      <c r="P296" s="55"/>
      <c r="Q296" s="55"/>
      <c r="R296" s="55"/>
    </row>
    <row r="297" spans="1:18" ht="18.95" customHeight="1">
      <c r="A297" s="55"/>
      <c r="B297" s="55"/>
      <c r="C297" s="55"/>
      <c r="D297" s="55"/>
      <c r="E297" s="55"/>
      <c r="F297" s="55"/>
      <c r="G297" s="55"/>
      <c r="H297" s="55"/>
      <c r="I297" s="55"/>
      <c r="J297" s="55"/>
      <c r="K297" s="55"/>
      <c r="L297" s="48"/>
      <c r="M297" s="55"/>
      <c r="N297" s="55"/>
      <c r="O297" s="55"/>
      <c r="P297" s="55"/>
      <c r="Q297" s="55"/>
      <c r="R297" s="55"/>
    </row>
    <row r="298" spans="1:18" ht="18.95" customHeight="1">
      <c r="A298" s="55"/>
      <c r="B298" s="55"/>
      <c r="C298" s="55"/>
      <c r="D298" s="55"/>
      <c r="E298" s="55"/>
      <c r="F298" s="55"/>
      <c r="G298" s="55"/>
      <c r="H298" s="55"/>
      <c r="I298" s="55"/>
      <c r="J298" s="55"/>
      <c r="K298" s="55"/>
      <c r="L298" s="48"/>
      <c r="M298" s="55"/>
      <c r="N298" s="55"/>
      <c r="O298" s="55"/>
      <c r="P298" s="55"/>
      <c r="Q298" s="55"/>
      <c r="R298" s="55"/>
    </row>
    <row r="299" spans="1:18" ht="18.95" customHeight="1">
      <c r="A299" s="55"/>
      <c r="B299" s="55"/>
      <c r="C299" s="55"/>
      <c r="D299" s="55"/>
      <c r="E299" s="55"/>
      <c r="F299" s="55"/>
      <c r="G299" s="55"/>
      <c r="H299" s="55"/>
      <c r="I299" s="55"/>
      <c r="J299" s="55"/>
      <c r="K299" s="55"/>
      <c r="L299" s="48"/>
      <c r="M299" s="55"/>
      <c r="N299" s="55"/>
      <c r="O299" s="55"/>
      <c r="P299" s="55"/>
      <c r="Q299" s="55"/>
      <c r="R299" s="55"/>
    </row>
    <row r="300" spans="1:18" ht="18.95" customHeight="1">
      <c r="A300" s="55"/>
      <c r="B300" s="55"/>
      <c r="C300" s="55"/>
      <c r="D300" s="55"/>
      <c r="E300" s="55"/>
      <c r="F300" s="55"/>
      <c r="G300" s="55"/>
      <c r="H300" s="55"/>
      <c r="I300" s="55"/>
      <c r="J300" s="55"/>
      <c r="K300" s="55"/>
      <c r="L300" s="48"/>
      <c r="M300" s="55"/>
      <c r="N300" s="55"/>
      <c r="O300" s="55"/>
      <c r="P300" s="55"/>
      <c r="Q300" s="55"/>
      <c r="R300" s="55"/>
    </row>
    <row r="301" spans="1:18" ht="18.95" customHeight="1">
      <c r="A301" s="55"/>
      <c r="B301" s="55"/>
      <c r="C301" s="55"/>
      <c r="D301" s="55"/>
      <c r="E301" s="55"/>
      <c r="F301" s="55"/>
      <c r="G301" s="55"/>
      <c r="H301" s="55"/>
      <c r="I301" s="55"/>
      <c r="J301" s="55"/>
      <c r="K301" s="55"/>
      <c r="L301" s="48"/>
      <c r="M301" s="55"/>
      <c r="N301" s="55"/>
      <c r="O301" s="55"/>
      <c r="P301" s="55"/>
      <c r="Q301" s="55"/>
      <c r="R301" s="55"/>
    </row>
    <row r="302" spans="1:18" ht="18.95" customHeight="1">
      <c r="A302" s="55"/>
      <c r="B302" s="55"/>
      <c r="C302" s="55"/>
      <c r="D302" s="55"/>
      <c r="E302" s="55"/>
      <c r="F302" s="55"/>
      <c r="G302" s="55"/>
      <c r="H302" s="55"/>
      <c r="I302" s="55"/>
      <c r="J302" s="55"/>
      <c r="K302" s="55"/>
      <c r="L302" s="48"/>
      <c r="M302" s="55"/>
      <c r="N302" s="55"/>
      <c r="O302" s="55"/>
      <c r="P302" s="55"/>
      <c r="Q302" s="55"/>
      <c r="R302" s="55"/>
    </row>
    <row r="303" spans="1:18" ht="18.95" customHeight="1">
      <c r="A303" s="55"/>
      <c r="B303" s="55"/>
      <c r="C303" s="55"/>
      <c r="D303" s="55"/>
      <c r="E303" s="55"/>
      <c r="F303" s="55"/>
      <c r="G303" s="55"/>
      <c r="H303" s="55"/>
      <c r="I303" s="55"/>
      <c r="J303" s="55"/>
      <c r="K303" s="55"/>
      <c r="L303" s="48"/>
      <c r="M303" s="55"/>
      <c r="N303" s="55"/>
      <c r="O303" s="55"/>
      <c r="P303" s="55"/>
      <c r="Q303" s="55"/>
      <c r="R303" s="55"/>
    </row>
    <row r="304" spans="1:18" ht="18.95" customHeight="1">
      <c r="A304" s="55"/>
      <c r="B304" s="55"/>
      <c r="C304" s="55"/>
      <c r="D304" s="55"/>
      <c r="E304" s="55"/>
      <c r="F304" s="55"/>
      <c r="G304" s="55"/>
      <c r="H304" s="55"/>
      <c r="I304" s="55"/>
      <c r="J304" s="55"/>
      <c r="K304" s="55"/>
      <c r="L304" s="48"/>
      <c r="M304" s="55"/>
      <c r="N304" s="55"/>
      <c r="O304" s="55"/>
      <c r="P304" s="55"/>
      <c r="Q304" s="55"/>
      <c r="R304" s="55"/>
    </row>
    <row r="305" spans="1:18" ht="18.95" customHeight="1">
      <c r="A305" s="55"/>
      <c r="B305" s="55"/>
      <c r="C305" s="55"/>
      <c r="D305" s="55"/>
      <c r="E305" s="55"/>
      <c r="F305" s="55"/>
      <c r="G305" s="55"/>
      <c r="H305" s="55"/>
      <c r="I305" s="55"/>
      <c r="J305" s="55"/>
      <c r="K305" s="55"/>
      <c r="L305" s="48"/>
      <c r="M305" s="55"/>
      <c r="N305" s="55"/>
      <c r="O305" s="55"/>
      <c r="P305" s="55"/>
      <c r="Q305" s="55"/>
      <c r="R305" s="55"/>
    </row>
    <row r="306" spans="1:18" ht="18.95" customHeight="1">
      <c r="A306" s="55"/>
      <c r="B306" s="55"/>
      <c r="C306" s="55"/>
      <c r="D306" s="55"/>
      <c r="E306" s="55"/>
      <c r="F306" s="55"/>
      <c r="G306" s="55"/>
      <c r="H306" s="55"/>
      <c r="I306" s="55"/>
      <c r="J306" s="55"/>
      <c r="K306" s="55"/>
      <c r="L306" s="48"/>
      <c r="M306" s="55"/>
      <c r="N306" s="55"/>
      <c r="O306" s="55"/>
      <c r="P306" s="55"/>
      <c r="Q306" s="55"/>
      <c r="R306" s="55"/>
    </row>
    <row r="307" spans="1:18" ht="18.95" customHeight="1">
      <c r="A307" s="55"/>
      <c r="B307" s="55"/>
      <c r="C307" s="55"/>
      <c r="D307" s="55"/>
      <c r="E307" s="55"/>
      <c r="F307" s="55"/>
      <c r="G307" s="55"/>
      <c r="H307" s="55"/>
      <c r="I307" s="55"/>
      <c r="J307" s="55"/>
      <c r="K307" s="55"/>
      <c r="L307" s="48"/>
      <c r="M307" s="55"/>
      <c r="N307" s="55"/>
      <c r="O307" s="55"/>
      <c r="P307" s="55"/>
      <c r="Q307" s="55"/>
      <c r="R307" s="55"/>
    </row>
    <row r="308" spans="1:18" ht="18.95" customHeight="1">
      <c r="A308" s="55"/>
      <c r="B308" s="55"/>
      <c r="C308" s="55"/>
      <c r="D308" s="55"/>
      <c r="E308" s="55"/>
      <c r="F308" s="55"/>
      <c r="G308" s="55"/>
      <c r="H308" s="55"/>
      <c r="I308" s="55"/>
      <c r="J308" s="55"/>
      <c r="K308" s="55"/>
      <c r="L308" s="48"/>
      <c r="M308" s="55"/>
      <c r="N308" s="55"/>
      <c r="O308" s="55"/>
      <c r="P308" s="55"/>
      <c r="Q308" s="55"/>
      <c r="R308" s="55"/>
    </row>
    <row r="309" spans="1:18" ht="18.95" customHeight="1">
      <c r="A309" s="55"/>
      <c r="B309" s="55"/>
      <c r="C309" s="55"/>
      <c r="D309" s="55"/>
      <c r="E309" s="55"/>
      <c r="F309" s="55"/>
      <c r="G309" s="55"/>
      <c r="H309" s="55"/>
      <c r="I309" s="55"/>
      <c r="J309" s="55"/>
      <c r="K309" s="55"/>
      <c r="L309" s="48"/>
      <c r="M309" s="55"/>
      <c r="N309" s="55"/>
      <c r="O309" s="55"/>
      <c r="P309" s="55"/>
      <c r="Q309" s="55"/>
      <c r="R309" s="55"/>
    </row>
    <row r="310" spans="1:18" ht="18.95" customHeight="1">
      <c r="A310" s="55"/>
      <c r="B310" s="55"/>
      <c r="C310" s="55"/>
      <c r="D310" s="55"/>
      <c r="E310" s="55"/>
      <c r="F310" s="55"/>
      <c r="G310" s="55"/>
      <c r="H310" s="55"/>
      <c r="I310" s="55"/>
      <c r="J310" s="55"/>
      <c r="K310" s="55"/>
      <c r="L310" s="48"/>
      <c r="M310" s="55"/>
      <c r="N310" s="55"/>
      <c r="O310" s="55"/>
      <c r="P310" s="55"/>
      <c r="Q310" s="55"/>
      <c r="R310" s="55"/>
    </row>
    <row r="311" spans="1:18" ht="18.95" customHeight="1">
      <c r="A311" s="55"/>
      <c r="B311" s="55"/>
      <c r="C311" s="55"/>
      <c r="D311" s="55"/>
      <c r="E311" s="55"/>
      <c r="F311" s="55"/>
      <c r="G311" s="55"/>
      <c r="H311" s="55"/>
      <c r="I311" s="55"/>
      <c r="J311" s="55"/>
      <c r="K311" s="55"/>
      <c r="L311" s="48"/>
      <c r="M311" s="55"/>
      <c r="N311" s="55"/>
      <c r="O311" s="55"/>
      <c r="P311" s="55"/>
      <c r="Q311" s="55"/>
      <c r="R311" s="55"/>
    </row>
    <row r="312" spans="1:18" ht="18.95" customHeight="1">
      <c r="A312" s="55"/>
      <c r="B312" s="55"/>
      <c r="C312" s="55"/>
      <c r="D312" s="55"/>
      <c r="E312" s="55"/>
      <c r="F312" s="55"/>
      <c r="G312" s="55"/>
      <c r="H312" s="55"/>
      <c r="I312" s="55"/>
      <c r="J312" s="55"/>
      <c r="K312" s="55"/>
      <c r="L312" s="48"/>
      <c r="M312" s="55"/>
      <c r="N312" s="55"/>
      <c r="O312" s="55"/>
      <c r="P312" s="55"/>
      <c r="Q312" s="55"/>
      <c r="R312" s="55"/>
    </row>
    <row r="313" spans="1:18" ht="18.95" customHeight="1">
      <c r="A313" s="55"/>
      <c r="B313" s="55"/>
      <c r="C313" s="55"/>
      <c r="D313" s="55"/>
      <c r="E313" s="55"/>
      <c r="F313" s="55"/>
      <c r="G313" s="55"/>
      <c r="H313" s="55"/>
      <c r="I313" s="55"/>
      <c r="J313" s="55"/>
      <c r="K313" s="55"/>
      <c r="L313" s="48"/>
      <c r="M313" s="55"/>
      <c r="N313" s="55"/>
      <c r="O313" s="55"/>
      <c r="P313" s="55"/>
      <c r="Q313" s="55"/>
      <c r="R313" s="55"/>
    </row>
    <row r="314" spans="1:18" ht="18.95" customHeight="1">
      <c r="A314" s="55"/>
      <c r="B314" s="55"/>
      <c r="C314" s="55"/>
      <c r="D314" s="55"/>
      <c r="E314" s="55"/>
      <c r="F314" s="55"/>
      <c r="G314" s="55"/>
      <c r="H314" s="55"/>
      <c r="I314" s="55"/>
      <c r="J314" s="55"/>
      <c r="K314" s="55"/>
      <c r="L314" s="48"/>
      <c r="M314" s="55"/>
      <c r="N314" s="55"/>
      <c r="O314" s="55"/>
      <c r="P314" s="55"/>
      <c r="Q314" s="55"/>
      <c r="R314" s="55"/>
    </row>
    <row r="315" spans="1:18" ht="18.95" customHeight="1">
      <c r="A315" s="55"/>
      <c r="B315" s="55"/>
      <c r="C315" s="55"/>
      <c r="D315" s="55"/>
      <c r="E315" s="55"/>
      <c r="F315" s="55"/>
      <c r="G315" s="55"/>
      <c r="H315" s="55"/>
      <c r="I315" s="55"/>
      <c r="J315" s="55"/>
      <c r="K315" s="55"/>
      <c r="L315" s="48"/>
      <c r="M315" s="55"/>
      <c r="N315" s="55"/>
      <c r="O315" s="55"/>
      <c r="P315" s="55"/>
      <c r="Q315" s="55"/>
      <c r="R315" s="55"/>
    </row>
    <row r="316" spans="1:18" ht="18.95" customHeight="1">
      <c r="A316" s="55"/>
      <c r="B316" s="55"/>
      <c r="C316" s="55"/>
      <c r="D316" s="55"/>
      <c r="E316" s="55"/>
      <c r="F316" s="55"/>
      <c r="G316" s="55"/>
      <c r="H316" s="55"/>
      <c r="I316" s="55"/>
      <c r="J316" s="55"/>
      <c r="K316" s="55"/>
      <c r="L316" s="48"/>
      <c r="M316" s="55"/>
      <c r="N316" s="55"/>
      <c r="O316" s="55"/>
      <c r="P316" s="55"/>
      <c r="Q316" s="55"/>
      <c r="R316" s="55"/>
    </row>
    <row r="317" spans="1:18" ht="18.95" customHeight="1">
      <c r="A317" s="55"/>
      <c r="B317" s="55"/>
      <c r="C317" s="55"/>
      <c r="D317" s="55"/>
      <c r="E317" s="55"/>
      <c r="F317" s="55"/>
      <c r="G317" s="55"/>
      <c r="H317" s="55"/>
      <c r="I317" s="55"/>
      <c r="J317" s="55"/>
      <c r="K317" s="55"/>
      <c r="L317" s="48"/>
      <c r="M317" s="55"/>
      <c r="N317" s="55"/>
      <c r="O317" s="55"/>
      <c r="P317" s="55"/>
      <c r="Q317" s="55"/>
      <c r="R317" s="55"/>
    </row>
    <row r="318" spans="1:18" ht="18.95" customHeight="1">
      <c r="A318" s="55"/>
      <c r="B318" s="55"/>
      <c r="C318" s="55"/>
      <c r="D318" s="55"/>
      <c r="E318" s="55"/>
      <c r="F318" s="55"/>
      <c r="G318" s="55"/>
      <c r="H318" s="55"/>
      <c r="I318" s="55"/>
      <c r="J318" s="55"/>
      <c r="K318" s="55"/>
      <c r="L318" s="48"/>
      <c r="M318" s="55"/>
      <c r="N318" s="55"/>
      <c r="O318" s="55"/>
      <c r="P318" s="55"/>
      <c r="Q318" s="55"/>
      <c r="R318" s="55"/>
    </row>
    <row r="319" spans="1:18" ht="18.95" customHeight="1">
      <c r="A319" s="55"/>
      <c r="B319" s="55"/>
      <c r="C319" s="55"/>
      <c r="D319" s="55"/>
      <c r="E319" s="55"/>
      <c r="F319" s="55"/>
      <c r="G319" s="55"/>
      <c r="H319" s="55"/>
      <c r="I319" s="55"/>
      <c r="J319" s="55"/>
      <c r="K319" s="55"/>
      <c r="L319" s="48"/>
      <c r="M319" s="55"/>
      <c r="N319" s="55"/>
      <c r="O319" s="55"/>
      <c r="P319" s="55"/>
      <c r="Q319" s="55"/>
      <c r="R319" s="55"/>
    </row>
    <row r="320" spans="1:18" ht="18.95" customHeight="1">
      <c r="A320" s="55"/>
      <c r="B320" s="55"/>
      <c r="C320" s="55"/>
      <c r="D320" s="55"/>
      <c r="E320" s="55"/>
      <c r="F320" s="55"/>
      <c r="G320" s="55"/>
      <c r="H320" s="55"/>
      <c r="I320" s="55"/>
      <c r="J320" s="55"/>
      <c r="K320" s="55"/>
      <c r="L320" s="48"/>
      <c r="M320" s="55"/>
      <c r="N320" s="55"/>
      <c r="O320" s="55"/>
      <c r="P320" s="55"/>
      <c r="Q320" s="55"/>
      <c r="R320" s="55"/>
    </row>
    <row r="321" spans="1:18" ht="18.95" customHeight="1">
      <c r="A321" s="55"/>
      <c r="B321" s="55"/>
      <c r="C321" s="55"/>
      <c r="D321" s="55"/>
      <c r="E321" s="55"/>
      <c r="F321" s="55"/>
      <c r="G321" s="55"/>
      <c r="H321" s="55"/>
      <c r="I321" s="55"/>
      <c r="J321" s="55"/>
      <c r="K321" s="55"/>
      <c r="L321" s="48"/>
      <c r="M321" s="55"/>
      <c r="N321" s="55"/>
      <c r="O321" s="55"/>
      <c r="P321" s="55"/>
      <c r="Q321" s="55"/>
      <c r="R321" s="55"/>
    </row>
    <row r="322" spans="1:18" ht="18.95" customHeight="1">
      <c r="A322" s="55"/>
      <c r="B322" s="55"/>
      <c r="C322" s="55"/>
      <c r="D322" s="55"/>
      <c r="E322" s="55"/>
      <c r="F322" s="55"/>
      <c r="G322" s="55"/>
      <c r="H322" s="55"/>
      <c r="I322" s="55"/>
      <c r="J322" s="55"/>
      <c r="K322" s="55"/>
      <c r="L322" s="48"/>
      <c r="M322" s="55"/>
      <c r="N322" s="55"/>
      <c r="O322" s="55"/>
      <c r="P322" s="55"/>
      <c r="Q322" s="55"/>
      <c r="R322" s="55"/>
    </row>
    <row r="323" spans="1:18" ht="18.95" customHeight="1">
      <c r="A323" s="55"/>
      <c r="B323" s="55"/>
      <c r="C323" s="55"/>
      <c r="D323" s="55"/>
      <c r="E323" s="55"/>
      <c r="F323" s="55"/>
      <c r="G323" s="55"/>
      <c r="H323" s="55"/>
      <c r="I323" s="55"/>
      <c r="J323" s="55"/>
      <c r="K323" s="55"/>
      <c r="L323" s="48"/>
      <c r="M323" s="55"/>
      <c r="N323" s="55"/>
      <c r="O323" s="55"/>
      <c r="P323" s="55"/>
      <c r="Q323" s="55"/>
      <c r="R323" s="55"/>
    </row>
    <row r="324" spans="1:18" ht="18.95" customHeight="1">
      <c r="A324" s="55"/>
      <c r="B324" s="55"/>
      <c r="C324" s="55"/>
      <c r="D324" s="55"/>
      <c r="E324" s="55"/>
      <c r="F324" s="55"/>
      <c r="G324" s="55"/>
      <c r="H324" s="55"/>
      <c r="I324" s="55"/>
      <c r="J324" s="55"/>
      <c r="K324" s="55"/>
      <c r="L324" s="48"/>
      <c r="M324" s="55"/>
      <c r="N324" s="55"/>
      <c r="O324" s="55"/>
      <c r="P324" s="55"/>
      <c r="Q324" s="55"/>
      <c r="R324" s="55"/>
    </row>
    <row r="325" spans="1:18" ht="18.95" customHeight="1">
      <c r="A325" s="55"/>
      <c r="B325" s="55"/>
      <c r="C325" s="55"/>
      <c r="D325" s="55"/>
      <c r="E325" s="55"/>
      <c r="F325" s="55"/>
      <c r="G325" s="55"/>
      <c r="H325" s="55"/>
      <c r="I325" s="55"/>
      <c r="J325" s="55"/>
      <c r="K325" s="55"/>
      <c r="L325" s="48"/>
      <c r="M325" s="55"/>
      <c r="N325" s="55"/>
      <c r="O325" s="55"/>
      <c r="P325" s="55"/>
      <c r="Q325" s="55"/>
      <c r="R325" s="55"/>
    </row>
    <row r="326" spans="1:18" ht="18.95" customHeight="1">
      <c r="A326" s="55"/>
      <c r="B326" s="55"/>
      <c r="C326" s="55"/>
      <c r="D326" s="55"/>
      <c r="E326" s="55"/>
      <c r="F326" s="55"/>
      <c r="G326" s="55"/>
      <c r="H326" s="55"/>
      <c r="I326" s="55"/>
      <c r="J326" s="55"/>
      <c r="K326" s="55"/>
      <c r="L326" s="48"/>
      <c r="M326" s="55"/>
      <c r="N326" s="55"/>
      <c r="O326" s="55"/>
      <c r="P326" s="55"/>
      <c r="Q326" s="55"/>
      <c r="R326" s="55"/>
    </row>
    <row r="327" spans="1:18" ht="18.95" customHeight="1">
      <c r="A327" s="55"/>
      <c r="B327" s="55"/>
      <c r="C327" s="55"/>
      <c r="D327" s="55"/>
      <c r="E327" s="55"/>
      <c r="F327" s="55"/>
      <c r="G327" s="55"/>
      <c r="H327" s="55"/>
      <c r="I327" s="55"/>
      <c r="J327" s="55"/>
      <c r="K327" s="55"/>
      <c r="L327" s="48"/>
      <c r="M327" s="55"/>
      <c r="N327" s="55"/>
      <c r="O327" s="55"/>
      <c r="P327" s="55"/>
      <c r="Q327" s="55"/>
      <c r="R327" s="55"/>
    </row>
    <row r="328" spans="1:18" ht="18.95" customHeight="1">
      <c r="A328" s="55"/>
      <c r="B328" s="55"/>
      <c r="C328" s="55"/>
      <c r="D328" s="55"/>
      <c r="E328" s="55"/>
      <c r="F328" s="55"/>
      <c r="G328" s="55"/>
      <c r="H328" s="55"/>
      <c r="I328" s="55"/>
      <c r="J328" s="55"/>
      <c r="K328" s="55"/>
      <c r="L328" s="48"/>
      <c r="M328" s="55"/>
      <c r="N328" s="55"/>
      <c r="O328" s="55"/>
      <c r="P328" s="55"/>
      <c r="Q328" s="55"/>
      <c r="R328" s="55"/>
    </row>
    <row r="329" spans="1:18" ht="18.95" customHeight="1">
      <c r="A329" s="55"/>
      <c r="B329" s="55"/>
      <c r="C329" s="55"/>
      <c r="D329" s="55"/>
      <c r="E329" s="55"/>
      <c r="F329" s="55"/>
      <c r="G329" s="55"/>
      <c r="H329" s="55"/>
      <c r="I329" s="55"/>
      <c r="J329" s="55"/>
      <c r="K329" s="55"/>
      <c r="L329" s="48"/>
      <c r="M329" s="55"/>
      <c r="N329" s="55"/>
      <c r="O329" s="55"/>
      <c r="P329" s="55"/>
      <c r="Q329" s="55"/>
      <c r="R329" s="55"/>
    </row>
    <row r="330" spans="1:18" ht="18.95" customHeight="1">
      <c r="A330" s="55"/>
      <c r="B330" s="55"/>
      <c r="C330" s="55"/>
      <c r="D330" s="55"/>
      <c r="E330" s="55"/>
      <c r="F330" s="55"/>
      <c r="G330" s="55"/>
      <c r="H330" s="55"/>
      <c r="I330" s="55"/>
      <c r="J330" s="55"/>
      <c r="K330" s="55"/>
      <c r="L330" s="48"/>
      <c r="M330" s="55"/>
      <c r="N330" s="55"/>
      <c r="O330" s="55"/>
      <c r="P330" s="55"/>
      <c r="Q330" s="55"/>
      <c r="R330" s="55"/>
    </row>
    <row r="331" spans="1:18" ht="18.95" customHeight="1">
      <c r="A331" s="55"/>
      <c r="B331" s="55"/>
      <c r="C331" s="55"/>
      <c r="D331" s="55"/>
      <c r="E331" s="55"/>
      <c r="F331" s="55"/>
      <c r="G331" s="55"/>
      <c r="H331" s="55"/>
      <c r="I331" s="55"/>
      <c r="J331" s="55"/>
      <c r="K331" s="55"/>
      <c r="L331" s="48"/>
      <c r="M331" s="55"/>
      <c r="N331" s="55"/>
      <c r="O331" s="55"/>
      <c r="P331" s="55"/>
      <c r="Q331" s="55"/>
      <c r="R331" s="55"/>
    </row>
    <row r="332" spans="1:18" ht="18.95" customHeight="1">
      <c r="A332" s="55"/>
      <c r="B332" s="55"/>
      <c r="C332" s="55"/>
      <c r="D332" s="55"/>
      <c r="E332" s="55"/>
      <c r="F332" s="55"/>
      <c r="G332" s="55"/>
      <c r="H332" s="55"/>
      <c r="I332" s="55"/>
      <c r="J332" s="55"/>
      <c r="K332" s="55"/>
      <c r="L332" s="48"/>
      <c r="M332" s="55"/>
      <c r="N332" s="55"/>
      <c r="O332" s="55"/>
      <c r="P332" s="55"/>
      <c r="Q332" s="55"/>
      <c r="R332" s="55"/>
    </row>
    <row r="333" spans="1:18" ht="18.95" customHeight="1">
      <c r="A333" s="55"/>
      <c r="B333" s="55"/>
      <c r="C333" s="55"/>
      <c r="D333" s="55"/>
      <c r="E333" s="55"/>
      <c r="F333" s="55"/>
      <c r="G333" s="55"/>
      <c r="H333" s="55"/>
      <c r="I333" s="55"/>
      <c r="J333" s="55"/>
      <c r="K333" s="55"/>
      <c r="L333" s="48"/>
      <c r="M333" s="55"/>
      <c r="N333" s="55"/>
      <c r="O333" s="55"/>
      <c r="P333" s="55"/>
      <c r="Q333" s="55"/>
      <c r="R333" s="55"/>
    </row>
    <row r="334" spans="1:18" ht="18.95" customHeight="1">
      <c r="A334" s="55"/>
      <c r="B334" s="55"/>
      <c r="C334" s="55"/>
      <c r="D334" s="55"/>
      <c r="E334" s="55"/>
      <c r="F334" s="55"/>
      <c r="G334" s="55"/>
      <c r="H334" s="55"/>
      <c r="I334" s="55"/>
      <c r="J334" s="55"/>
      <c r="K334" s="55"/>
      <c r="L334" s="48"/>
      <c r="M334" s="55"/>
      <c r="N334" s="55"/>
      <c r="O334" s="55"/>
      <c r="P334" s="55"/>
      <c r="Q334" s="55"/>
      <c r="R334" s="55"/>
    </row>
    <row r="335" spans="1:18" ht="18.95" customHeight="1">
      <c r="A335" s="55"/>
      <c r="B335" s="55"/>
      <c r="C335" s="55"/>
      <c r="D335" s="55"/>
      <c r="E335" s="55"/>
      <c r="F335" s="55"/>
      <c r="G335" s="55"/>
      <c r="H335" s="55"/>
      <c r="I335" s="55"/>
      <c r="J335" s="55"/>
      <c r="K335" s="55"/>
      <c r="L335" s="48"/>
      <c r="M335" s="55"/>
      <c r="N335" s="55"/>
      <c r="O335" s="55"/>
      <c r="P335" s="55"/>
      <c r="Q335" s="55"/>
      <c r="R335" s="55"/>
    </row>
    <row r="336" spans="1:18" ht="18.95" customHeight="1">
      <c r="A336" s="55"/>
      <c r="B336" s="55"/>
      <c r="C336" s="55"/>
      <c r="D336" s="55"/>
      <c r="E336" s="55"/>
      <c r="F336" s="55"/>
      <c r="G336" s="55"/>
      <c r="H336" s="55"/>
      <c r="I336" s="55"/>
      <c r="J336" s="55"/>
      <c r="K336" s="55"/>
      <c r="L336" s="48"/>
      <c r="M336" s="55"/>
      <c r="N336" s="55"/>
      <c r="O336" s="55"/>
      <c r="P336" s="55"/>
      <c r="Q336" s="55"/>
      <c r="R336" s="55"/>
    </row>
    <row r="337" spans="1:18" ht="18.95" customHeight="1">
      <c r="A337" s="55"/>
      <c r="B337" s="55"/>
      <c r="C337" s="55"/>
      <c r="D337" s="55"/>
      <c r="E337" s="55"/>
      <c r="F337" s="55"/>
      <c r="G337" s="55"/>
      <c r="H337" s="55"/>
      <c r="I337" s="55"/>
      <c r="J337" s="55"/>
      <c r="K337" s="55"/>
      <c r="L337" s="48"/>
      <c r="M337" s="55"/>
      <c r="N337" s="55"/>
      <c r="O337" s="55"/>
      <c r="P337" s="55"/>
      <c r="Q337" s="55"/>
      <c r="R337" s="55"/>
    </row>
    <row r="338" spans="1:18" ht="18.95" customHeight="1">
      <c r="A338" s="55"/>
      <c r="B338" s="55"/>
      <c r="C338" s="55"/>
      <c r="D338" s="55"/>
      <c r="E338" s="55"/>
      <c r="F338" s="55"/>
      <c r="G338" s="55"/>
      <c r="H338" s="55"/>
      <c r="I338" s="55"/>
      <c r="J338" s="55"/>
      <c r="K338" s="55"/>
      <c r="L338" s="48"/>
      <c r="M338" s="55"/>
      <c r="N338" s="55"/>
      <c r="O338" s="55"/>
      <c r="P338" s="55"/>
      <c r="Q338" s="55"/>
      <c r="R338" s="55"/>
    </row>
    <row r="339" spans="1:18" ht="18.95" customHeight="1">
      <c r="A339" s="55"/>
      <c r="B339" s="55"/>
      <c r="C339" s="55"/>
      <c r="D339" s="55"/>
      <c r="E339" s="55"/>
      <c r="F339" s="55"/>
      <c r="G339" s="55"/>
      <c r="H339" s="55"/>
      <c r="I339" s="55"/>
      <c r="J339" s="55"/>
      <c r="K339" s="55"/>
      <c r="L339" s="48"/>
      <c r="M339" s="55"/>
      <c r="N339" s="55"/>
      <c r="O339" s="55"/>
      <c r="P339" s="55"/>
      <c r="Q339" s="55"/>
      <c r="R339" s="55"/>
    </row>
    <row r="340" spans="1:18" ht="18.95" customHeight="1">
      <c r="A340" s="55"/>
      <c r="B340" s="55"/>
      <c r="C340" s="55"/>
      <c r="D340" s="55"/>
      <c r="E340" s="55"/>
      <c r="F340" s="55"/>
      <c r="G340" s="55"/>
      <c r="H340" s="55"/>
      <c r="I340" s="55"/>
      <c r="J340" s="55"/>
      <c r="K340" s="55"/>
      <c r="L340" s="48"/>
      <c r="M340" s="55"/>
      <c r="N340" s="55"/>
      <c r="O340" s="55"/>
      <c r="P340" s="55"/>
      <c r="Q340" s="55"/>
      <c r="R340" s="55"/>
    </row>
    <row r="341" spans="1:18" ht="18.95" customHeight="1">
      <c r="A341" s="55"/>
      <c r="B341" s="55"/>
      <c r="C341" s="55"/>
      <c r="D341" s="55"/>
      <c r="E341" s="55"/>
      <c r="F341" s="55"/>
      <c r="G341" s="55"/>
      <c r="H341" s="55"/>
      <c r="I341" s="55"/>
      <c r="J341" s="55"/>
      <c r="K341" s="55"/>
      <c r="L341" s="48"/>
      <c r="M341" s="55"/>
      <c r="N341" s="55"/>
      <c r="O341" s="55"/>
      <c r="P341" s="55"/>
      <c r="Q341" s="55"/>
      <c r="R341" s="55"/>
    </row>
    <row r="342" spans="1:18" ht="18.95" customHeight="1">
      <c r="A342" s="55"/>
      <c r="B342" s="55"/>
      <c r="C342" s="55"/>
      <c r="D342" s="55"/>
      <c r="E342" s="55"/>
      <c r="F342" s="55"/>
      <c r="G342" s="55"/>
      <c r="H342" s="55"/>
      <c r="I342" s="55"/>
      <c r="J342" s="55"/>
      <c r="K342" s="55"/>
      <c r="L342" s="48"/>
      <c r="M342" s="55"/>
      <c r="N342" s="55"/>
      <c r="O342" s="55"/>
      <c r="P342" s="55"/>
      <c r="Q342" s="55"/>
      <c r="R342" s="55"/>
    </row>
    <row r="343" spans="1:18" ht="18.95" customHeight="1">
      <c r="A343" s="55"/>
      <c r="B343" s="55"/>
      <c r="C343" s="55"/>
      <c r="D343" s="55"/>
      <c r="E343" s="55"/>
      <c r="F343" s="55"/>
      <c r="G343" s="55"/>
      <c r="H343" s="55"/>
      <c r="I343" s="55"/>
      <c r="J343" s="55"/>
      <c r="K343" s="55"/>
      <c r="L343" s="48"/>
      <c r="M343" s="55"/>
      <c r="N343" s="55"/>
      <c r="O343" s="55"/>
      <c r="P343" s="55"/>
      <c r="Q343" s="55"/>
      <c r="R343" s="55"/>
    </row>
    <row r="344" spans="1:18" ht="18.95" customHeight="1">
      <c r="A344" s="55"/>
      <c r="B344" s="55"/>
      <c r="C344" s="55"/>
      <c r="D344" s="55"/>
      <c r="E344" s="55"/>
      <c r="F344" s="55"/>
      <c r="G344" s="55"/>
      <c r="H344" s="55"/>
      <c r="I344" s="55"/>
      <c r="J344" s="55"/>
      <c r="K344" s="55"/>
      <c r="L344" s="48"/>
      <c r="M344" s="55"/>
      <c r="N344" s="55"/>
      <c r="O344" s="55"/>
      <c r="P344" s="55"/>
      <c r="Q344" s="55"/>
      <c r="R344" s="55"/>
    </row>
    <row r="345" spans="1:18" ht="18.95" customHeight="1">
      <c r="A345" s="55"/>
      <c r="B345" s="55"/>
      <c r="C345" s="55"/>
      <c r="D345" s="55"/>
      <c r="E345" s="55"/>
      <c r="F345" s="55"/>
      <c r="G345" s="55"/>
      <c r="H345" s="55"/>
      <c r="I345" s="55"/>
      <c r="J345" s="55"/>
      <c r="K345" s="55"/>
      <c r="L345" s="48"/>
      <c r="M345" s="55"/>
      <c r="N345" s="55"/>
      <c r="O345" s="55"/>
      <c r="P345" s="55"/>
      <c r="Q345" s="55"/>
      <c r="R345" s="55"/>
    </row>
    <row r="346" spans="1:18" ht="18.95" customHeight="1">
      <c r="A346" s="55"/>
      <c r="B346" s="55"/>
      <c r="C346" s="55"/>
      <c r="D346" s="55"/>
      <c r="E346" s="55"/>
      <c r="F346" s="55"/>
      <c r="G346" s="55"/>
      <c r="H346" s="55"/>
      <c r="I346" s="55"/>
      <c r="J346" s="55"/>
      <c r="K346" s="55"/>
      <c r="L346" s="48"/>
      <c r="M346" s="55"/>
      <c r="N346" s="55"/>
      <c r="O346" s="55"/>
      <c r="P346" s="55"/>
      <c r="Q346" s="55"/>
      <c r="R346" s="55"/>
    </row>
    <row r="347" spans="1:18" ht="18.95" customHeight="1">
      <c r="A347" s="55"/>
      <c r="B347" s="55"/>
      <c r="C347" s="55"/>
      <c r="D347" s="55"/>
      <c r="E347" s="55"/>
      <c r="F347" s="55"/>
      <c r="G347" s="55"/>
      <c r="H347" s="55"/>
      <c r="I347" s="55"/>
      <c r="J347" s="55"/>
      <c r="K347" s="55"/>
      <c r="L347" s="48"/>
      <c r="M347" s="55"/>
      <c r="N347" s="55"/>
      <c r="O347" s="55"/>
      <c r="P347" s="55"/>
      <c r="Q347" s="55"/>
      <c r="R347" s="55"/>
    </row>
    <row r="348" spans="1:18" ht="18.95" customHeight="1">
      <c r="A348" s="55"/>
      <c r="B348" s="55"/>
      <c r="C348" s="55"/>
      <c r="D348" s="55"/>
      <c r="E348" s="55"/>
      <c r="F348" s="55"/>
      <c r="G348" s="55"/>
      <c r="H348" s="55"/>
      <c r="I348" s="55"/>
      <c r="J348" s="55"/>
      <c r="K348" s="55"/>
      <c r="L348" s="48"/>
      <c r="M348" s="55"/>
      <c r="N348" s="55"/>
      <c r="O348" s="55"/>
      <c r="P348" s="55"/>
      <c r="Q348" s="55"/>
      <c r="R348" s="55"/>
    </row>
    <row r="349" spans="1:18" ht="18.95" customHeight="1">
      <c r="A349" s="55"/>
      <c r="B349" s="55"/>
      <c r="C349" s="55"/>
      <c r="D349" s="55"/>
      <c r="E349" s="55"/>
      <c r="F349" s="55"/>
      <c r="G349" s="55"/>
      <c r="H349" s="55"/>
      <c r="I349" s="55"/>
      <c r="J349" s="55"/>
      <c r="K349" s="55"/>
      <c r="L349" s="48"/>
      <c r="M349" s="55"/>
      <c r="N349" s="55"/>
      <c r="O349" s="55"/>
      <c r="P349" s="55"/>
      <c r="Q349" s="55"/>
      <c r="R349" s="55"/>
    </row>
    <row r="350" spans="1:18" ht="18.95" customHeight="1">
      <c r="A350" s="55"/>
      <c r="B350" s="55"/>
      <c r="C350" s="55"/>
      <c r="D350" s="55"/>
      <c r="E350" s="55"/>
      <c r="F350" s="55"/>
      <c r="G350" s="55"/>
      <c r="H350" s="55"/>
      <c r="I350" s="55"/>
      <c r="J350" s="55"/>
      <c r="K350" s="55"/>
      <c r="L350" s="48"/>
      <c r="M350" s="55"/>
      <c r="N350" s="55"/>
      <c r="O350" s="55"/>
      <c r="P350" s="55"/>
      <c r="Q350" s="55"/>
      <c r="R350" s="55"/>
    </row>
    <row r="351" spans="1:18" ht="18.95" customHeight="1">
      <c r="A351" s="55"/>
      <c r="B351" s="55"/>
      <c r="C351" s="55"/>
      <c r="D351" s="55"/>
      <c r="E351" s="55"/>
      <c r="F351" s="55"/>
      <c r="G351" s="55"/>
      <c r="H351" s="55"/>
      <c r="I351" s="55"/>
      <c r="J351" s="55"/>
      <c r="K351" s="55"/>
      <c r="L351" s="48"/>
      <c r="M351" s="55"/>
      <c r="N351" s="55"/>
      <c r="O351" s="55"/>
      <c r="P351" s="55"/>
      <c r="Q351" s="55"/>
      <c r="R351" s="55"/>
    </row>
    <row r="352" spans="1:18" ht="18.95" customHeight="1">
      <c r="A352" s="55"/>
      <c r="B352" s="55"/>
      <c r="C352" s="55"/>
      <c r="D352" s="55"/>
      <c r="E352" s="55"/>
      <c r="F352" s="55"/>
      <c r="G352" s="55"/>
      <c r="H352" s="55"/>
      <c r="I352" s="55"/>
      <c r="J352" s="55"/>
      <c r="K352" s="55"/>
      <c r="L352" s="48"/>
      <c r="M352" s="55"/>
      <c r="N352" s="55"/>
      <c r="O352" s="55"/>
      <c r="P352" s="55"/>
      <c r="Q352" s="55"/>
      <c r="R352" s="55"/>
    </row>
    <row r="353" spans="1:18" ht="18.95" customHeight="1">
      <c r="A353" s="55"/>
      <c r="B353" s="55"/>
      <c r="C353" s="55"/>
      <c r="D353" s="55"/>
      <c r="E353" s="55"/>
      <c r="F353" s="55"/>
      <c r="G353" s="55"/>
      <c r="H353" s="55"/>
      <c r="I353" s="55"/>
      <c r="J353" s="55"/>
      <c r="K353" s="55"/>
      <c r="L353" s="48"/>
      <c r="M353" s="55"/>
      <c r="N353" s="55"/>
      <c r="O353" s="55"/>
      <c r="P353" s="55"/>
      <c r="Q353" s="55"/>
      <c r="R353" s="55"/>
    </row>
    <row r="354" spans="1:18" ht="18.95" customHeight="1">
      <c r="A354" s="55"/>
      <c r="B354" s="55"/>
      <c r="C354" s="55"/>
      <c r="D354" s="55"/>
      <c r="E354" s="55"/>
      <c r="F354" s="55"/>
      <c r="G354" s="55"/>
      <c r="H354" s="55"/>
      <c r="I354" s="55"/>
      <c r="J354" s="55"/>
      <c r="K354" s="55"/>
      <c r="L354" s="48"/>
      <c r="M354" s="55"/>
      <c r="N354" s="55"/>
      <c r="O354" s="55"/>
      <c r="P354" s="55"/>
      <c r="Q354" s="55"/>
      <c r="R354" s="55"/>
    </row>
    <row r="355" spans="1:18" ht="18.95" customHeight="1">
      <c r="A355" s="55"/>
      <c r="B355" s="55"/>
      <c r="C355" s="55"/>
      <c r="D355" s="55"/>
      <c r="E355" s="55"/>
      <c r="F355" s="55"/>
      <c r="G355" s="55"/>
      <c r="H355" s="55"/>
      <c r="I355" s="55"/>
      <c r="J355" s="55"/>
      <c r="K355" s="55"/>
      <c r="L355" s="48"/>
      <c r="M355" s="55"/>
      <c r="N355" s="55"/>
      <c r="O355" s="55"/>
      <c r="P355" s="55"/>
      <c r="Q355" s="55"/>
      <c r="R355" s="55"/>
    </row>
    <row r="356" spans="1:18" ht="18.95" customHeight="1">
      <c r="A356" s="55"/>
      <c r="B356" s="55"/>
      <c r="C356" s="55"/>
      <c r="D356" s="55"/>
      <c r="E356" s="55"/>
      <c r="F356" s="55"/>
      <c r="G356" s="55"/>
      <c r="H356" s="55"/>
      <c r="I356" s="55"/>
      <c r="J356" s="55"/>
      <c r="K356" s="55"/>
      <c r="L356" s="48"/>
      <c r="M356" s="55"/>
      <c r="N356" s="55"/>
      <c r="O356" s="55"/>
      <c r="P356" s="55"/>
      <c r="Q356" s="55"/>
      <c r="R356" s="55"/>
    </row>
    <row r="357" spans="1:18" ht="18.95" customHeight="1">
      <c r="A357" s="55"/>
      <c r="B357" s="55"/>
      <c r="C357" s="55"/>
      <c r="D357" s="55"/>
      <c r="E357" s="55"/>
      <c r="F357" s="55"/>
      <c r="G357" s="55"/>
      <c r="H357" s="55"/>
      <c r="I357" s="55"/>
      <c r="J357" s="55"/>
      <c r="K357" s="55"/>
      <c r="L357" s="48"/>
      <c r="M357" s="55"/>
      <c r="N357" s="55"/>
      <c r="O357" s="55"/>
      <c r="P357" s="55"/>
      <c r="Q357" s="55"/>
      <c r="R357" s="55"/>
    </row>
    <row r="358" spans="1:18" ht="18.95" customHeight="1">
      <c r="A358" s="55"/>
      <c r="B358" s="55"/>
      <c r="C358" s="55"/>
      <c r="D358" s="55"/>
      <c r="E358" s="55"/>
      <c r="F358" s="55"/>
      <c r="G358" s="55"/>
      <c r="H358" s="55"/>
      <c r="I358" s="55"/>
      <c r="J358" s="55"/>
      <c r="K358" s="55"/>
      <c r="L358" s="48"/>
      <c r="M358" s="55"/>
      <c r="N358" s="55"/>
      <c r="O358" s="55"/>
      <c r="P358" s="55"/>
      <c r="Q358" s="55"/>
      <c r="R358" s="55"/>
    </row>
    <row r="359" spans="1:18" ht="18.95" customHeight="1">
      <c r="A359" s="55"/>
      <c r="B359" s="55"/>
      <c r="C359" s="55"/>
      <c r="D359" s="55"/>
      <c r="E359" s="55"/>
      <c r="F359" s="55"/>
      <c r="G359" s="55"/>
      <c r="H359" s="55"/>
      <c r="I359" s="55"/>
      <c r="J359" s="55"/>
      <c r="K359" s="55"/>
      <c r="L359" s="48"/>
      <c r="M359" s="55"/>
      <c r="N359" s="55"/>
      <c r="O359" s="55"/>
      <c r="P359" s="55"/>
      <c r="Q359" s="55"/>
      <c r="R359" s="55"/>
    </row>
    <row r="360" spans="1:18" ht="18.95" customHeight="1">
      <c r="A360" s="55"/>
      <c r="B360" s="55"/>
      <c r="C360" s="55"/>
      <c r="D360" s="55"/>
      <c r="E360" s="55"/>
      <c r="F360" s="55"/>
      <c r="G360" s="55"/>
      <c r="H360" s="55"/>
      <c r="I360" s="55"/>
      <c r="J360" s="55"/>
      <c r="K360" s="55"/>
      <c r="L360" s="48"/>
      <c r="M360" s="55"/>
      <c r="N360" s="55"/>
      <c r="O360" s="55"/>
      <c r="P360" s="55"/>
      <c r="Q360" s="55"/>
      <c r="R360" s="55"/>
    </row>
    <row r="361" spans="1:18" ht="18.95" customHeight="1">
      <c r="A361" s="55"/>
      <c r="B361" s="55"/>
      <c r="C361" s="55"/>
      <c r="D361" s="55"/>
      <c r="E361" s="55"/>
      <c r="F361" s="55"/>
      <c r="G361" s="55"/>
      <c r="H361" s="55"/>
      <c r="I361" s="55"/>
      <c r="J361" s="55"/>
      <c r="K361" s="55"/>
      <c r="L361" s="48"/>
      <c r="M361" s="55"/>
      <c r="N361" s="55"/>
      <c r="O361" s="55"/>
      <c r="P361" s="55"/>
      <c r="Q361" s="55"/>
      <c r="R361" s="55"/>
    </row>
    <row r="362" spans="1:18" ht="18.95" customHeight="1">
      <c r="A362" s="55"/>
      <c r="B362" s="55"/>
      <c r="C362" s="55"/>
      <c r="D362" s="55"/>
      <c r="E362" s="55"/>
      <c r="F362" s="55"/>
      <c r="G362" s="55"/>
      <c r="H362" s="55"/>
      <c r="I362" s="55"/>
      <c r="J362" s="55"/>
      <c r="K362" s="55"/>
      <c r="L362" s="48"/>
      <c r="M362" s="55"/>
      <c r="N362" s="55"/>
      <c r="O362" s="55"/>
      <c r="P362" s="55"/>
      <c r="Q362" s="55"/>
      <c r="R362" s="55"/>
    </row>
    <row r="363" spans="1:18" ht="18.95" customHeight="1">
      <c r="A363" s="55"/>
      <c r="B363" s="55"/>
      <c r="C363" s="55"/>
      <c r="D363" s="55"/>
      <c r="E363" s="55"/>
      <c r="F363" s="55"/>
      <c r="G363" s="55"/>
      <c r="H363" s="55"/>
      <c r="I363" s="55"/>
      <c r="J363" s="55"/>
      <c r="K363" s="55"/>
      <c r="L363" s="48"/>
      <c r="M363" s="55"/>
      <c r="N363" s="55"/>
      <c r="O363" s="55"/>
      <c r="P363" s="55"/>
      <c r="Q363" s="55"/>
      <c r="R363" s="55"/>
    </row>
    <row r="364" spans="1:18" ht="18.95" customHeight="1">
      <c r="A364" s="55"/>
      <c r="B364" s="55"/>
      <c r="C364" s="55"/>
      <c r="D364" s="55"/>
      <c r="E364" s="55"/>
      <c r="F364" s="55"/>
      <c r="G364" s="55"/>
      <c r="H364" s="55"/>
      <c r="I364" s="55"/>
      <c r="J364" s="55"/>
      <c r="K364" s="55"/>
      <c r="L364" s="48"/>
      <c r="M364" s="55"/>
      <c r="N364" s="55"/>
      <c r="O364" s="55"/>
      <c r="P364" s="55"/>
      <c r="Q364" s="55"/>
      <c r="R364" s="55"/>
    </row>
    <row r="365" spans="1:18" ht="18.95" customHeight="1">
      <c r="A365" s="55"/>
      <c r="B365" s="55"/>
      <c r="C365" s="55"/>
      <c r="D365" s="55"/>
      <c r="E365" s="55"/>
      <c r="F365" s="55"/>
      <c r="G365" s="55"/>
      <c r="H365" s="55"/>
      <c r="I365" s="55"/>
      <c r="J365" s="55"/>
      <c r="K365" s="55"/>
      <c r="L365" s="48"/>
      <c r="M365" s="55"/>
      <c r="N365" s="55"/>
      <c r="O365" s="55"/>
      <c r="P365" s="55"/>
      <c r="Q365" s="55"/>
      <c r="R365" s="55"/>
    </row>
    <row r="366" spans="1:18" ht="18.95" customHeight="1">
      <c r="A366" s="55"/>
      <c r="B366" s="55"/>
      <c r="C366" s="55"/>
      <c r="D366" s="55"/>
      <c r="E366" s="55"/>
      <c r="F366" s="55"/>
      <c r="G366" s="55"/>
      <c r="H366" s="55"/>
      <c r="I366" s="55"/>
      <c r="J366" s="55"/>
      <c r="K366" s="55"/>
      <c r="L366" s="48"/>
      <c r="M366" s="55"/>
      <c r="N366" s="55"/>
      <c r="O366" s="55"/>
      <c r="P366" s="55"/>
      <c r="Q366" s="55"/>
      <c r="R366" s="55"/>
    </row>
    <row r="367" spans="1:18" ht="18.95" customHeight="1">
      <c r="A367" s="55"/>
      <c r="B367" s="55"/>
      <c r="C367" s="55"/>
      <c r="D367" s="55"/>
      <c r="E367" s="55"/>
      <c r="F367" s="55"/>
      <c r="G367" s="55"/>
      <c r="H367" s="55"/>
      <c r="I367" s="55"/>
      <c r="J367" s="55"/>
      <c r="K367" s="55"/>
      <c r="L367" s="48"/>
      <c r="M367" s="55"/>
      <c r="N367" s="55"/>
      <c r="O367" s="55"/>
      <c r="P367" s="55"/>
      <c r="Q367" s="55"/>
      <c r="R367" s="55"/>
    </row>
    <row r="368" spans="1:18" ht="18.95" customHeight="1">
      <c r="A368" s="55"/>
      <c r="B368" s="55"/>
      <c r="C368" s="55"/>
      <c r="D368" s="55"/>
      <c r="E368" s="55"/>
      <c r="F368" s="55"/>
      <c r="G368" s="55"/>
      <c r="H368" s="55"/>
      <c r="I368" s="55"/>
      <c r="J368" s="55"/>
      <c r="K368" s="55"/>
      <c r="L368" s="48"/>
      <c r="M368" s="55"/>
      <c r="N368" s="55"/>
      <c r="O368" s="55"/>
      <c r="P368" s="55"/>
      <c r="Q368" s="55"/>
      <c r="R368" s="55"/>
    </row>
    <row r="369" spans="1:18" ht="18.95" customHeight="1">
      <c r="A369" s="55"/>
      <c r="B369" s="55"/>
      <c r="C369" s="55"/>
      <c r="D369" s="55"/>
      <c r="E369" s="55"/>
      <c r="F369" s="55"/>
      <c r="G369" s="55"/>
      <c r="H369" s="55"/>
      <c r="I369" s="55"/>
      <c r="J369" s="55"/>
      <c r="K369" s="55"/>
      <c r="L369" s="48"/>
      <c r="M369" s="55"/>
      <c r="N369" s="55"/>
      <c r="O369" s="55"/>
      <c r="P369" s="55"/>
      <c r="Q369" s="55"/>
      <c r="R369" s="55"/>
    </row>
    <row r="370" spans="1:18" ht="18.95" customHeight="1">
      <c r="A370" s="55"/>
      <c r="B370" s="55"/>
      <c r="C370" s="55"/>
      <c r="D370" s="55"/>
      <c r="E370" s="55"/>
      <c r="F370" s="55"/>
      <c r="G370" s="55"/>
      <c r="H370" s="55"/>
      <c r="I370" s="55"/>
      <c r="J370" s="55"/>
      <c r="K370" s="55"/>
      <c r="L370" s="48"/>
      <c r="M370" s="55"/>
      <c r="N370" s="55"/>
      <c r="O370" s="55"/>
      <c r="P370" s="55"/>
      <c r="Q370" s="55"/>
      <c r="R370" s="55"/>
    </row>
    <row r="371" spans="1:18" ht="18.95" customHeight="1">
      <c r="A371" s="55"/>
      <c r="B371" s="55"/>
      <c r="C371" s="55"/>
      <c r="D371" s="55"/>
      <c r="E371" s="55"/>
      <c r="F371" s="55"/>
      <c r="G371" s="55"/>
      <c r="H371" s="55"/>
      <c r="I371" s="55"/>
      <c r="J371" s="55"/>
      <c r="K371" s="55"/>
      <c r="L371" s="48"/>
      <c r="M371" s="55"/>
      <c r="N371" s="55"/>
      <c r="O371" s="55"/>
      <c r="P371" s="55"/>
      <c r="Q371" s="55"/>
      <c r="R371" s="55"/>
    </row>
    <row r="372" spans="1:18" ht="18.95" customHeight="1">
      <c r="A372" s="55"/>
      <c r="B372" s="55"/>
      <c r="C372" s="55"/>
      <c r="D372" s="55"/>
      <c r="E372" s="55"/>
      <c r="F372" s="55"/>
      <c r="G372" s="55"/>
      <c r="H372" s="55"/>
      <c r="I372" s="55"/>
      <c r="J372" s="55"/>
      <c r="K372" s="55"/>
      <c r="L372" s="48"/>
      <c r="M372" s="55"/>
      <c r="N372" s="55"/>
      <c r="O372" s="55"/>
      <c r="P372" s="55"/>
      <c r="Q372" s="55"/>
      <c r="R372" s="55"/>
    </row>
    <row r="373" spans="1:18" ht="18.95" customHeight="1">
      <c r="A373" s="55"/>
      <c r="B373" s="55"/>
      <c r="C373" s="55"/>
      <c r="D373" s="55"/>
      <c r="E373" s="55"/>
      <c r="F373" s="55"/>
      <c r="G373" s="55"/>
      <c r="H373" s="55"/>
      <c r="I373" s="55"/>
      <c r="J373" s="55"/>
      <c r="K373" s="55"/>
      <c r="L373" s="48"/>
      <c r="M373" s="55"/>
      <c r="N373" s="55"/>
      <c r="O373" s="55"/>
      <c r="P373" s="55"/>
      <c r="Q373" s="55"/>
      <c r="R373" s="55"/>
    </row>
    <row r="374" spans="1:18" ht="18.95" customHeight="1">
      <c r="A374" s="55"/>
      <c r="B374" s="55"/>
      <c r="C374" s="55"/>
      <c r="D374" s="55"/>
      <c r="E374" s="55"/>
      <c r="F374" s="55"/>
      <c r="G374" s="55"/>
      <c r="H374" s="55"/>
      <c r="I374" s="55"/>
      <c r="J374" s="55"/>
      <c r="K374" s="55"/>
      <c r="L374" s="48"/>
      <c r="M374" s="55"/>
      <c r="N374" s="55"/>
      <c r="O374" s="55"/>
      <c r="P374" s="55"/>
      <c r="Q374" s="55"/>
      <c r="R374" s="55"/>
    </row>
    <row r="375" spans="1:18" ht="18.95" customHeight="1">
      <c r="A375" s="55"/>
      <c r="B375" s="55"/>
      <c r="C375" s="55"/>
      <c r="D375" s="55"/>
      <c r="E375" s="55"/>
      <c r="F375" s="55"/>
      <c r="G375" s="55"/>
      <c r="H375" s="55"/>
      <c r="I375" s="55"/>
      <c r="J375" s="55"/>
      <c r="K375" s="55"/>
      <c r="L375" s="48"/>
      <c r="M375" s="55"/>
      <c r="N375" s="55"/>
      <c r="O375" s="55"/>
      <c r="P375" s="55"/>
      <c r="Q375" s="55"/>
      <c r="R375" s="55"/>
    </row>
    <row r="376" spans="1:18" ht="18.95" customHeight="1">
      <c r="A376" s="55"/>
      <c r="B376" s="55"/>
      <c r="C376" s="55"/>
      <c r="D376" s="55"/>
      <c r="E376" s="55"/>
      <c r="F376" s="55"/>
      <c r="G376" s="55"/>
      <c r="H376" s="55"/>
      <c r="I376" s="55"/>
      <c r="J376" s="55"/>
      <c r="K376" s="55"/>
      <c r="L376" s="48"/>
      <c r="M376" s="55"/>
      <c r="N376" s="55"/>
      <c r="O376" s="55"/>
      <c r="P376" s="55"/>
      <c r="Q376" s="55"/>
      <c r="R376" s="55"/>
    </row>
    <row r="377" spans="1:18" ht="18.95" customHeight="1">
      <c r="A377" s="55"/>
      <c r="B377" s="55"/>
      <c r="C377" s="55"/>
      <c r="D377" s="55"/>
      <c r="E377" s="55"/>
      <c r="F377" s="55"/>
      <c r="G377" s="55"/>
      <c r="H377" s="55"/>
      <c r="I377" s="55"/>
      <c r="J377" s="55"/>
      <c r="K377" s="55"/>
      <c r="L377" s="48"/>
      <c r="M377" s="55"/>
      <c r="N377" s="55"/>
      <c r="O377" s="55"/>
      <c r="P377" s="55"/>
      <c r="Q377" s="55"/>
      <c r="R377" s="55"/>
    </row>
    <row r="378" spans="1:18" ht="18.95" customHeight="1">
      <c r="A378" s="55"/>
      <c r="B378" s="55"/>
      <c r="C378" s="55"/>
      <c r="D378" s="55"/>
      <c r="E378" s="55"/>
      <c r="F378" s="55"/>
      <c r="G378" s="55"/>
      <c r="H378" s="55"/>
      <c r="I378" s="55"/>
      <c r="J378" s="55"/>
      <c r="K378" s="55"/>
      <c r="L378" s="48"/>
      <c r="M378" s="55"/>
      <c r="N378" s="55"/>
      <c r="O378" s="55"/>
      <c r="P378" s="55"/>
      <c r="Q378" s="55"/>
      <c r="R378" s="55"/>
    </row>
    <row r="379" spans="1:18" ht="18.95" customHeight="1">
      <c r="A379" s="55"/>
      <c r="B379" s="55"/>
      <c r="C379" s="55"/>
      <c r="D379" s="55"/>
      <c r="E379" s="55"/>
      <c r="F379" s="55"/>
      <c r="G379" s="55"/>
      <c r="H379" s="55"/>
      <c r="I379" s="55"/>
      <c r="J379" s="55"/>
      <c r="K379" s="55"/>
      <c r="L379" s="48"/>
      <c r="M379" s="55"/>
      <c r="N379" s="55"/>
      <c r="O379" s="55"/>
      <c r="P379" s="55"/>
      <c r="Q379" s="55"/>
      <c r="R379" s="55"/>
    </row>
    <row r="380" spans="1:18" ht="18.95" customHeight="1">
      <c r="A380" s="55"/>
      <c r="B380" s="55"/>
      <c r="C380" s="55"/>
      <c r="D380" s="55"/>
      <c r="E380" s="55"/>
      <c r="F380" s="55"/>
      <c r="G380" s="55"/>
      <c r="H380" s="55"/>
      <c r="I380" s="55"/>
      <c r="J380" s="55"/>
      <c r="K380" s="55"/>
      <c r="L380" s="48"/>
      <c r="M380" s="55"/>
      <c r="N380" s="55"/>
      <c r="O380" s="55"/>
      <c r="P380" s="55"/>
      <c r="Q380" s="55"/>
      <c r="R380" s="55"/>
    </row>
    <row r="381" spans="1:18" ht="18.95" customHeight="1">
      <c r="A381" s="55"/>
      <c r="B381" s="55"/>
      <c r="C381" s="55"/>
      <c r="D381" s="55"/>
      <c r="E381" s="55"/>
      <c r="F381" s="55"/>
      <c r="G381" s="55"/>
      <c r="H381" s="55"/>
      <c r="I381" s="55"/>
      <c r="J381" s="55"/>
      <c r="K381" s="55"/>
      <c r="L381" s="48"/>
      <c r="M381" s="55"/>
      <c r="N381" s="55"/>
      <c r="O381" s="55"/>
      <c r="P381" s="55"/>
      <c r="Q381" s="55"/>
      <c r="R381" s="55"/>
    </row>
    <row r="382" spans="1:18" ht="18.95" customHeight="1">
      <c r="A382" s="55"/>
      <c r="B382" s="55"/>
      <c r="C382" s="55"/>
      <c r="D382" s="55"/>
      <c r="E382" s="55"/>
      <c r="F382" s="55"/>
      <c r="G382" s="55"/>
      <c r="H382" s="55"/>
      <c r="I382" s="55"/>
      <c r="J382" s="55"/>
      <c r="K382" s="55"/>
      <c r="L382" s="48"/>
      <c r="M382" s="55"/>
      <c r="N382" s="55"/>
      <c r="O382" s="55"/>
      <c r="P382" s="55"/>
      <c r="Q382" s="55"/>
      <c r="R382" s="55"/>
    </row>
    <row r="383" spans="1:18" ht="18.95" customHeight="1">
      <c r="A383" s="55"/>
      <c r="B383" s="55"/>
      <c r="C383" s="55"/>
      <c r="D383" s="55"/>
      <c r="E383" s="55"/>
      <c r="F383" s="55"/>
      <c r="G383" s="55"/>
      <c r="H383" s="55"/>
      <c r="I383" s="55"/>
      <c r="J383" s="55"/>
      <c r="K383" s="55"/>
      <c r="L383" s="48"/>
      <c r="M383" s="55"/>
      <c r="N383" s="55"/>
      <c r="O383" s="55"/>
      <c r="P383" s="55"/>
      <c r="Q383" s="55"/>
      <c r="R383" s="55"/>
    </row>
    <row r="384" spans="1:18" ht="18.95" customHeight="1">
      <c r="A384" s="55"/>
      <c r="B384" s="55"/>
      <c r="C384" s="55"/>
      <c r="D384" s="55"/>
      <c r="E384" s="55"/>
      <c r="F384" s="55"/>
      <c r="G384" s="55"/>
      <c r="H384" s="55"/>
      <c r="I384" s="55"/>
      <c r="J384" s="55"/>
      <c r="K384" s="55"/>
      <c r="L384" s="48"/>
      <c r="M384" s="55"/>
      <c r="N384" s="55"/>
      <c r="O384" s="55"/>
      <c r="P384" s="55"/>
      <c r="Q384" s="55"/>
      <c r="R384" s="55"/>
    </row>
    <row r="385" spans="1:18" ht="18.95" customHeight="1">
      <c r="A385" s="55"/>
      <c r="B385" s="55"/>
      <c r="C385" s="55"/>
      <c r="D385" s="55"/>
      <c r="E385" s="55"/>
      <c r="F385" s="55"/>
      <c r="G385" s="55"/>
      <c r="H385" s="55"/>
      <c r="I385" s="55"/>
      <c r="J385" s="55"/>
      <c r="K385" s="55"/>
      <c r="L385" s="48"/>
      <c r="M385" s="55"/>
      <c r="N385" s="55"/>
      <c r="O385" s="55"/>
      <c r="P385" s="55"/>
      <c r="Q385" s="55"/>
      <c r="R385" s="55"/>
    </row>
    <row r="386" spans="1:18" ht="18.95" customHeight="1">
      <c r="A386" s="55"/>
      <c r="B386" s="55"/>
      <c r="C386" s="55"/>
      <c r="D386" s="55"/>
      <c r="E386" s="55"/>
      <c r="F386" s="55"/>
      <c r="G386" s="55"/>
      <c r="H386" s="55"/>
      <c r="I386" s="55"/>
      <c r="J386" s="55"/>
      <c r="K386" s="55"/>
      <c r="L386" s="48"/>
      <c r="M386" s="55"/>
      <c r="N386" s="55"/>
      <c r="O386" s="55"/>
      <c r="P386" s="55"/>
      <c r="Q386" s="55"/>
      <c r="R386" s="55"/>
    </row>
    <row r="387" spans="1:18" ht="18.95" customHeight="1">
      <c r="A387" s="55"/>
      <c r="B387" s="55"/>
      <c r="C387" s="55"/>
      <c r="D387" s="55"/>
      <c r="E387" s="55"/>
      <c r="F387" s="55"/>
      <c r="G387" s="55"/>
      <c r="H387" s="55"/>
      <c r="I387" s="55"/>
      <c r="J387" s="55"/>
      <c r="K387" s="55"/>
      <c r="L387" s="48"/>
      <c r="M387" s="55"/>
      <c r="N387" s="55"/>
      <c r="O387" s="55"/>
      <c r="P387" s="55"/>
      <c r="Q387" s="55"/>
      <c r="R387" s="55"/>
    </row>
    <row r="388" spans="1:18" ht="18.95" customHeight="1">
      <c r="A388" s="55"/>
      <c r="B388" s="55"/>
      <c r="C388" s="55"/>
      <c r="D388" s="55"/>
      <c r="E388" s="55"/>
      <c r="F388" s="55"/>
      <c r="G388" s="55"/>
      <c r="H388" s="55"/>
      <c r="I388" s="55"/>
      <c r="J388" s="55"/>
      <c r="K388" s="55"/>
      <c r="L388" s="48"/>
      <c r="M388" s="55"/>
      <c r="N388" s="55"/>
      <c r="O388" s="55"/>
      <c r="P388" s="55"/>
      <c r="Q388" s="55"/>
      <c r="R388" s="55"/>
    </row>
    <row r="389" spans="1:18" ht="18.95" customHeight="1">
      <c r="A389" s="55"/>
      <c r="B389" s="55"/>
      <c r="C389" s="55"/>
      <c r="D389" s="55"/>
      <c r="E389" s="55"/>
      <c r="F389" s="55"/>
      <c r="G389" s="55"/>
      <c r="H389" s="55"/>
      <c r="I389" s="55"/>
      <c r="J389" s="55"/>
      <c r="K389" s="55"/>
      <c r="L389" s="48"/>
      <c r="M389" s="55"/>
      <c r="N389" s="55"/>
      <c r="O389" s="55"/>
      <c r="P389" s="55"/>
      <c r="Q389" s="55"/>
      <c r="R389" s="55"/>
    </row>
    <row r="390" spans="1:18" ht="18.95" customHeight="1">
      <c r="A390" s="55"/>
      <c r="B390" s="55"/>
      <c r="C390" s="55"/>
      <c r="D390" s="55"/>
      <c r="E390" s="55"/>
      <c r="F390" s="55"/>
      <c r="G390" s="55"/>
      <c r="H390" s="55"/>
      <c r="I390" s="55"/>
      <c r="J390" s="55"/>
      <c r="K390" s="55"/>
      <c r="L390" s="48"/>
      <c r="M390" s="55"/>
      <c r="N390" s="55"/>
      <c r="O390" s="55"/>
      <c r="P390" s="55"/>
      <c r="Q390" s="55"/>
      <c r="R390" s="55"/>
    </row>
    <row r="391" spans="1:18" ht="18.95" customHeight="1">
      <c r="A391" s="55"/>
      <c r="B391" s="55"/>
      <c r="C391" s="55"/>
      <c r="D391" s="55"/>
      <c r="E391" s="55"/>
      <c r="F391" s="55"/>
      <c r="G391" s="55"/>
      <c r="H391" s="55"/>
      <c r="I391" s="55"/>
      <c r="J391" s="55"/>
      <c r="K391" s="55"/>
      <c r="L391" s="48"/>
      <c r="M391" s="55"/>
      <c r="N391" s="55"/>
      <c r="O391" s="55"/>
      <c r="P391" s="55"/>
      <c r="Q391" s="55"/>
      <c r="R391" s="55"/>
    </row>
    <row r="392" spans="1:18" ht="18.95" customHeight="1">
      <c r="A392" s="55"/>
      <c r="B392" s="55"/>
      <c r="C392" s="55"/>
      <c r="D392" s="55"/>
      <c r="E392" s="55"/>
      <c r="F392" s="55"/>
      <c r="G392" s="55"/>
      <c r="H392" s="55"/>
      <c r="I392" s="55"/>
      <c r="J392" s="55"/>
      <c r="K392" s="55"/>
      <c r="L392" s="48"/>
      <c r="M392" s="55"/>
      <c r="N392" s="55"/>
      <c r="O392" s="55"/>
      <c r="P392" s="55"/>
      <c r="Q392" s="55"/>
      <c r="R392" s="55"/>
    </row>
    <row r="393" spans="1:18" ht="18.95" customHeight="1">
      <c r="A393" s="55"/>
      <c r="B393" s="55"/>
      <c r="C393" s="55"/>
      <c r="D393" s="55"/>
      <c r="E393" s="55"/>
      <c r="F393" s="55"/>
      <c r="G393" s="55"/>
      <c r="H393" s="55"/>
      <c r="I393" s="55"/>
      <c r="J393" s="55"/>
      <c r="K393" s="55"/>
      <c r="L393" s="48"/>
      <c r="M393" s="55"/>
      <c r="N393" s="55"/>
      <c r="O393" s="55"/>
      <c r="P393" s="55"/>
      <c r="Q393" s="55"/>
      <c r="R393" s="55"/>
    </row>
    <row r="394" spans="1:18" ht="18.95" customHeight="1">
      <c r="A394" s="55"/>
      <c r="B394" s="55"/>
      <c r="C394" s="55"/>
      <c r="D394" s="55"/>
      <c r="E394" s="55"/>
      <c r="F394" s="55"/>
      <c r="G394" s="55"/>
      <c r="H394" s="55"/>
      <c r="I394" s="55"/>
      <c r="J394" s="55"/>
      <c r="K394" s="55"/>
      <c r="L394" s="48"/>
      <c r="M394" s="55"/>
      <c r="N394" s="55"/>
      <c r="O394" s="55"/>
      <c r="P394" s="55"/>
      <c r="Q394" s="55"/>
      <c r="R394" s="55"/>
    </row>
    <row r="395" spans="1:18" ht="18.95" customHeight="1">
      <c r="A395" s="55"/>
      <c r="B395" s="55"/>
      <c r="C395" s="55"/>
      <c r="D395" s="55"/>
      <c r="E395" s="55"/>
      <c r="F395" s="55"/>
      <c r="G395" s="55"/>
      <c r="H395" s="55"/>
      <c r="I395" s="55"/>
      <c r="J395" s="55"/>
      <c r="K395" s="55"/>
      <c r="L395" s="48"/>
      <c r="M395" s="55"/>
      <c r="N395" s="55"/>
      <c r="O395" s="55"/>
      <c r="P395" s="55"/>
      <c r="Q395" s="55"/>
      <c r="R395" s="55"/>
    </row>
    <row r="396" spans="1:18" ht="18.95" customHeight="1">
      <c r="A396" s="55"/>
      <c r="B396" s="55"/>
      <c r="C396" s="55"/>
      <c r="D396" s="55"/>
      <c r="E396" s="55"/>
      <c r="F396" s="55"/>
      <c r="G396" s="55"/>
      <c r="H396" s="55"/>
      <c r="I396" s="55"/>
      <c r="J396" s="55"/>
      <c r="K396" s="55"/>
      <c r="L396" s="48"/>
      <c r="M396" s="55"/>
      <c r="N396" s="55"/>
      <c r="O396" s="55"/>
      <c r="P396" s="55"/>
      <c r="Q396" s="55"/>
      <c r="R396" s="55"/>
    </row>
    <row r="397" spans="1:18" ht="18.95" customHeight="1">
      <c r="A397" s="55"/>
      <c r="B397" s="55"/>
      <c r="C397" s="55"/>
      <c r="D397" s="55"/>
      <c r="E397" s="55"/>
      <c r="F397" s="55"/>
      <c r="G397" s="55"/>
      <c r="H397" s="55"/>
      <c r="I397" s="55"/>
      <c r="J397" s="55"/>
      <c r="K397" s="55"/>
      <c r="L397" s="48"/>
      <c r="M397" s="55"/>
      <c r="N397" s="55"/>
      <c r="O397" s="55"/>
      <c r="P397" s="55"/>
      <c r="Q397" s="55"/>
      <c r="R397" s="55"/>
    </row>
    <row r="398" spans="1:18" ht="18.95" customHeight="1">
      <c r="A398" s="55"/>
      <c r="B398" s="55"/>
      <c r="C398" s="55"/>
      <c r="D398" s="55"/>
      <c r="E398" s="55"/>
      <c r="F398" s="55"/>
      <c r="G398" s="55"/>
      <c r="H398" s="55"/>
      <c r="I398" s="55"/>
      <c r="J398" s="55"/>
      <c r="K398" s="55"/>
      <c r="L398" s="48"/>
      <c r="M398" s="55"/>
      <c r="N398" s="55"/>
      <c r="O398" s="55"/>
      <c r="P398" s="55"/>
      <c r="Q398" s="55"/>
      <c r="R398" s="55"/>
    </row>
    <row r="399" spans="1:18" ht="18.95" customHeight="1">
      <c r="A399" s="55"/>
      <c r="B399" s="55"/>
      <c r="C399" s="55"/>
      <c r="D399" s="55"/>
      <c r="E399" s="55"/>
      <c r="F399" s="55"/>
      <c r="G399" s="55"/>
      <c r="H399" s="55"/>
      <c r="I399" s="55"/>
      <c r="J399" s="55"/>
      <c r="K399" s="55"/>
      <c r="L399" s="48"/>
      <c r="M399" s="55"/>
      <c r="N399" s="55"/>
      <c r="O399" s="55"/>
      <c r="P399" s="55"/>
      <c r="Q399" s="55"/>
      <c r="R399" s="55"/>
    </row>
    <row r="400" spans="1:18" ht="18.95" customHeight="1">
      <c r="A400" s="55"/>
      <c r="B400" s="55"/>
      <c r="C400" s="55"/>
      <c r="D400" s="55"/>
      <c r="E400" s="55"/>
      <c r="F400" s="55"/>
      <c r="G400" s="55"/>
      <c r="H400" s="55"/>
      <c r="I400" s="55"/>
      <c r="J400" s="55"/>
      <c r="K400" s="55"/>
      <c r="L400" s="48"/>
      <c r="M400" s="55"/>
      <c r="N400" s="55"/>
      <c r="O400" s="55"/>
      <c r="P400" s="55"/>
      <c r="Q400" s="55"/>
      <c r="R400" s="55"/>
    </row>
    <row r="401" spans="1:18" ht="18.95" customHeight="1">
      <c r="A401" s="55"/>
      <c r="B401" s="55"/>
      <c r="C401" s="55"/>
      <c r="D401" s="55"/>
      <c r="E401" s="55"/>
      <c r="F401" s="55"/>
      <c r="G401" s="55"/>
      <c r="H401" s="55"/>
      <c r="I401" s="55"/>
      <c r="J401" s="55"/>
      <c r="K401" s="55"/>
      <c r="L401" s="48"/>
      <c r="M401" s="55"/>
      <c r="N401" s="55"/>
      <c r="O401" s="55"/>
      <c r="P401" s="55"/>
      <c r="Q401" s="55"/>
      <c r="R401" s="55"/>
    </row>
    <row r="402" spans="1:18" ht="18.95" customHeight="1">
      <c r="A402" s="55"/>
      <c r="B402" s="55"/>
      <c r="C402" s="55"/>
      <c r="D402" s="55"/>
      <c r="E402" s="55"/>
      <c r="F402" s="55"/>
      <c r="G402" s="55"/>
      <c r="H402" s="55"/>
      <c r="I402" s="55"/>
      <c r="J402" s="55"/>
      <c r="K402" s="55"/>
      <c r="L402" s="48"/>
      <c r="M402" s="55"/>
      <c r="N402" s="55"/>
      <c r="O402" s="55"/>
      <c r="P402" s="55"/>
      <c r="Q402" s="55"/>
      <c r="R402" s="55"/>
    </row>
    <row r="403" spans="1:18" ht="18.95" customHeight="1">
      <c r="A403" s="55"/>
      <c r="B403" s="55"/>
      <c r="C403" s="55"/>
      <c r="D403" s="55"/>
      <c r="E403" s="55"/>
      <c r="F403" s="55"/>
      <c r="G403" s="55"/>
      <c r="H403" s="55"/>
      <c r="I403" s="55"/>
      <c r="J403" s="55"/>
      <c r="K403" s="55"/>
      <c r="L403" s="48"/>
      <c r="M403" s="55"/>
      <c r="N403" s="55"/>
      <c r="O403" s="55"/>
      <c r="P403" s="55"/>
      <c r="Q403" s="55"/>
      <c r="R403" s="55"/>
    </row>
    <row r="404" spans="1:18" ht="18.95" customHeight="1">
      <c r="A404" s="55"/>
      <c r="B404" s="55"/>
      <c r="C404" s="55"/>
      <c r="D404" s="55"/>
      <c r="E404" s="55"/>
      <c r="F404" s="55"/>
      <c r="G404" s="55"/>
      <c r="H404" s="55"/>
      <c r="I404" s="55"/>
      <c r="J404" s="55"/>
      <c r="K404" s="55"/>
      <c r="L404" s="48"/>
      <c r="M404" s="55"/>
      <c r="N404" s="55"/>
      <c r="O404" s="55"/>
      <c r="P404" s="55"/>
      <c r="Q404" s="55"/>
      <c r="R404" s="55"/>
    </row>
    <row r="405" spans="1:18" ht="18.95" customHeight="1">
      <c r="A405" s="55"/>
      <c r="B405" s="55"/>
      <c r="C405" s="55"/>
      <c r="D405" s="55"/>
      <c r="E405" s="55"/>
      <c r="F405" s="55"/>
      <c r="G405" s="55"/>
      <c r="H405" s="55"/>
      <c r="I405" s="55"/>
      <c r="J405" s="55"/>
      <c r="K405" s="55"/>
      <c r="L405" s="48"/>
      <c r="M405" s="55"/>
      <c r="N405" s="55"/>
      <c r="O405" s="55"/>
      <c r="P405" s="55"/>
      <c r="Q405" s="55"/>
      <c r="R405" s="55"/>
    </row>
    <row r="406" spans="1:18" ht="18.95" customHeight="1">
      <c r="A406" s="55"/>
      <c r="B406" s="55"/>
      <c r="C406" s="55"/>
      <c r="D406" s="55"/>
      <c r="E406" s="55"/>
      <c r="F406" s="55"/>
      <c r="G406" s="55"/>
      <c r="H406" s="55"/>
      <c r="I406" s="55"/>
      <c r="J406" s="55"/>
      <c r="K406" s="55"/>
      <c r="L406" s="48"/>
      <c r="M406" s="55"/>
      <c r="N406" s="55"/>
      <c r="O406" s="55"/>
      <c r="P406" s="55"/>
      <c r="Q406" s="55"/>
      <c r="R406" s="55"/>
    </row>
    <row r="407" spans="1:18" ht="18.95" customHeight="1">
      <c r="A407" s="55"/>
      <c r="B407" s="55"/>
      <c r="C407" s="55"/>
      <c r="D407" s="55"/>
      <c r="E407" s="55"/>
      <c r="F407" s="55"/>
      <c r="G407" s="55"/>
      <c r="H407" s="55"/>
      <c r="I407" s="55"/>
      <c r="J407" s="55"/>
      <c r="K407" s="55"/>
      <c r="L407" s="48"/>
      <c r="M407" s="55"/>
      <c r="N407" s="55"/>
      <c r="O407" s="55"/>
      <c r="P407" s="55"/>
      <c r="Q407" s="55"/>
      <c r="R407" s="55"/>
    </row>
    <row r="408" spans="1:18" ht="18.95" customHeight="1">
      <c r="A408" s="55"/>
      <c r="B408" s="55"/>
      <c r="C408" s="55"/>
      <c r="D408" s="55"/>
      <c r="E408" s="55"/>
      <c r="F408" s="55"/>
      <c r="G408" s="55"/>
      <c r="H408" s="55"/>
      <c r="I408" s="55"/>
      <c r="J408" s="55"/>
      <c r="K408" s="55"/>
      <c r="L408" s="48"/>
      <c r="M408" s="55"/>
      <c r="N408" s="55"/>
      <c r="O408" s="55"/>
      <c r="P408" s="55"/>
      <c r="Q408" s="55"/>
      <c r="R408" s="55"/>
    </row>
    <row r="409" spans="1:18" ht="18.95" customHeight="1">
      <c r="A409" s="55"/>
      <c r="B409" s="55"/>
      <c r="C409" s="55"/>
      <c r="D409" s="55"/>
      <c r="E409" s="55"/>
      <c r="F409" s="55"/>
      <c r="G409" s="55"/>
      <c r="H409" s="55"/>
      <c r="I409" s="55"/>
      <c r="J409" s="55"/>
      <c r="K409" s="55"/>
      <c r="L409" s="48"/>
      <c r="M409" s="55"/>
      <c r="N409" s="55"/>
      <c r="O409" s="55"/>
      <c r="P409" s="55"/>
      <c r="Q409" s="55"/>
      <c r="R409" s="55"/>
    </row>
    <row r="410" spans="1:18" ht="18.95" customHeight="1">
      <c r="A410" s="55"/>
      <c r="B410" s="55"/>
      <c r="C410" s="55"/>
      <c r="D410" s="55"/>
      <c r="E410" s="55"/>
      <c r="F410" s="55"/>
      <c r="G410" s="55"/>
      <c r="H410" s="55"/>
      <c r="I410" s="55"/>
      <c r="J410" s="55"/>
      <c r="K410" s="55"/>
      <c r="L410" s="48"/>
      <c r="M410" s="55"/>
      <c r="N410" s="55"/>
      <c r="O410" s="55"/>
      <c r="P410" s="55"/>
      <c r="Q410" s="55"/>
      <c r="R410" s="55"/>
    </row>
    <row r="411" spans="1:18" ht="18.95" customHeight="1">
      <c r="A411" s="55"/>
      <c r="B411" s="55"/>
      <c r="C411" s="55"/>
      <c r="D411" s="55"/>
      <c r="E411" s="55"/>
      <c r="F411" s="55"/>
      <c r="G411" s="55"/>
      <c r="H411" s="55"/>
      <c r="I411" s="55"/>
      <c r="J411" s="55"/>
      <c r="K411" s="55"/>
      <c r="L411" s="48"/>
      <c r="M411" s="55"/>
      <c r="N411" s="55"/>
      <c r="O411" s="55"/>
      <c r="P411" s="55"/>
      <c r="Q411" s="55"/>
      <c r="R411" s="55"/>
    </row>
    <row r="412" spans="1:18" ht="18.95" customHeight="1">
      <c r="A412" s="55"/>
      <c r="B412" s="55"/>
      <c r="C412" s="55"/>
      <c r="D412" s="55"/>
      <c r="E412" s="55"/>
      <c r="F412" s="55"/>
      <c r="G412" s="55"/>
      <c r="H412" s="55"/>
      <c r="I412" s="55"/>
      <c r="J412" s="55"/>
      <c r="K412" s="55"/>
      <c r="L412" s="48"/>
      <c r="M412" s="55"/>
      <c r="N412" s="55"/>
      <c r="O412" s="55"/>
      <c r="P412" s="55"/>
      <c r="Q412" s="55"/>
      <c r="R412" s="55"/>
    </row>
    <row r="413" spans="1:18" ht="18.95" customHeight="1">
      <c r="A413" s="55"/>
      <c r="B413" s="55"/>
      <c r="C413" s="55"/>
      <c r="D413" s="55"/>
      <c r="E413" s="55"/>
      <c r="F413" s="55"/>
      <c r="G413" s="55"/>
      <c r="H413" s="55"/>
      <c r="I413" s="55"/>
      <c r="J413" s="55"/>
      <c r="K413" s="55"/>
      <c r="L413" s="48"/>
      <c r="M413" s="55"/>
      <c r="N413" s="55"/>
      <c r="O413" s="55"/>
      <c r="P413" s="55"/>
      <c r="Q413" s="55"/>
      <c r="R413" s="55"/>
    </row>
    <row r="414" spans="1:18" ht="18.95" customHeight="1">
      <c r="A414" s="55"/>
      <c r="B414" s="55"/>
      <c r="C414" s="55"/>
      <c r="D414" s="55"/>
      <c r="E414" s="55"/>
      <c r="F414" s="55"/>
      <c r="G414" s="55"/>
      <c r="H414" s="55"/>
      <c r="I414" s="55"/>
      <c r="J414" s="55"/>
      <c r="K414" s="55"/>
      <c r="L414" s="48"/>
      <c r="M414" s="55"/>
      <c r="N414" s="55"/>
      <c r="O414" s="55"/>
      <c r="P414" s="55"/>
      <c r="Q414" s="55"/>
      <c r="R414" s="55"/>
    </row>
    <row r="415" spans="1:18" ht="18.95" customHeight="1">
      <c r="A415" s="55"/>
      <c r="B415" s="55"/>
      <c r="C415" s="55"/>
      <c r="D415" s="55"/>
      <c r="E415" s="55"/>
      <c r="F415" s="55"/>
      <c r="G415" s="55"/>
      <c r="H415" s="55"/>
      <c r="I415" s="55"/>
      <c r="J415" s="55"/>
      <c r="K415" s="55"/>
      <c r="L415" s="48"/>
      <c r="M415" s="55"/>
      <c r="N415" s="55"/>
      <c r="O415" s="55"/>
      <c r="P415" s="55"/>
      <c r="Q415" s="55"/>
      <c r="R415" s="55"/>
    </row>
    <row r="416" spans="1:18" ht="18.95" customHeight="1">
      <c r="A416" s="55"/>
      <c r="B416" s="55"/>
      <c r="C416" s="55"/>
      <c r="D416" s="55"/>
      <c r="E416" s="55"/>
      <c r="F416" s="55"/>
      <c r="G416" s="55"/>
      <c r="H416" s="55"/>
      <c r="I416" s="55"/>
      <c r="J416" s="55"/>
      <c r="K416" s="55"/>
      <c r="L416" s="48"/>
      <c r="M416" s="55"/>
      <c r="N416" s="55"/>
      <c r="O416" s="55"/>
      <c r="P416" s="55"/>
      <c r="Q416" s="55"/>
      <c r="R416" s="55"/>
    </row>
    <row r="417" spans="1:18" ht="18.95" customHeight="1">
      <c r="A417" s="55"/>
      <c r="B417" s="55"/>
      <c r="C417" s="55"/>
      <c r="D417" s="55"/>
      <c r="E417" s="55"/>
      <c r="F417" s="55"/>
      <c r="G417" s="55"/>
      <c r="H417" s="55"/>
      <c r="I417" s="55"/>
      <c r="J417" s="55"/>
      <c r="K417" s="55"/>
      <c r="L417" s="48"/>
      <c r="M417" s="55"/>
      <c r="N417" s="55"/>
      <c r="O417" s="55"/>
      <c r="P417" s="55"/>
      <c r="Q417" s="55"/>
      <c r="R417" s="55"/>
    </row>
    <row r="418" spans="1:18" ht="18.95" customHeight="1">
      <c r="A418" s="55"/>
      <c r="B418" s="55"/>
      <c r="C418" s="55"/>
      <c r="D418" s="55"/>
      <c r="E418" s="55"/>
      <c r="F418" s="55"/>
      <c r="G418" s="55"/>
      <c r="H418" s="55"/>
      <c r="I418" s="55"/>
      <c r="J418" s="55"/>
      <c r="K418" s="55"/>
      <c r="L418" s="48"/>
      <c r="M418" s="55"/>
      <c r="N418" s="55"/>
      <c r="O418" s="55"/>
      <c r="P418" s="55"/>
      <c r="Q418" s="55"/>
      <c r="R418" s="55"/>
    </row>
    <row r="419" spans="1:18" ht="18.95" customHeight="1">
      <c r="A419" s="55"/>
      <c r="B419" s="55"/>
      <c r="C419" s="55"/>
      <c r="D419" s="55"/>
      <c r="E419" s="55"/>
      <c r="F419" s="55"/>
      <c r="G419" s="55"/>
      <c r="H419" s="55"/>
      <c r="I419" s="55"/>
      <c r="J419" s="55"/>
      <c r="K419" s="55"/>
      <c r="L419" s="48"/>
      <c r="M419" s="55"/>
      <c r="N419" s="55"/>
      <c r="O419" s="55"/>
      <c r="P419" s="55"/>
      <c r="Q419" s="55"/>
      <c r="R419" s="55"/>
    </row>
    <row r="420" spans="1:18" ht="18.95" customHeight="1">
      <c r="A420" s="55"/>
      <c r="B420" s="55"/>
      <c r="C420" s="55"/>
      <c r="D420" s="55"/>
      <c r="E420" s="55"/>
      <c r="F420" s="55"/>
      <c r="G420" s="55"/>
      <c r="H420" s="55"/>
      <c r="I420" s="55"/>
      <c r="J420" s="55"/>
      <c r="K420" s="55"/>
      <c r="L420" s="48"/>
      <c r="M420" s="55"/>
      <c r="N420" s="55"/>
      <c r="O420" s="55"/>
      <c r="P420" s="55"/>
      <c r="Q420" s="55"/>
      <c r="R420" s="55"/>
    </row>
  </sheetData>
  <mergeCells count="29">
    <mergeCell ref="A1:R1"/>
    <mergeCell ref="E2:F2"/>
    <mergeCell ref="A6:L6"/>
    <mergeCell ref="A117:L117"/>
    <mergeCell ref="G4:H4"/>
    <mergeCell ref="I4:J4"/>
    <mergeCell ref="A21:L21"/>
    <mergeCell ref="A2:D2"/>
    <mergeCell ref="G2:L2"/>
    <mergeCell ref="C3:D3"/>
    <mergeCell ref="A20:L20"/>
    <mergeCell ref="E3:F3"/>
    <mergeCell ref="A3:B4"/>
    <mergeCell ref="G3:H3"/>
    <mergeCell ref="I3:J3"/>
    <mergeCell ref="A85:L85"/>
    <mergeCell ref="A122:L122"/>
    <mergeCell ref="K3:L3"/>
    <mergeCell ref="A94:L94"/>
    <mergeCell ref="A14:L14"/>
    <mergeCell ref="A32:L32"/>
    <mergeCell ref="A49:L49"/>
    <mergeCell ref="A120:L120"/>
    <mergeCell ref="E4:F4"/>
    <mergeCell ref="K4:L4"/>
    <mergeCell ref="A66:L66"/>
    <mergeCell ref="A121:L121"/>
    <mergeCell ref="A106:L106"/>
    <mergeCell ref="A119:L119"/>
  </mergeCells>
  <dataValidations count="4">
    <dataValidation type="list" allowBlank="1" errorTitle="Invalid entry" error="Select a value from the list." prompt="Use the dropdown choice." sqref="D16:D18 F23:F30 F87:F92" xr:uid="{00000000-0002-0000-0600-000000000000}">
      <formula1>"Not Started,In Progress,Complete,Gap,Hold,N/A"</formula1>
    </dataValidation>
    <dataValidation type="list" allowBlank="1" errorTitle="Invalid entry" error="Select a value from the list." prompt="Use the dropdown choice." sqref="E16:E18 E124:E126" xr:uid="{00000000-0002-0000-0600-000001000000}">
      <formula1>"Proceed,Proceed with Conditions,Hold,Backtrack,N/A"</formula1>
    </dataValidation>
    <dataValidation type="list" allowBlank="1" errorTitle="Invalid entry" error="Select a value from the list." prompt="Use the dropdown choice." sqref="C34:C47 C51:C64 C68:C83 C96:C104 C108:C115" xr:uid="{00000000-0002-0000-0600-000002000000}">
      <formula1>"TRUE,FALSE"</formula1>
    </dataValidation>
    <dataValidation type="list" allowBlank="1" errorTitle="Invalid entry" error="Select a value from the list." prompt="Use the dropdown choice." sqref="B108:C115 D96:D104" xr:uid="{00000000-0002-0000-0600-000003000000}">
      <formula1>"Y,N,N/A"</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L420"/>
  <sheetViews>
    <sheetView showGridLines="0" topLeftCell="A9" workbookViewId="0">
      <selection activeCell="D10" sqref="D10"/>
    </sheetView>
  </sheetViews>
  <sheetFormatPr defaultRowHeight="15"/>
  <cols>
    <col min="1" max="1" width="15.85546875" customWidth="1"/>
    <col min="2" max="2" width="18" customWidth="1"/>
    <col min="3" max="3" width="34" customWidth="1"/>
    <col min="4" max="4" width="23" customWidth="1"/>
    <col min="5" max="5" width="18" customWidth="1"/>
    <col min="6" max="6" width="28" customWidth="1"/>
    <col min="7" max="7" width="34" customWidth="1"/>
    <col min="8" max="8" width="20" customWidth="1"/>
    <col min="9" max="9" width="12" customWidth="1"/>
    <col min="10" max="10" width="18" customWidth="1"/>
    <col min="11" max="11" width="20" customWidth="1"/>
    <col min="12" max="12" width="22" customWidth="1"/>
  </cols>
  <sheetData>
    <row r="1" spans="1:12" s="48" customFormat="1">
      <c r="A1" s="152" t="s">
        <v>311</v>
      </c>
      <c r="B1" s="152"/>
      <c r="C1" s="152"/>
      <c r="D1" s="152"/>
      <c r="E1" s="152"/>
      <c r="F1" s="152"/>
      <c r="G1" s="152"/>
      <c r="H1" s="152"/>
      <c r="I1" s="152"/>
      <c r="J1" s="152"/>
      <c r="K1" s="152"/>
      <c r="L1" s="152"/>
    </row>
    <row r="2" spans="1:12" ht="97.5" customHeight="1">
      <c r="A2" s="146" t="s">
        <v>0</v>
      </c>
      <c r="B2" s="193"/>
      <c r="C2" s="193"/>
      <c r="D2" s="193"/>
      <c r="E2" s="146" t="s">
        <v>1081</v>
      </c>
      <c r="F2" s="193"/>
      <c r="G2" s="146" t="s">
        <v>1082</v>
      </c>
      <c r="H2" s="193"/>
      <c r="I2" s="193"/>
      <c r="J2" s="193"/>
      <c r="K2" s="193"/>
      <c r="L2" s="193"/>
    </row>
    <row r="3" spans="1:12" ht="30" customHeight="1">
      <c r="A3" s="153" t="s">
        <v>1083</v>
      </c>
      <c r="B3" s="193"/>
      <c r="C3" s="147" t="s">
        <v>1084</v>
      </c>
      <c r="D3" s="193"/>
      <c r="E3" s="148" t="s">
        <v>1085</v>
      </c>
      <c r="F3" s="193"/>
      <c r="G3" s="148" t="s">
        <v>1086</v>
      </c>
      <c r="H3" s="193"/>
      <c r="I3" s="148" t="s">
        <v>1087</v>
      </c>
      <c r="J3" s="193"/>
      <c r="K3" s="148" t="s">
        <v>72</v>
      </c>
      <c r="L3" s="193"/>
    </row>
    <row r="4" spans="1:12" ht="24" customHeight="1">
      <c r="A4" s="193"/>
      <c r="B4" s="193"/>
      <c r="C4" s="54"/>
      <c r="D4" s="54"/>
      <c r="E4" s="158" t="s">
        <v>1088</v>
      </c>
      <c r="F4" s="193"/>
      <c r="G4" s="158" t="s">
        <v>1089</v>
      </c>
      <c r="H4" s="193"/>
      <c r="I4" s="158" t="s">
        <v>1090</v>
      </c>
      <c r="J4" s="193"/>
      <c r="K4" s="158" t="s">
        <v>1091</v>
      </c>
      <c r="L4" s="193"/>
    </row>
    <row r="5" spans="1:12" ht="18.95" customHeight="1">
      <c r="A5" s="48"/>
      <c r="B5" s="48"/>
      <c r="C5" s="48"/>
      <c r="D5" s="48"/>
      <c r="E5" s="48"/>
      <c r="F5" s="48"/>
      <c r="G5" s="48"/>
      <c r="H5" s="48"/>
      <c r="I5" s="48"/>
      <c r="J5" s="48"/>
      <c r="K5" s="48"/>
      <c r="L5" s="48"/>
    </row>
    <row r="6" spans="1:12" ht="26.1" customHeight="1">
      <c r="A6" s="150" t="s">
        <v>1092</v>
      </c>
      <c r="B6" s="194"/>
      <c r="C6" s="194"/>
      <c r="D6" s="194"/>
      <c r="E6" s="194"/>
      <c r="F6" s="194"/>
      <c r="G6" s="194"/>
      <c r="H6" s="194"/>
      <c r="I6" s="194"/>
      <c r="J6" s="194"/>
      <c r="K6" s="194"/>
      <c r="L6" s="195"/>
    </row>
    <row r="7" spans="1:12" ht="24" customHeight="1">
      <c r="A7" s="22" t="s">
        <v>143</v>
      </c>
      <c r="B7" s="22" t="s">
        <v>336</v>
      </c>
      <c r="C7" s="22" t="s">
        <v>1093</v>
      </c>
      <c r="D7" s="22" t="s">
        <v>1094</v>
      </c>
      <c r="E7" s="22" t="s">
        <v>3</v>
      </c>
      <c r="F7" s="22" t="s">
        <v>1095</v>
      </c>
      <c r="G7" s="22" t="s">
        <v>1096</v>
      </c>
      <c r="H7" s="22" t="s">
        <v>1097</v>
      </c>
      <c r="I7" s="22"/>
      <c r="J7" s="22"/>
      <c r="K7" s="22"/>
      <c r="L7" s="22"/>
    </row>
    <row r="8" spans="1:12" ht="103.5" customHeight="1">
      <c r="A8" s="25" t="s">
        <v>1098</v>
      </c>
      <c r="B8" s="27" t="s">
        <v>1099</v>
      </c>
      <c r="C8" s="28" t="s">
        <v>1100</v>
      </c>
      <c r="D8" s="27" t="s">
        <v>1101</v>
      </c>
      <c r="E8" s="27" t="s">
        <v>1102</v>
      </c>
      <c r="F8" s="27" t="s">
        <v>1103</v>
      </c>
      <c r="G8" s="27" t="s">
        <v>1104</v>
      </c>
      <c r="H8" s="28" t="s">
        <v>346</v>
      </c>
      <c r="I8" s="48"/>
      <c r="J8" s="48"/>
      <c r="K8" s="48"/>
      <c r="L8" s="48"/>
    </row>
    <row r="9" spans="1:12" ht="105.75" customHeight="1">
      <c r="A9" s="25" t="s">
        <v>1105</v>
      </c>
      <c r="B9" s="27" t="s">
        <v>1106</v>
      </c>
      <c r="C9" s="28" t="s">
        <v>1100</v>
      </c>
      <c r="D9" s="27" t="s">
        <v>1101</v>
      </c>
      <c r="E9" s="27" t="s">
        <v>1107</v>
      </c>
      <c r="F9" s="27" t="s">
        <v>1108</v>
      </c>
      <c r="G9" s="27" t="s">
        <v>1109</v>
      </c>
      <c r="H9" s="28" t="s">
        <v>346</v>
      </c>
      <c r="I9" s="48"/>
      <c r="J9" s="48"/>
      <c r="K9" s="48"/>
      <c r="L9" s="48"/>
    </row>
    <row r="10" spans="1:12" ht="33.950000000000003" customHeight="1">
      <c r="A10" s="25" t="s">
        <v>1110</v>
      </c>
      <c r="B10" s="27" t="s">
        <v>1111</v>
      </c>
      <c r="C10" s="28" t="s">
        <v>1100</v>
      </c>
      <c r="D10" s="27" t="s">
        <v>1101</v>
      </c>
      <c r="E10" s="27" t="s">
        <v>1112</v>
      </c>
      <c r="F10" s="27" t="s">
        <v>1113</v>
      </c>
      <c r="G10" s="27" t="s">
        <v>1114</v>
      </c>
      <c r="H10" s="28" t="s">
        <v>1115</v>
      </c>
      <c r="I10" s="48"/>
      <c r="J10" s="48"/>
      <c r="K10" s="48"/>
      <c r="L10" s="48"/>
    </row>
    <row r="11" spans="1:12" ht="44.1" customHeight="1">
      <c r="A11" s="25" t="s">
        <v>1116</v>
      </c>
      <c r="B11" s="27" t="s">
        <v>1117</v>
      </c>
      <c r="C11" s="28" t="s">
        <v>1118</v>
      </c>
      <c r="D11" s="27" t="s">
        <v>1119</v>
      </c>
      <c r="E11" s="27" t="s">
        <v>1120</v>
      </c>
      <c r="F11" s="27" t="s">
        <v>1121</v>
      </c>
      <c r="G11" s="27" t="s">
        <v>1122</v>
      </c>
      <c r="H11" s="28" t="s">
        <v>544</v>
      </c>
      <c r="I11" s="48"/>
      <c r="J11" s="48"/>
      <c r="K11" s="48"/>
      <c r="L11" s="48"/>
    </row>
    <row r="12" spans="1:12" ht="33.950000000000003" customHeight="1">
      <c r="A12" s="25" t="s">
        <v>1123</v>
      </c>
      <c r="B12" s="27" t="s">
        <v>1124</v>
      </c>
      <c r="C12" s="28" t="s">
        <v>1118</v>
      </c>
      <c r="D12" s="27" t="s">
        <v>1119</v>
      </c>
      <c r="E12" s="27" t="s">
        <v>1125</v>
      </c>
      <c r="F12" s="27" t="s">
        <v>1126</v>
      </c>
      <c r="G12" s="27" t="s">
        <v>1127</v>
      </c>
      <c r="H12" s="28" t="s">
        <v>547</v>
      </c>
      <c r="I12" s="48"/>
      <c r="J12" s="48"/>
      <c r="K12" s="48"/>
      <c r="L12" s="48"/>
    </row>
    <row r="13" spans="1:12" ht="33.950000000000003" customHeight="1">
      <c r="A13" s="25" t="s">
        <v>1128</v>
      </c>
      <c r="B13" s="27" t="s">
        <v>1129</v>
      </c>
      <c r="C13" s="28" t="s">
        <v>1118</v>
      </c>
      <c r="D13" s="27" t="s">
        <v>1119</v>
      </c>
      <c r="E13" s="27" t="s">
        <v>549</v>
      </c>
      <c r="F13" s="27" t="s">
        <v>1130</v>
      </c>
      <c r="G13" s="27" t="s">
        <v>1131</v>
      </c>
      <c r="H13" s="28" t="s">
        <v>550</v>
      </c>
      <c r="I13" s="48"/>
      <c r="J13" s="48"/>
      <c r="K13" s="48"/>
      <c r="L13" s="48"/>
    </row>
    <row r="14" spans="1:12" ht="44.1" customHeight="1">
      <c r="A14" s="25" t="s">
        <v>1132</v>
      </c>
      <c r="B14" s="27" t="s">
        <v>1133</v>
      </c>
      <c r="C14" s="28" t="s">
        <v>1134</v>
      </c>
      <c r="D14" s="27" t="s">
        <v>1135</v>
      </c>
      <c r="E14" s="27" t="s">
        <v>1136</v>
      </c>
      <c r="F14" s="27" t="s">
        <v>1137</v>
      </c>
      <c r="G14" s="27" t="s">
        <v>1138</v>
      </c>
      <c r="H14" s="28" t="s">
        <v>702</v>
      </c>
      <c r="I14" s="48"/>
      <c r="J14" s="48"/>
      <c r="K14" s="48"/>
      <c r="L14" s="48"/>
    </row>
    <row r="15" spans="1:12" ht="44.1" customHeight="1">
      <c r="A15" s="25" t="s">
        <v>1139</v>
      </c>
      <c r="B15" s="27" t="s">
        <v>1140</v>
      </c>
      <c r="C15" s="28" t="s">
        <v>1134</v>
      </c>
      <c r="D15" s="27" t="s">
        <v>1135</v>
      </c>
      <c r="E15" s="27" t="s">
        <v>704</v>
      </c>
      <c r="F15" s="27" t="s">
        <v>1141</v>
      </c>
      <c r="G15" s="27" t="s">
        <v>1142</v>
      </c>
      <c r="H15" s="28" t="s">
        <v>705</v>
      </c>
      <c r="I15" s="48"/>
      <c r="J15" s="48"/>
      <c r="K15" s="48"/>
      <c r="L15" s="48"/>
    </row>
    <row r="16" spans="1:12" ht="33.950000000000003" customHeight="1">
      <c r="A16" s="25" t="s">
        <v>1143</v>
      </c>
      <c r="B16" s="27" t="s">
        <v>1144</v>
      </c>
      <c r="C16" s="28" t="s">
        <v>1134</v>
      </c>
      <c r="D16" s="27" t="s">
        <v>1135</v>
      </c>
      <c r="E16" s="27" t="s">
        <v>708</v>
      </c>
      <c r="F16" s="27" t="s">
        <v>1145</v>
      </c>
      <c r="G16" s="27" t="s">
        <v>1146</v>
      </c>
      <c r="H16" s="28" t="s">
        <v>709</v>
      </c>
      <c r="I16" s="48"/>
      <c r="J16" s="48"/>
      <c r="K16" s="48"/>
      <c r="L16" s="48"/>
    </row>
    <row r="17" spans="1:12" ht="44.1" customHeight="1">
      <c r="A17" s="25" t="s">
        <v>1147</v>
      </c>
      <c r="B17" s="27" t="s">
        <v>1148</v>
      </c>
      <c r="C17" s="28" t="s">
        <v>1149</v>
      </c>
      <c r="D17" s="27" t="s">
        <v>1150</v>
      </c>
      <c r="E17" s="27" t="s">
        <v>977</v>
      </c>
      <c r="F17" s="27" t="s">
        <v>1151</v>
      </c>
      <c r="G17" s="27" t="s">
        <v>1152</v>
      </c>
      <c r="H17" s="28" t="s">
        <v>978</v>
      </c>
      <c r="I17" s="48"/>
      <c r="J17" s="48"/>
      <c r="K17" s="48"/>
      <c r="L17" s="48"/>
    </row>
    <row r="18" spans="1:12" ht="44.1" customHeight="1">
      <c r="A18" s="25" t="s">
        <v>1153</v>
      </c>
      <c r="B18" s="27" t="s">
        <v>1154</v>
      </c>
      <c r="C18" s="28" t="s">
        <v>1149</v>
      </c>
      <c r="D18" s="27" t="s">
        <v>1150</v>
      </c>
      <c r="E18" s="27" t="s">
        <v>980</v>
      </c>
      <c r="F18" s="27" t="s">
        <v>1155</v>
      </c>
      <c r="G18" s="27" t="s">
        <v>1156</v>
      </c>
      <c r="H18" s="28" t="s">
        <v>981</v>
      </c>
      <c r="I18" s="48"/>
      <c r="J18" s="48"/>
      <c r="K18" s="48"/>
      <c r="L18" s="48"/>
    </row>
    <row r="19" spans="1:12" ht="44.1" customHeight="1">
      <c r="A19" s="25" t="s">
        <v>1157</v>
      </c>
      <c r="B19" s="27" t="s">
        <v>1158</v>
      </c>
      <c r="C19" s="28" t="s">
        <v>1149</v>
      </c>
      <c r="D19" s="27" t="s">
        <v>1150</v>
      </c>
      <c r="E19" s="27" t="s">
        <v>983</v>
      </c>
      <c r="F19" s="27" t="s">
        <v>1159</v>
      </c>
      <c r="G19" s="27" t="s">
        <v>1160</v>
      </c>
      <c r="H19" s="28" t="s">
        <v>984</v>
      </c>
      <c r="I19" s="48"/>
      <c r="J19" s="48"/>
      <c r="K19" s="48"/>
      <c r="L19" s="48"/>
    </row>
    <row r="20" spans="1:12" ht="44.1" customHeight="1">
      <c r="A20" s="25" t="s">
        <v>263</v>
      </c>
      <c r="B20" s="27" t="s">
        <v>1161</v>
      </c>
      <c r="C20" s="28" t="s">
        <v>1149</v>
      </c>
      <c r="D20" s="27" t="s">
        <v>1162</v>
      </c>
      <c r="E20" s="27" t="s">
        <v>1163</v>
      </c>
      <c r="F20" s="27" t="s">
        <v>1164</v>
      </c>
      <c r="G20" s="27" t="s">
        <v>1165</v>
      </c>
      <c r="H20" s="28" t="s">
        <v>260</v>
      </c>
      <c r="I20" s="48"/>
      <c r="J20" s="48"/>
      <c r="K20" s="48"/>
      <c r="L20" s="48"/>
    </row>
    <row r="21" spans="1:12" ht="18.95" customHeight="1">
      <c r="A21" s="48"/>
      <c r="B21" s="48"/>
      <c r="C21" s="48"/>
      <c r="D21" s="48"/>
      <c r="E21" s="48"/>
      <c r="F21" s="48"/>
      <c r="G21" s="48"/>
      <c r="H21" s="48"/>
      <c r="I21" s="48"/>
      <c r="J21" s="48"/>
      <c r="K21" s="48"/>
      <c r="L21" s="48"/>
    </row>
    <row r="22" spans="1:12" ht="18.95" customHeight="1">
      <c r="A22" s="48"/>
      <c r="B22" s="48"/>
      <c r="C22" s="48"/>
      <c r="D22" s="48"/>
      <c r="E22" s="48"/>
      <c r="F22" s="48"/>
      <c r="G22" s="48"/>
      <c r="H22" s="48"/>
      <c r="I22" s="48"/>
      <c r="J22" s="48"/>
      <c r="K22" s="48"/>
      <c r="L22" s="48"/>
    </row>
    <row r="23" spans="1:12" ht="18.95" customHeight="1">
      <c r="A23" s="48"/>
      <c r="B23" s="48"/>
      <c r="C23" s="48"/>
      <c r="D23" s="48"/>
      <c r="E23" s="48"/>
      <c r="F23" s="48"/>
      <c r="G23" s="48"/>
      <c r="H23" s="48"/>
      <c r="I23" s="48"/>
      <c r="J23" s="48"/>
      <c r="K23" s="48"/>
      <c r="L23" s="48"/>
    </row>
    <row r="24" spans="1:12" ht="18.95" customHeight="1">
      <c r="A24" s="48"/>
      <c r="B24" s="48"/>
      <c r="C24" s="48"/>
      <c r="D24" s="48"/>
      <c r="E24" s="48"/>
      <c r="F24" s="48"/>
      <c r="G24" s="48"/>
      <c r="H24" s="48"/>
      <c r="I24" s="48"/>
      <c r="J24" s="48"/>
      <c r="K24" s="48"/>
      <c r="L24" s="48"/>
    </row>
    <row r="25" spans="1:12" ht="18.95" customHeight="1">
      <c r="A25" s="48"/>
      <c r="B25" s="48"/>
      <c r="C25" s="48"/>
      <c r="D25" s="48"/>
      <c r="E25" s="48"/>
      <c r="F25" s="48"/>
      <c r="G25" s="48"/>
      <c r="H25" s="48"/>
      <c r="I25" s="48"/>
      <c r="J25" s="48"/>
      <c r="K25" s="48"/>
      <c r="L25" s="48"/>
    </row>
    <row r="26" spans="1:12" ht="18.95" customHeight="1">
      <c r="A26" s="48"/>
      <c r="B26" s="48"/>
      <c r="C26" s="48"/>
      <c r="D26" s="48"/>
      <c r="E26" s="48"/>
      <c r="F26" s="48"/>
      <c r="G26" s="48"/>
      <c r="H26" s="48"/>
      <c r="I26" s="48"/>
      <c r="J26" s="48"/>
      <c r="K26" s="48"/>
      <c r="L26" s="48"/>
    </row>
    <row r="27" spans="1:12" ht="18.95" customHeight="1">
      <c r="A27" s="48"/>
      <c r="B27" s="48"/>
      <c r="C27" s="48"/>
      <c r="D27" s="48"/>
      <c r="E27" s="48"/>
      <c r="F27" s="48"/>
      <c r="G27" s="48"/>
      <c r="H27" s="48"/>
      <c r="I27" s="48"/>
      <c r="J27" s="48"/>
      <c r="K27" s="48"/>
      <c r="L27" s="48"/>
    </row>
    <row r="28" spans="1:12" ht="18.95" customHeight="1">
      <c r="A28" s="48"/>
      <c r="B28" s="48"/>
      <c r="C28" s="48"/>
      <c r="D28" s="48"/>
      <c r="E28" s="48"/>
      <c r="F28" s="48"/>
      <c r="G28" s="48"/>
      <c r="H28" s="48"/>
      <c r="I28" s="48"/>
      <c r="J28" s="48"/>
      <c r="K28" s="48"/>
      <c r="L28" s="48"/>
    </row>
    <row r="29" spans="1:12" ht="18.95" customHeight="1">
      <c r="A29" s="48"/>
      <c r="B29" s="48"/>
      <c r="C29" s="48"/>
      <c r="D29" s="48"/>
      <c r="E29" s="48"/>
      <c r="F29" s="48"/>
      <c r="G29" s="48"/>
      <c r="H29" s="48"/>
      <c r="I29" s="48"/>
      <c r="J29" s="48"/>
      <c r="K29" s="48"/>
      <c r="L29" s="48"/>
    </row>
    <row r="30" spans="1:12" ht="18.95" customHeight="1">
      <c r="A30" s="48"/>
      <c r="B30" s="48"/>
      <c r="C30" s="48"/>
      <c r="D30" s="48"/>
      <c r="E30" s="48"/>
      <c r="F30" s="48"/>
      <c r="G30" s="48"/>
      <c r="H30" s="48"/>
      <c r="I30" s="48"/>
      <c r="J30" s="48"/>
      <c r="K30" s="48"/>
      <c r="L30" s="48"/>
    </row>
    <row r="31" spans="1:12" ht="18.95" customHeight="1">
      <c r="A31" s="48"/>
      <c r="B31" s="48"/>
      <c r="C31" s="48"/>
      <c r="D31" s="48"/>
      <c r="E31" s="48"/>
      <c r="F31" s="48"/>
      <c r="G31" s="48"/>
      <c r="H31" s="48"/>
      <c r="I31" s="48"/>
      <c r="J31" s="48"/>
      <c r="K31" s="48"/>
      <c r="L31" s="48"/>
    </row>
    <row r="32" spans="1:12" ht="18.95" customHeight="1">
      <c r="A32" s="48"/>
      <c r="B32" s="48"/>
      <c r="C32" s="48"/>
      <c r="D32" s="48"/>
      <c r="E32" s="48"/>
      <c r="F32" s="48"/>
      <c r="G32" s="48"/>
      <c r="H32" s="48"/>
      <c r="I32" s="48"/>
      <c r="J32" s="48"/>
      <c r="K32" s="48"/>
      <c r="L32" s="48"/>
    </row>
    <row r="33" spans="1:12" ht="18.95" customHeight="1">
      <c r="A33" s="48"/>
      <c r="B33" s="48"/>
      <c r="C33" s="48"/>
      <c r="D33" s="48"/>
      <c r="E33" s="48"/>
      <c r="F33" s="48"/>
      <c r="G33" s="48"/>
      <c r="H33" s="48"/>
      <c r="I33" s="48"/>
      <c r="J33" s="48"/>
      <c r="K33" s="48"/>
      <c r="L33" s="48"/>
    </row>
    <row r="34" spans="1:12" ht="18.95" customHeight="1">
      <c r="A34" s="48"/>
      <c r="B34" s="48"/>
      <c r="C34" s="48"/>
      <c r="D34" s="48"/>
      <c r="E34" s="48"/>
      <c r="F34" s="48"/>
      <c r="G34" s="48"/>
      <c r="H34" s="48"/>
      <c r="I34" s="48"/>
      <c r="J34" s="48"/>
      <c r="K34" s="48"/>
      <c r="L34" s="48"/>
    </row>
    <row r="35" spans="1:12" ht="18.95" customHeight="1">
      <c r="A35" s="48"/>
      <c r="B35" s="48"/>
      <c r="C35" s="48"/>
      <c r="D35" s="48"/>
      <c r="E35" s="48"/>
      <c r="F35" s="48"/>
      <c r="G35" s="48"/>
      <c r="H35" s="48"/>
      <c r="I35" s="48"/>
      <c r="J35" s="48"/>
      <c r="K35" s="48"/>
      <c r="L35" s="48"/>
    </row>
    <row r="36" spans="1:12" ht="18.95" customHeight="1">
      <c r="A36" s="48"/>
      <c r="B36" s="48"/>
      <c r="C36" s="48"/>
      <c r="D36" s="48"/>
      <c r="E36" s="48"/>
      <c r="F36" s="48"/>
      <c r="G36" s="48"/>
      <c r="H36" s="48"/>
      <c r="I36" s="48"/>
      <c r="J36" s="48"/>
      <c r="K36" s="48"/>
      <c r="L36" s="48"/>
    </row>
    <row r="37" spans="1:12" ht="18.95" customHeight="1">
      <c r="A37" s="48"/>
      <c r="B37" s="48"/>
      <c r="C37" s="48"/>
      <c r="D37" s="48"/>
      <c r="E37" s="48"/>
      <c r="F37" s="48"/>
      <c r="G37" s="48"/>
      <c r="H37" s="48"/>
      <c r="I37" s="48"/>
      <c r="J37" s="48"/>
      <c r="K37" s="48"/>
      <c r="L37" s="48"/>
    </row>
    <row r="38" spans="1:12" ht="18.95" customHeight="1">
      <c r="A38" s="48"/>
      <c r="B38" s="48"/>
      <c r="C38" s="48"/>
      <c r="D38" s="48"/>
      <c r="E38" s="48"/>
      <c r="F38" s="48"/>
      <c r="G38" s="48"/>
      <c r="H38" s="48"/>
      <c r="I38" s="48"/>
      <c r="J38" s="48"/>
      <c r="K38" s="48"/>
      <c r="L38" s="48"/>
    </row>
    <row r="39" spans="1:12" ht="18.95" customHeight="1">
      <c r="A39" s="48"/>
      <c r="B39" s="48"/>
      <c r="C39" s="48"/>
      <c r="D39" s="48"/>
      <c r="E39" s="48"/>
      <c r="F39" s="48"/>
      <c r="G39" s="48"/>
      <c r="H39" s="48"/>
      <c r="I39" s="48"/>
      <c r="J39" s="48"/>
      <c r="K39" s="48"/>
      <c r="L39" s="48"/>
    </row>
    <row r="40" spans="1:12" ht="18.95" customHeight="1">
      <c r="A40" s="48"/>
      <c r="B40" s="48"/>
      <c r="C40" s="48"/>
      <c r="D40" s="48"/>
      <c r="E40" s="48"/>
      <c r="F40" s="48"/>
      <c r="G40" s="48"/>
      <c r="H40" s="48"/>
      <c r="I40" s="48"/>
      <c r="J40" s="48"/>
      <c r="K40" s="48"/>
      <c r="L40" s="48"/>
    </row>
    <row r="41" spans="1:12" ht="18.95" customHeight="1">
      <c r="A41" s="48"/>
      <c r="B41" s="48"/>
      <c r="C41" s="48"/>
      <c r="D41" s="48"/>
      <c r="E41" s="48"/>
      <c r="F41" s="48"/>
      <c r="G41" s="48"/>
      <c r="H41" s="48"/>
      <c r="I41" s="48"/>
      <c r="J41" s="48"/>
      <c r="K41" s="48"/>
      <c r="L41" s="48"/>
    </row>
    <row r="42" spans="1:12" ht="18.95" customHeight="1">
      <c r="A42" s="48"/>
      <c r="B42" s="48"/>
      <c r="C42" s="48"/>
      <c r="D42" s="48"/>
      <c r="E42" s="48"/>
      <c r="F42" s="48"/>
      <c r="G42" s="48"/>
      <c r="H42" s="48"/>
      <c r="I42" s="48"/>
      <c r="J42" s="48"/>
      <c r="K42" s="48"/>
      <c r="L42" s="48"/>
    </row>
    <row r="43" spans="1:12" ht="18.95" customHeight="1">
      <c r="A43" s="48"/>
      <c r="B43" s="48"/>
      <c r="C43" s="48"/>
      <c r="D43" s="48"/>
      <c r="E43" s="48"/>
      <c r="F43" s="48"/>
      <c r="G43" s="48"/>
      <c r="H43" s="48"/>
      <c r="I43" s="48"/>
      <c r="J43" s="48"/>
      <c r="K43" s="48"/>
      <c r="L43" s="48"/>
    </row>
    <row r="44" spans="1:12" ht="18.95" customHeight="1">
      <c r="A44" s="48"/>
      <c r="B44" s="48"/>
      <c r="C44" s="48"/>
      <c r="D44" s="48"/>
      <c r="E44" s="48"/>
      <c r="F44" s="48"/>
      <c r="G44" s="48"/>
      <c r="H44" s="48"/>
      <c r="I44" s="48"/>
      <c r="J44" s="48"/>
      <c r="K44" s="48"/>
      <c r="L44" s="48"/>
    </row>
    <row r="45" spans="1:12" ht="18.95" customHeight="1">
      <c r="A45" s="48"/>
      <c r="B45" s="48"/>
      <c r="C45" s="48"/>
      <c r="D45" s="48"/>
      <c r="E45" s="48"/>
      <c r="F45" s="48"/>
      <c r="G45" s="48"/>
      <c r="H45" s="48"/>
      <c r="I45" s="48"/>
      <c r="J45" s="48"/>
      <c r="K45" s="48"/>
      <c r="L45" s="48"/>
    </row>
    <row r="46" spans="1:12" ht="18.95" customHeight="1">
      <c r="A46" s="48"/>
      <c r="B46" s="48"/>
      <c r="C46" s="48"/>
      <c r="D46" s="48"/>
      <c r="E46" s="48"/>
      <c r="F46" s="48"/>
      <c r="G46" s="48"/>
      <c r="H46" s="48"/>
      <c r="I46" s="48"/>
      <c r="J46" s="48"/>
      <c r="K46" s="48"/>
      <c r="L46" s="48"/>
    </row>
    <row r="47" spans="1:12" ht="18.95" customHeight="1">
      <c r="A47" s="48"/>
      <c r="B47" s="48"/>
      <c r="C47" s="48"/>
      <c r="D47" s="48"/>
      <c r="E47" s="48"/>
      <c r="F47" s="48"/>
      <c r="G47" s="48"/>
      <c r="H47" s="48"/>
      <c r="I47" s="48"/>
      <c r="J47" s="48"/>
      <c r="K47" s="48"/>
      <c r="L47" s="48"/>
    </row>
    <row r="48" spans="1:12" ht="18.95" customHeight="1">
      <c r="A48" s="48"/>
      <c r="B48" s="48"/>
      <c r="C48" s="48"/>
      <c r="D48" s="48"/>
      <c r="E48" s="48"/>
      <c r="F48" s="48"/>
      <c r="G48" s="48"/>
      <c r="H48" s="48"/>
      <c r="I48" s="48"/>
      <c r="J48" s="48"/>
      <c r="K48" s="48"/>
      <c r="L48" s="48"/>
    </row>
    <row r="49" spans="1:12" ht="18.95" customHeight="1">
      <c r="A49" s="48"/>
      <c r="B49" s="48"/>
      <c r="C49" s="48"/>
      <c r="D49" s="48"/>
      <c r="E49" s="48"/>
      <c r="F49" s="48"/>
      <c r="G49" s="48"/>
      <c r="H49" s="48"/>
      <c r="I49" s="48"/>
      <c r="J49" s="48"/>
      <c r="K49" s="48"/>
      <c r="L49" s="48"/>
    </row>
    <row r="50" spans="1:12" ht="18.95" customHeight="1">
      <c r="A50" s="48"/>
      <c r="B50" s="48"/>
      <c r="C50" s="48"/>
      <c r="D50" s="48"/>
      <c r="E50" s="48"/>
      <c r="F50" s="48"/>
      <c r="G50" s="48"/>
      <c r="H50" s="48"/>
      <c r="I50" s="48"/>
      <c r="J50" s="48"/>
      <c r="K50" s="48"/>
      <c r="L50" s="48"/>
    </row>
    <row r="51" spans="1:12" ht="18.95" customHeight="1">
      <c r="A51" s="48"/>
      <c r="B51" s="48"/>
      <c r="C51" s="48"/>
      <c r="D51" s="48"/>
      <c r="E51" s="48"/>
      <c r="F51" s="48"/>
      <c r="G51" s="48"/>
      <c r="H51" s="48"/>
      <c r="I51" s="48"/>
      <c r="J51" s="48"/>
      <c r="K51" s="48"/>
      <c r="L51" s="48"/>
    </row>
    <row r="52" spans="1:12" ht="18.95" customHeight="1">
      <c r="A52" s="48"/>
      <c r="B52" s="48"/>
      <c r="C52" s="48"/>
      <c r="D52" s="48"/>
      <c r="E52" s="48"/>
      <c r="F52" s="48"/>
      <c r="G52" s="48"/>
      <c r="H52" s="48"/>
      <c r="I52" s="48"/>
      <c r="J52" s="48"/>
      <c r="K52" s="48"/>
      <c r="L52" s="48"/>
    </row>
    <row r="53" spans="1:12" ht="18.95" customHeight="1">
      <c r="A53" s="48"/>
      <c r="B53" s="48"/>
      <c r="C53" s="48"/>
      <c r="D53" s="48"/>
      <c r="E53" s="48"/>
      <c r="F53" s="48"/>
      <c r="G53" s="48"/>
      <c r="H53" s="48"/>
      <c r="I53" s="48"/>
      <c r="J53" s="48"/>
      <c r="K53" s="48"/>
      <c r="L53" s="48"/>
    </row>
    <row r="54" spans="1:12" ht="18.95" customHeight="1">
      <c r="A54" s="48"/>
      <c r="B54" s="48"/>
      <c r="C54" s="48"/>
      <c r="D54" s="48"/>
      <c r="E54" s="48"/>
      <c r="F54" s="48"/>
      <c r="G54" s="48"/>
      <c r="H54" s="48"/>
      <c r="I54" s="48"/>
      <c r="J54" s="48"/>
      <c r="K54" s="48"/>
      <c r="L54" s="48"/>
    </row>
    <row r="55" spans="1:12" ht="18.95" customHeight="1">
      <c r="A55" s="48"/>
      <c r="B55" s="48"/>
      <c r="C55" s="48"/>
      <c r="D55" s="48"/>
      <c r="E55" s="48"/>
      <c r="F55" s="48"/>
      <c r="G55" s="48"/>
      <c r="H55" s="48"/>
      <c r="I55" s="48"/>
      <c r="J55" s="48"/>
      <c r="K55" s="48"/>
      <c r="L55" s="48"/>
    </row>
    <row r="56" spans="1:12" ht="18.95" customHeight="1">
      <c r="A56" s="48"/>
      <c r="B56" s="48"/>
      <c r="C56" s="48"/>
      <c r="D56" s="48"/>
      <c r="E56" s="48"/>
      <c r="F56" s="48"/>
      <c r="G56" s="48"/>
      <c r="H56" s="48"/>
      <c r="I56" s="48"/>
      <c r="J56" s="48"/>
      <c r="K56" s="48"/>
      <c r="L56" s="48"/>
    </row>
    <row r="57" spans="1:12" ht="18.95" customHeight="1">
      <c r="A57" s="48"/>
      <c r="B57" s="48"/>
      <c r="C57" s="48"/>
      <c r="D57" s="48"/>
      <c r="E57" s="48"/>
      <c r="F57" s="48"/>
      <c r="G57" s="48"/>
      <c r="H57" s="48"/>
      <c r="I57" s="48"/>
      <c r="J57" s="48"/>
      <c r="K57" s="48"/>
      <c r="L57" s="48"/>
    </row>
    <row r="58" spans="1:12" ht="18.95" customHeight="1">
      <c r="A58" s="48"/>
      <c r="B58" s="48"/>
      <c r="C58" s="48"/>
      <c r="D58" s="48"/>
      <c r="E58" s="48"/>
      <c r="F58" s="48"/>
      <c r="G58" s="48"/>
      <c r="H58" s="48"/>
      <c r="I58" s="48"/>
      <c r="J58" s="48"/>
      <c r="K58" s="48"/>
      <c r="L58" s="48"/>
    </row>
    <row r="59" spans="1:12" ht="18.95" customHeight="1">
      <c r="A59" s="48"/>
      <c r="B59" s="48"/>
      <c r="C59" s="48"/>
      <c r="D59" s="48"/>
      <c r="E59" s="48"/>
      <c r="F59" s="48"/>
      <c r="G59" s="48"/>
      <c r="H59" s="48"/>
      <c r="I59" s="48"/>
      <c r="J59" s="48"/>
      <c r="K59" s="48"/>
      <c r="L59" s="48"/>
    </row>
    <row r="60" spans="1:12" ht="18.95" customHeight="1">
      <c r="A60" s="48"/>
      <c r="B60" s="48"/>
      <c r="C60" s="48"/>
      <c r="D60" s="48"/>
      <c r="E60" s="48"/>
      <c r="F60" s="48"/>
      <c r="G60" s="48"/>
      <c r="H60" s="48"/>
      <c r="I60" s="48"/>
      <c r="J60" s="48"/>
      <c r="K60" s="48"/>
      <c r="L60" s="48"/>
    </row>
    <row r="61" spans="1:12" ht="18.95" customHeight="1">
      <c r="A61" s="48"/>
      <c r="B61" s="48"/>
      <c r="C61" s="48"/>
      <c r="D61" s="48"/>
      <c r="E61" s="48"/>
      <c r="F61" s="48"/>
      <c r="G61" s="48"/>
      <c r="H61" s="48"/>
      <c r="I61" s="48"/>
      <c r="J61" s="48"/>
      <c r="K61" s="48"/>
      <c r="L61" s="48"/>
    </row>
    <row r="62" spans="1:12" ht="18.95" customHeight="1">
      <c r="A62" s="48"/>
      <c r="B62" s="48"/>
      <c r="C62" s="48"/>
      <c r="D62" s="48"/>
      <c r="E62" s="48"/>
      <c r="F62" s="48"/>
      <c r="G62" s="48"/>
      <c r="H62" s="48"/>
      <c r="I62" s="48"/>
      <c r="J62" s="48"/>
      <c r="K62" s="48"/>
      <c r="L62" s="48"/>
    </row>
    <row r="63" spans="1:12" ht="18.95" customHeight="1">
      <c r="A63" s="48"/>
      <c r="B63" s="48"/>
      <c r="C63" s="48"/>
      <c r="D63" s="48"/>
      <c r="E63" s="48"/>
      <c r="F63" s="48"/>
      <c r="G63" s="48"/>
      <c r="H63" s="48"/>
      <c r="I63" s="48"/>
      <c r="J63" s="48"/>
      <c r="K63" s="48"/>
      <c r="L63" s="48"/>
    </row>
    <row r="64" spans="1:12" ht="18.95" customHeight="1">
      <c r="A64" s="48"/>
      <c r="B64" s="48"/>
      <c r="C64" s="48"/>
      <c r="D64" s="48"/>
      <c r="E64" s="48"/>
      <c r="F64" s="48"/>
      <c r="G64" s="48"/>
      <c r="H64" s="48"/>
      <c r="I64" s="48"/>
      <c r="J64" s="48"/>
      <c r="K64" s="48"/>
      <c r="L64" s="48"/>
    </row>
    <row r="65" spans="1:12" ht="18.95" customHeight="1">
      <c r="A65" s="48"/>
      <c r="B65" s="48"/>
      <c r="C65" s="48"/>
      <c r="D65" s="48"/>
      <c r="E65" s="48"/>
      <c r="F65" s="48"/>
      <c r="G65" s="48"/>
      <c r="H65" s="48"/>
      <c r="I65" s="48"/>
      <c r="J65" s="48"/>
      <c r="K65" s="48"/>
      <c r="L65" s="48"/>
    </row>
    <row r="66" spans="1:12" ht="18.95" customHeight="1">
      <c r="A66" s="48"/>
      <c r="B66" s="48"/>
      <c r="C66" s="48"/>
      <c r="D66" s="48"/>
      <c r="E66" s="48"/>
      <c r="F66" s="48"/>
      <c r="G66" s="48"/>
      <c r="H66" s="48"/>
      <c r="I66" s="48"/>
      <c r="J66" s="48"/>
      <c r="K66" s="48"/>
      <c r="L66" s="48"/>
    </row>
    <row r="67" spans="1:12" ht="18.95" customHeight="1">
      <c r="A67" s="48"/>
      <c r="B67" s="48"/>
      <c r="C67" s="48"/>
      <c r="D67" s="48"/>
      <c r="E67" s="48"/>
      <c r="F67" s="48"/>
      <c r="G67" s="48"/>
      <c r="H67" s="48"/>
      <c r="I67" s="48"/>
      <c r="J67" s="48"/>
      <c r="K67" s="48"/>
      <c r="L67" s="48"/>
    </row>
    <row r="68" spans="1:12" ht="18.95" customHeight="1">
      <c r="A68" s="48"/>
      <c r="B68" s="48"/>
      <c r="C68" s="48"/>
      <c r="D68" s="48"/>
      <c r="E68" s="48"/>
      <c r="F68" s="48"/>
      <c r="G68" s="48"/>
      <c r="H68" s="48"/>
      <c r="I68" s="48"/>
      <c r="J68" s="48"/>
      <c r="K68" s="48"/>
      <c r="L68" s="48"/>
    </row>
    <row r="69" spans="1:12" ht="18.95" customHeight="1">
      <c r="A69" s="48"/>
      <c r="B69" s="48"/>
      <c r="C69" s="48"/>
      <c r="D69" s="48"/>
      <c r="E69" s="48"/>
      <c r="F69" s="48"/>
      <c r="G69" s="48"/>
      <c r="H69" s="48"/>
      <c r="I69" s="48"/>
      <c r="J69" s="48"/>
      <c r="K69" s="48"/>
      <c r="L69" s="48"/>
    </row>
    <row r="70" spans="1:12" ht="18.95" customHeight="1">
      <c r="A70" s="48"/>
      <c r="B70" s="48"/>
      <c r="C70" s="48"/>
      <c r="D70" s="48"/>
      <c r="E70" s="48"/>
      <c r="F70" s="48"/>
      <c r="G70" s="48"/>
      <c r="H70" s="48"/>
      <c r="I70" s="48"/>
      <c r="J70" s="48"/>
      <c r="K70" s="48"/>
      <c r="L70" s="48"/>
    </row>
    <row r="71" spans="1:12" ht="18.95" customHeight="1">
      <c r="A71" s="48"/>
      <c r="B71" s="48"/>
      <c r="C71" s="48"/>
      <c r="D71" s="48"/>
      <c r="E71" s="48"/>
      <c r="F71" s="48"/>
      <c r="G71" s="48"/>
      <c r="H71" s="48"/>
      <c r="I71" s="48"/>
      <c r="J71" s="48"/>
      <c r="K71" s="48"/>
      <c r="L71" s="48"/>
    </row>
    <row r="72" spans="1:12" ht="18.95" customHeight="1">
      <c r="A72" s="48"/>
      <c r="B72" s="48"/>
      <c r="C72" s="48"/>
      <c r="D72" s="48"/>
      <c r="E72" s="48"/>
      <c r="F72" s="48"/>
      <c r="G72" s="48"/>
      <c r="H72" s="48"/>
      <c r="I72" s="48"/>
      <c r="J72" s="48"/>
      <c r="K72" s="48"/>
      <c r="L72" s="48"/>
    </row>
    <row r="73" spans="1:12" ht="18.95" customHeight="1">
      <c r="A73" s="48"/>
      <c r="B73" s="48"/>
      <c r="C73" s="48"/>
      <c r="D73" s="48"/>
      <c r="E73" s="48"/>
      <c r="F73" s="48"/>
      <c r="G73" s="48"/>
      <c r="H73" s="48"/>
      <c r="I73" s="48"/>
      <c r="J73" s="48"/>
      <c r="K73" s="48"/>
      <c r="L73" s="48"/>
    </row>
    <row r="74" spans="1:12" ht="18.95" customHeight="1">
      <c r="A74" s="48"/>
      <c r="B74" s="48"/>
      <c r="C74" s="48"/>
      <c r="D74" s="48"/>
      <c r="E74" s="48"/>
      <c r="F74" s="48"/>
      <c r="G74" s="48"/>
      <c r="H74" s="48"/>
      <c r="I74" s="48"/>
      <c r="J74" s="48"/>
      <c r="K74" s="48"/>
      <c r="L74" s="48"/>
    </row>
    <row r="75" spans="1:12" ht="18.95" customHeight="1">
      <c r="A75" s="48"/>
      <c r="B75" s="48"/>
      <c r="C75" s="48"/>
      <c r="D75" s="48"/>
      <c r="E75" s="48"/>
      <c r="F75" s="48"/>
      <c r="G75" s="48"/>
      <c r="H75" s="48"/>
      <c r="I75" s="48"/>
      <c r="J75" s="48"/>
      <c r="K75" s="48"/>
      <c r="L75" s="48"/>
    </row>
    <row r="76" spans="1:12" ht="18.95" customHeight="1">
      <c r="A76" s="48"/>
      <c r="B76" s="48"/>
      <c r="C76" s="48"/>
      <c r="D76" s="48"/>
      <c r="E76" s="48"/>
      <c r="F76" s="48"/>
      <c r="G76" s="48"/>
      <c r="H76" s="48"/>
      <c r="I76" s="48"/>
      <c r="J76" s="48"/>
      <c r="K76" s="48"/>
      <c r="L76" s="48"/>
    </row>
    <row r="77" spans="1:12" ht="18.95" customHeight="1">
      <c r="A77" s="48"/>
      <c r="B77" s="48"/>
      <c r="C77" s="48"/>
      <c r="D77" s="48"/>
      <c r="E77" s="48"/>
      <c r="F77" s="48"/>
      <c r="G77" s="48"/>
      <c r="H77" s="48"/>
      <c r="I77" s="48"/>
      <c r="J77" s="48"/>
      <c r="K77" s="48"/>
      <c r="L77" s="48"/>
    </row>
    <row r="78" spans="1:12" ht="18.95" customHeight="1">
      <c r="A78" s="48"/>
      <c r="B78" s="48"/>
      <c r="C78" s="48"/>
      <c r="D78" s="48"/>
      <c r="E78" s="48"/>
      <c r="F78" s="48"/>
      <c r="G78" s="48"/>
      <c r="H78" s="48"/>
      <c r="I78" s="48"/>
      <c r="J78" s="48"/>
      <c r="K78" s="48"/>
      <c r="L78" s="48"/>
    </row>
    <row r="79" spans="1:12" ht="18.95" customHeight="1">
      <c r="A79" s="48"/>
      <c r="B79" s="48"/>
      <c r="C79" s="48"/>
      <c r="D79" s="48"/>
      <c r="E79" s="48"/>
      <c r="F79" s="48"/>
      <c r="G79" s="48"/>
      <c r="H79" s="48"/>
      <c r="I79" s="48"/>
      <c r="J79" s="48"/>
      <c r="K79" s="48"/>
      <c r="L79" s="48"/>
    </row>
    <row r="80" spans="1:12" ht="18.95" customHeight="1">
      <c r="A80" s="48"/>
      <c r="B80" s="48"/>
      <c r="C80" s="48"/>
      <c r="D80" s="48"/>
      <c r="E80" s="48"/>
      <c r="F80" s="48"/>
      <c r="G80" s="48"/>
      <c r="H80" s="48"/>
      <c r="I80" s="48"/>
      <c r="J80" s="48"/>
      <c r="K80" s="48"/>
      <c r="L80" s="48"/>
    </row>
    <row r="81" spans="1:12" ht="18.95" customHeight="1">
      <c r="A81" s="48"/>
      <c r="B81" s="48"/>
      <c r="C81" s="48"/>
      <c r="D81" s="48"/>
      <c r="E81" s="48"/>
      <c r="F81" s="48"/>
      <c r="G81" s="48"/>
      <c r="H81" s="48"/>
      <c r="I81" s="48"/>
      <c r="J81" s="48"/>
      <c r="K81" s="48"/>
      <c r="L81" s="48"/>
    </row>
    <row r="82" spans="1:12" ht="18.95" customHeight="1">
      <c r="A82" s="48"/>
      <c r="B82" s="48"/>
      <c r="C82" s="48"/>
      <c r="D82" s="48"/>
      <c r="E82" s="48"/>
      <c r="F82" s="48"/>
      <c r="G82" s="48"/>
      <c r="H82" s="48"/>
      <c r="I82" s="48"/>
      <c r="J82" s="48"/>
      <c r="K82" s="48"/>
      <c r="L82" s="48"/>
    </row>
    <row r="83" spans="1:12" ht="18.95" customHeight="1">
      <c r="A83" s="48"/>
      <c r="B83" s="48"/>
      <c r="C83" s="48"/>
      <c r="D83" s="48"/>
      <c r="E83" s="48"/>
      <c r="F83" s="48"/>
      <c r="G83" s="48"/>
      <c r="H83" s="48"/>
      <c r="I83" s="48"/>
      <c r="J83" s="48"/>
      <c r="K83" s="48"/>
      <c r="L83" s="48"/>
    </row>
    <row r="84" spans="1:12" ht="18.95" customHeight="1">
      <c r="A84" s="48"/>
      <c r="B84" s="48"/>
      <c r="C84" s="48"/>
      <c r="D84" s="48"/>
      <c r="E84" s="48"/>
      <c r="F84" s="48"/>
      <c r="G84" s="48"/>
      <c r="H84" s="48"/>
      <c r="I84" s="48"/>
      <c r="J84" s="48"/>
      <c r="K84" s="48"/>
      <c r="L84" s="48"/>
    </row>
    <row r="85" spans="1:12" ht="18.95" customHeight="1">
      <c r="A85" s="48"/>
      <c r="B85" s="48"/>
      <c r="C85" s="48"/>
      <c r="D85" s="48"/>
      <c r="E85" s="48"/>
      <c r="F85" s="48"/>
      <c r="G85" s="48"/>
      <c r="H85" s="48"/>
      <c r="I85" s="48"/>
      <c r="J85" s="48"/>
      <c r="K85" s="48"/>
      <c r="L85" s="48"/>
    </row>
    <row r="86" spans="1:12" ht="18.95" customHeight="1">
      <c r="A86" s="48"/>
      <c r="B86" s="48"/>
      <c r="C86" s="48"/>
      <c r="D86" s="48"/>
      <c r="E86" s="48"/>
      <c r="F86" s="48"/>
      <c r="G86" s="48"/>
      <c r="H86" s="48"/>
      <c r="I86" s="48"/>
      <c r="J86" s="48"/>
      <c r="K86" s="48"/>
      <c r="L86" s="48"/>
    </row>
    <row r="87" spans="1:12" ht="18.95" customHeight="1">
      <c r="A87" s="48"/>
      <c r="B87" s="48"/>
      <c r="C87" s="48"/>
      <c r="D87" s="48"/>
      <c r="E87" s="48"/>
      <c r="F87" s="48"/>
      <c r="G87" s="48"/>
      <c r="H87" s="48"/>
      <c r="I87" s="48"/>
      <c r="J87" s="48"/>
      <c r="K87" s="48"/>
      <c r="L87" s="48"/>
    </row>
    <row r="88" spans="1:12" ht="18.95" customHeight="1">
      <c r="A88" s="48"/>
      <c r="B88" s="48"/>
      <c r="C88" s="48"/>
      <c r="D88" s="48"/>
      <c r="E88" s="48"/>
      <c r="F88" s="48"/>
      <c r="G88" s="48"/>
      <c r="H88" s="48"/>
      <c r="I88" s="48"/>
      <c r="J88" s="48"/>
      <c r="K88" s="48"/>
      <c r="L88" s="48"/>
    </row>
    <row r="89" spans="1:12" ht="18.95" customHeight="1">
      <c r="A89" s="48"/>
      <c r="B89" s="48"/>
      <c r="C89" s="48"/>
      <c r="D89" s="48"/>
      <c r="E89" s="48"/>
      <c r="F89" s="48"/>
      <c r="G89" s="48"/>
      <c r="H89" s="48"/>
      <c r="I89" s="48"/>
      <c r="J89" s="48"/>
      <c r="K89" s="48"/>
      <c r="L89" s="48"/>
    </row>
    <row r="90" spans="1:12" ht="18.95" customHeight="1">
      <c r="A90" s="48"/>
      <c r="B90" s="48"/>
      <c r="C90" s="48"/>
      <c r="D90" s="48"/>
      <c r="E90" s="48"/>
      <c r="F90" s="48"/>
      <c r="G90" s="48"/>
      <c r="H90" s="48"/>
      <c r="I90" s="48"/>
      <c r="J90" s="48"/>
      <c r="K90" s="48"/>
      <c r="L90" s="48"/>
    </row>
    <row r="91" spans="1:12" ht="18.95" customHeight="1">
      <c r="A91" s="48"/>
      <c r="B91" s="48"/>
      <c r="C91" s="48"/>
      <c r="D91" s="48"/>
      <c r="E91" s="48"/>
      <c r="F91" s="48"/>
      <c r="G91" s="48"/>
      <c r="H91" s="48"/>
      <c r="I91" s="48"/>
      <c r="J91" s="48"/>
      <c r="K91" s="48"/>
      <c r="L91" s="48"/>
    </row>
    <row r="92" spans="1:12" ht="18.95" customHeight="1">
      <c r="A92" s="48"/>
      <c r="B92" s="48"/>
      <c r="C92" s="48"/>
      <c r="D92" s="48"/>
      <c r="E92" s="48"/>
      <c r="F92" s="48"/>
      <c r="G92" s="48"/>
      <c r="H92" s="48"/>
      <c r="I92" s="48"/>
      <c r="J92" s="48"/>
      <c r="K92" s="48"/>
      <c r="L92" s="48"/>
    </row>
    <row r="93" spans="1:12" ht="18.95" customHeight="1">
      <c r="A93" s="48"/>
      <c r="B93" s="48"/>
      <c r="C93" s="48"/>
      <c r="D93" s="48"/>
      <c r="E93" s="48"/>
      <c r="F93" s="48"/>
      <c r="G93" s="48"/>
      <c r="H93" s="48"/>
      <c r="I93" s="48"/>
      <c r="J93" s="48"/>
      <c r="K93" s="48"/>
      <c r="L93" s="48"/>
    </row>
    <row r="94" spans="1:12" ht="18.95" customHeight="1">
      <c r="A94" s="48"/>
      <c r="B94" s="48"/>
      <c r="C94" s="48"/>
      <c r="D94" s="48"/>
      <c r="E94" s="48"/>
      <c r="F94" s="48"/>
      <c r="G94" s="48"/>
      <c r="H94" s="48"/>
      <c r="I94" s="48"/>
      <c r="J94" s="48"/>
      <c r="K94" s="48"/>
      <c r="L94" s="48"/>
    </row>
    <row r="95" spans="1:12" ht="18.95" customHeight="1">
      <c r="A95" s="48"/>
      <c r="B95" s="48"/>
      <c r="C95" s="48"/>
      <c r="D95" s="48"/>
      <c r="E95" s="48"/>
      <c r="F95" s="48"/>
      <c r="G95" s="48"/>
      <c r="H95" s="48"/>
      <c r="I95" s="48"/>
      <c r="J95" s="48"/>
      <c r="K95" s="48"/>
      <c r="L95" s="48"/>
    </row>
    <row r="96" spans="1:12" ht="18.95" customHeight="1">
      <c r="A96" s="48"/>
      <c r="B96" s="48"/>
      <c r="C96" s="48"/>
      <c r="D96" s="48"/>
      <c r="E96" s="48"/>
      <c r="F96" s="48"/>
      <c r="G96" s="48"/>
      <c r="H96" s="48"/>
      <c r="I96" s="48"/>
      <c r="J96" s="48"/>
      <c r="K96" s="48"/>
      <c r="L96" s="48"/>
    </row>
    <row r="97" spans="1:12" ht="18.95" customHeight="1">
      <c r="A97" s="48"/>
      <c r="B97" s="48"/>
      <c r="C97" s="48"/>
      <c r="D97" s="48"/>
      <c r="E97" s="48"/>
      <c r="F97" s="48"/>
      <c r="G97" s="48"/>
      <c r="H97" s="48"/>
      <c r="I97" s="48"/>
      <c r="J97" s="48"/>
      <c r="K97" s="48"/>
      <c r="L97" s="48"/>
    </row>
    <row r="98" spans="1:12" ht="18.95" customHeight="1">
      <c r="A98" s="48"/>
      <c r="B98" s="48"/>
      <c r="C98" s="48"/>
      <c r="D98" s="48"/>
      <c r="E98" s="48"/>
      <c r="F98" s="48"/>
      <c r="G98" s="48"/>
      <c r="H98" s="48"/>
      <c r="I98" s="48"/>
      <c r="J98" s="48"/>
      <c r="K98" s="48"/>
      <c r="L98" s="48"/>
    </row>
    <row r="99" spans="1:12" ht="18.95" customHeight="1">
      <c r="A99" s="48"/>
      <c r="B99" s="48"/>
      <c r="C99" s="48"/>
      <c r="D99" s="48"/>
      <c r="E99" s="48"/>
      <c r="F99" s="48"/>
      <c r="G99" s="48"/>
      <c r="H99" s="48"/>
      <c r="I99" s="48"/>
      <c r="J99" s="48"/>
      <c r="K99" s="48"/>
      <c r="L99" s="48"/>
    </row>
    <row r="100" spans="1:12" ht="18.95" customHeight="1">
      <c r="A100" s="48"/>
      <c r="B100" s="48"/>
      <c r="C100" s="48"/>
      <c r="D100" s="48"/>
      <c r="E100" s="48"/>
      <c r="F100" s="48"/>
      <c r="G100" s="48"/>
      <c r="H100" s="48"/>
      <c r="I100" s="48"/>
      <c r="J100" s="48"/>
      <c r="K100" s="48"/>
      <c r="L100" s="48"/>
    </row>
    <row r="101" spans="1:12" ht="18.95" customHeight="1">
      <c r="A101" s="48"/>
      <c r="B101" s="48"/>
      <c r="C101" s="48"/>
      <c r="D101" s="48"/>
      <c r="E101" s="48"/>
      <c r="F101" s="48"/>
      <c r="G101" s="48"/>
      <c r="H101" s="48"/>
      <c r="I101" s="48"/>
      <c r="J101" s="48"/>
      <c r="K101" s="48"/>
      <c r="L101" s="48"/>
    </row>
    <row r="102" spans="1:12" ht="18.95" customHeight="1">
      <c r="A102" s="48"/>
      <c r="B102" s="48"/>
      <c r="C102" s="48"/>
      <c r="D102" s="48"/>
      <c r="E102" s="48"/>
      <c r="F102" s="48"/>
      <c r="G102" s="48"/>
      <c r="H102" s="48"/>
      <c r="I102" s="48"/>
      <c r="J102" s="48"/>
      <c r="K102" s="48"/>
      <c r="L102" s="48"/>
    </row>
    <row r="103" spans="1:12" ht="18.95" customHeight="1">
      <c r="A103" s="48"/>
      <c r="B103" s="48"/>
      <c r="C103" s="48"/>
      <c r="D103" s="48"/>
      <c r="E103" s="48"/>
      <c r="F103" s="48"/>
      <c r="G103" s="48"/>
      <c r="H103" s="48"/>
      <c r="I103" s="48"/>
      <c r="J103" s="48"/>
      <c r="K103" s="48"/>
      <c r="L103" s="48"/>
    </row>
    <row r="104" spans="1:12" ht="18.95" customHeight="1">
      <c r="A104" s="48"/>
      <c r="B104" s="48"/>
      <c r="C104" s="48"/>
      <c r="D104" s="48"/>
      <c r="E104" s="48"/>
      <c r="F104" s="48"/>
      <c r="G104" s="48"/>
      <c r="H104" s="48"/>
      <c r="I104" s="48"/>
      <c r="J104" s="48"/>
      <c r="K104" s="48"/>
      <c r="L104" s="48"/>
    </row>
    <row r="105" spans="1:12" ht="18.95" customHeight="1">
      <c r="A105" s="48"/>
      <c r="B105" s="48"/>
      <c r="C105" s="48"/>
      <c r="D105" s="48"/>
      <c r="E105" s="48"/>
      <c r="F105" s="48"/>
      <c r="G105" s="48"/>
      <c r="H105" s="48"/>
      <c r="I105" s="48"/>
      <c r="J105" s="48"/>
      <c r="K105" s="48"/>
      <c r="L105" s="48"/>
    </row>
    <row r="106" spans="1:12" ht="18.95" customHeight="1">
      <c r="A106" s="48"/>
      <c r="B106" s="48"/>
      <c r="C106" s="48"/>
      <c r="D106" s="48"/>
      <c r="E106" s="48"/>
      <c r="F106" s="48"/>
      <c r="G106" s="48"/>
      <c r="H106" s="48"/>
      <c r="I106" s="48"/>
      <c r="J106" s="48"/>
      <c r="K106" s="48"/>
      <c r="L106" s="48"/>
    </row>
    <row r="107" spans="1:12" ht="18.95" customHeight="1">
      <c r="A107" s="48"/>
      <c r="B107" s="48"/>
      <c r="C107" s="48"/>
      <c r="D107" s="48"/>
      <c r="E107" s="48"/>
      <c r="F107" s="48"/>
      <c r="G107" s="48"/>
      <c r="H107" s="48"/>
      <c r="I107" s="48"/>
      <c r="J107" s="48"/>
      <c r="K107" s="48"/>
      <c r="L107" s="48"/>
    </row>
    <row r="108" spans="1:12" ht="18.95" customHeight="1">
      <c r="A108" s="48"/>
      <c r="B108" s="48"/>
      <c r="C108" s="48"/>
      <c r="D108" s="48"/>
      <c r="E108" s="48"/>
      <c r="F108" s="48"/>
      <c r="G108" s="48"/>
      <c r="H108" s="48"/>
      <c r="I108" s="48"/>
      <c r="J108" s="48"/>
      <c r="K108" s="48"/>
      <c r="L108" s="48"/>
    </row>
    <row r="109" spans="1:12" ht="18.95" customHeight="1">
      <c r="A109" s="48"/>
      <c r="B109" s="48"/>
      <c r="C109" s="48"/>
      <c r="D109" s="48"/>
      <c r="E109" s="48"/>
      <c r="F109" s="48"/>
      <c r="G109" s="48"/>
      <c r="H109" s="48"/>
      <c r="I109" s="48"/>
      <c r="J109" s="48"/>
      <c r="K109" s="48"/>
      <c r="L109" s="48"/>
    </row>
    <row r="110" spans="1:12" ht="18.95" customHeight="1">
      <c r="A110" s="48"/>
      <c r="B110" s="48"/>
      <c r="C110" s="48"/>
      <c r="D110" s="48"/>
      <c r="E110" s="48"/>
      <c r="F110" s="48"/>
      <c r="G110" s="48"/>
      <c r="H110" s="48"/>
      <c r="I110" s="48"/>
      <c r="J110" s="48"/>
      <c r="K110" s="48"/>
      <c r="L110" s="48"/>
    </row>
    <row r="111" spans="1:12" ht="18.95" customHeight="1">
      <c r="A111" s="48"/>
      <c r="B111" s="48"/>
      <c r="C111" s="48"/>
      <c r="D111" s="48"/>
      <c r="E111" s="48"/>
      <c r="F111" s="48"/>
      <c r="G111" s="48"/>
      <c r="H111" s="48"/>
      <c r="I111" s="48"/>
      <c r="J111" s="48"/>
      <c r="K111" s="48"/>
      <c r="L111" s="48"/>
    </row>
    <row r="112" spans="1:12" ht="18.95" customHeight="1">
      <c r="A112" s="48"/>
      <c r="B112" s="48"/>
      <c r="C112" s="48"/>
      <c r="D112" s="48"/>
      <c r="E112" s="48"/>
      <c r="F112" s="48"/>
      <c r="G112" s="48"/>
      <c r="H112" s="48"/>
      <c r="I112" s="48"/>
      <c r="J112" s="48"/>
      <c r="K112" s="48"/>
      <c r="L112" s="48"/>
    </row>
    <row r="113" spans="1:12" ht="18.95" customHeight="1">
      <c r="A113" s="48"/>
      <c r="B113" s="48"/>
      <c r="C113" s="48"/>
      <c r="D113" s="48"/>
      <c r="E113" s="48"/>
      <c r="F113" s="48"/>
      <c r="G113" s="48"/>
      <c r="H113" s="48"/>
      <c r="I113" s="48"/>
      <c r="J113" s="48"/>
      <c r="K113" s="48"/>
      <c r="L113" s="48"/>
    </row>
    <row r="114" spans="1:12" ht="18.95" customHeight="1">
      <c r="A114" s="48"/>
      <c r="B114" s="48"/>
      <c r="C114" s="48"/>
      <c r="D114" s="48"/>
      <c r="E114" s="48"/>
      <c r="F114" s="48"/>
      <c r="G114" s="48"/>
      <c r="H114" s="48"/>
      <c r="I114" s="48"/>
      <c r="J114" s="48"/>
      <c r="K114" s="48"/>
      <c r="L114" s="48"/>
    </row>
    <row r="115" spans="1:12" ht="18.95" customHeight="1">
      <c r="A115" s="48"/>
      <c r="B115" s="48"/>
      <c r="C115" s="48"/>
      <c r="D115" s="48"/>
      <c r="E115" s="48"/>
      <c r="F115" s="48"/>
      <c r="G115" s="48"/>
      <c r="H115" s="48"/>
      <c r="I115" s="48"/>
      <c r="J115" s="48"/>
      <c r="K115" s="48"/>
      <c r="L115" s="48"/>
    </row>
    <row r="116" spans="1:12" ht="18.95" customHeight="1">
      <c r="A116" s="48"/>
      <c r="B116" s="48"/>
      <c r="C116" s="48"/>
      <c r="D116" s="48"/>
      <c r="E116" s="48"/>
      <c r="F116" s="48"/>
      <c r="G116" s="48"/>
      <c r="H116" s="48"/>
      <c r="I116" s="48"/>
      <c r="J116" s="48"/>
      <c r="K116" s="48"/>
      <c r="L116" s="48"/>
    </row>
    <row r="117" spans="1:12" ht="18.95" customHeight="1">
      <c r="A117" s="48"/>
      <c r="B117" s="48"/>
      <c r="C117" s="48"/>
      <c r="D117" s="48"/>
      <c r="E117" s="48"/>
      <c r="F117" s="48"/>
      <c r="G117" s="48"/>
      <c r="H117" s="48"/>
      <c r="I117" s="48"/>
      <c r="J117" s="48"/>
      <c r="K117" s="48"/>
      <c r="L117" s="48"/>
    </row>
    <row r="118" spans="1:12" ht="18.95" customHeight="1">
      <c r="A118" s="48"/>
      <c r="B118" s="48"/>
      <c r="C118" s="48"/>
      <c r="D118" s="48"/>
      <c r="E118" s="48"/>
      <c r="F118" s="48"/>
      <c r="G118" s="48"/>
      <c r="H118" s="48"/>
      <c r="I118" s="48"/>
      <c r="J118" s="48"/>
      <c r="K118" s="48"/>
      <c r="L118" s="48"/>
    </row>
    <row r="119" spans="1:12" ht="18.95" customHeight="1">
      <c r="A119" s="48"/>
      <c r="B119" s="48"/>
      <c r="C119" s="48"/>
      <c r="D119" s="48"/>
      <c r="E119" s="48"/>
      <c r="F119" s="48"/>
      <c r="G119" s="48"/>
      <c r="H119" s="48"/>
      <c r="I119" s="48"/>
      <c r="J119" s="48"/>
      <c r="K119" s="48"/>
      <c r="L119" s="48"/>
    </row>
    <row r="120" spans="1:12" ht="18.95" customHeight="1">
      <c r="A120" s="48"/>
      <c r="B120" s="48"/>
      <c r="C120" s="48"/>
      <c r="D120" s="48"/>
      <c r="E120" s="48"/>
      <c r="F120" s="48"/>
      <c r="G120" s="48"/>
      <c r="H120" s="48"/>
      <c r="I120" s="48"/>
      <c r="J120" s="48"/>
      <c r="K120" s="48"/>
      <c r="L120" s="48"/>
    </row>
    <row r="121" spans="1:12" ht="18.95" customHeight="1">
      <c r="A121" s="48"/>
      <c r="B121" s="48"/>
      <c r="C121" s="48"/>
      <c r="D121" s="48"/>
      <c r="E121" s="48"/>
      <c r="F121" s="48"/>
      <c r="G121" s="48"/>
      <c r="H121" s="48"/>
      <c r="I121" s="48"/>
      <c r="J121" s="48"/>
      <c r="K121" s="48"/>
      <c r="L121" s="48"/>
    </row>
    <row r="122" spans="1:12" ht="18.95" customHeight="1">
      <c r="A122" s="48"/>
      <c r="B122" s="48"/>
      <c r="C122" s="48"/>
      <c r="D122" s="48"/>
      <c r="E122" s="48"/>
      <c r="F122" s="48"/>
      <c r="G122" s="48"/>
      <c r="H122" s="48"/>
      <c r="I122" s="48"/>
      <c r="J122" s="48"/>
      <c r="K122" s="48"/>
      <c r="L122" s="48"/>
    </row>
    <row r="123" spans="1:12" ht="18.95" customHeight="1">
      <c r="A123" s="48"/>
      <c r="B123" s="48"/>
      <c r="C123" s="48"/>
      <c r="D123" s="48"/>
      <c r="E123" s="48"/>
      <c r="F123" s="48"/>
      <c r="G123" s="48"/>
      <c r="H123" s="48"/>
      <c r="I123" s="48"/>
      <c r="J123" s="48"/>
      <c r="K123" s="48"/>
      <c r="L123" s="48"/>
    </row>
    <row r="124" spans="1:12" ht="18.95" customHeight="1">
      <c r="A124" s="48"/>
      <c r="B124" s="48"/>
      <c r="C124" s="48"/>
      <c r="D124" s="48"/>
      <c r="E124" s="48"/>
      <c r="F124" s="48"/>
      <c r="G124" s="48"/>
      <c r="H124" s="48"/>
      <c r="I124" s="48"/>
      <c r="J124" s="48"/>
      <c r="K124" s="48"/>
      <c r="L124" s="48"/>
    </row>
    <row r="125" spans="1:12" ht="18.95" customHeight="1">
      <c r="A125" s="48"/>
      <c r="B125" s="48"/>
      <c r="C125" s="48"/>
      <c r="D125" s="48"/>
      <c r="E125" s="48"/>
      <c r="F125" s="48"/>
      <c r="G125" s="48"/>
      <c r="H125" s="48"/>
      <c r="I125" s="48"/>
      <c r="J125" s="48"/>
      <c r="K125" s="48"/>
      <c r="L125" s="48"/>
    </row>
    <row r="126" spans="1:12" ht="18.95" customHeight="1">
      <c r="A126" s="48"/>
      <c r="B126" s="48"/>
      <c r="C126" s="48"/>
      <c r="D126" s="48"/>
      <c r="E126" s="48"/>
      <c r="F126" s="48"/>
      <c r="G126" s="48"/>
      <c r="H126" s="48"/>
      <c r="I126" s="48"/>
      <c r="J126" s="48"/>
      <c r="K126" s="48"/>
      <c r="L126" s="48"/>
    </row>
    <row r="127" spans="1:12" ht="18.95" customHeight="1">
      <c r="A127" s="48"/>
      <c r="B127" s="48"/>
      <c r="C127" s="48"/>
      <c r="D127" s="48"/>
      <c r="E127" s="48"/>
      <c r="F127" s="48"/>
      <c r="G127" s="48"/>
      <c r="H127" s="48"/>
      <c r="I127" s="48"/>
      <c r="J127" s="48"/>
      <c r="K127" s="48"/>
      <c r="L127" s="48"/>
    </row>
    <row r="128" spans="1:12" ht="18.95" customHeight="1">
      <c r="A128" s="48"/>
      <c r="B128" s="48"/>
      <c r="C128" s="48"/>
      <c r="D128" s="48"/>
      <c r="E128" s="48"/>
      <c r="F128" s="48"/>
      <c r="G128" s="48"/>
      <c r="H128" s="48"/>
      <c r="I128" s="48"/>
      <c r="J128" s="48"/>
      <c r="K128" s="48"/>
      <c r="L128" s="48"/>
    </row>
    <row r="129" spans="1:12" ht="18.95" customHeight="1">
      <c r="A129" s="48"/>
      <c r="B129" s="48"/>
      <c r="C129" s="48"/>
      <c r="D129" s="48"/>
      <c r="E129" s="48"/>
      <c r="F129" s="48"/>
      <c r="G129" s="48"/>
      <c r="H129" s="48"/>
      <c r="I129" s="48"/>
      <c r="J129" s="48"/>
      <c r="K129" s="48"/>
      <c r="L129" s="48"/>
    </row>
    <row r="130" spans="1:12" ht="18.95" customHeight="1">
      <c r="A130" s="48"/>
      <c r="B130" s="48"/>
      <c r="C130" s="48"/>
      <c r="D130" s="48"/>
      <c r="E130" s="48"/>
      <c r="F130" s="48"/>
      <c r="G130" s="48"/>
      <c r="H130" s="48"/>
      <c r="I130" s="48"/>
      <c r="J130" s="48"/>
      <c r="K130" s="48"/>
      <c r="L130" s="48"/>
    </row>
    <row r="131" spans="1:12" ht="18.95" customHeight="1">
      <c r="A131" s="48"/>
      <c r="B131" s="48"/>
      <c r="C131" s="48"/>
      <c r="D131" s="48"/>
      <c r="E131" s="48"/>
      <c r="F131" s="48"/>
      <c r="G131" s="48"/>
      <c r="H131" s="48"/>
      <c r="I131" s="48"/>
      <c r="J131" s="48"/>
      <c r="K131" s="48"/>
      <c r="L131" s="48"/>
    </row>
    <row r="132" spans="1:12" ht="18.95" customHeight="1">
      <c r="A132" s="48"/>
      <c r="B132" s="48"/>
      <c r="C132" s="48"/>
      <c r="D132" s="48"/>
      <c r="E132" s="48"/>
      <c r="F132" s="48"/>
      <c r="G132" s="48"/>
      <c r="H132" s="48"/>
      <c r="I132" s="48"/>
      <c r="J132" s="48"/>
      <c r="K132" s="48"/>
      <c r="L132" s="48"/>
    </row>
    <row r="133" spans="1:12" ht="18.95" customHeight="1">
      <c r="A133" s="48"/>
      <c r="B133" s="48"/>
      <c r="C133" s="48"/>
      <c r="D133" s="48"/>
      <c r="E133" s="48"/>
      <c r="F133" s="48"/>
      <c r="G133" s="48"/>
      <c r="H133" s="48"/>
      <c r="I133" s="48"/>
      <c r="J133" s="48"/>
      <c r="K133" s="48"/>
      <c r="L133" s="48"/>
    </row>
    <row r="134" spans="1:12" ht="18.95" customHeight="1">
      <c r="A134" s="48"/>
      <c r="B134" s="48"/>
      <c r="C134" s="48"/>
      <c r="D134" s="48"/>
      <c r="E134" s="48"/>
      <c r="F134" s="48"/>
      <c r="G134" s="48"/>
      <c r="H134" s="48"/>
      <c r="I134" s="48"/>
      <c r="J134" s="48"/>
      <c r="K134" s="48"/>
      <c r="L134" s="48"/>
    </row>
    <row r="135" spans="1:12" ht="18.95" customHeight="1">
      <c r="A135" s="48"/>
      <c r="B135" s="48"/>
      <c r="C135" s="48"/>
      <c r="D135" s="48"/>
      <c r="E135" s="48"/>
      <c r="F135" s="48"/>
      <c r="G135" s="48"/>
      <c r="H135" s="48"/>
      <c r="I135" s="48"/>
      <c r="J135" s="48"/>
      <c r="K135" s="48"/>
      <c r="L135" s="48"/>
    </row>
    <row r="136" spans="1:12" ht="18.95" customHeight="1">
      <c r="A136" s="48"/>
      <c r="B136" s="48"/>
      <c r="C136" s="48"/>
      <c r="D136" s="48"/>
      <c r="E136" s="48"/>
      <c r="F136" s="48"/>
      <c r="G136" s="48"/>
      <c r="H136" s="48"/>
      <c r="I136" s="48"/>
      <c r="J136" s="48"/>
      <c r="K136" s="48"/>
      <c r="L136" s="48"/>
    </row>
    <row r="137" spans="1:12" ht="18.95" customHeight="1">
      <c r="A137" s="48"/>
      <c r="B137" s="48"/>
      <c r="C137" s="48"/>
      <c r="D137" s="48"/>
      <c r="E137" s="48"/>
      <c r="F137" s="48"/>
      <c r="G137" s="48"/>
      <c r="H137" s="48"/>
      <c r="I137" s="48"/>
      <c r="J137" s="48"/>
      <c r="K137" s="48"/>
      <c r="L137" s="48"/>
    </row>
    <row r="138" spans="1:12" ht="18.95" customHeight="1">
      <c r="A138" s="48"/>
      <c r="B138" s="48"/>
      <c r="C138" s="48"/>
      <c r="D138" s="48"/>
      <c r="E138" s="48"/>
      <c r="F138" s="48"/>
      <c r="G138" s="48"/>
      <c r="H138" s="48"/>
      <c r="I138" s="48"/>
      <c r="J138" s="48"/>
      <c r="K138" s="48"/>
      <c r="L138" s="48"/>
    </row>
    <row r="139" spans="1:12" ht="18.95" customHeight="1">
      <c r="A139" s="48"/>
      <c r="B139" s="48"/>
      <c r="C139" s="48"/>
      <c r="D139" s="48"/>
      <c r="E139" s="48"/>
      <c r="F139" s="48"/>
      <c r="G139" s="48"/>
      <c r="H139" s="48"/>
      <c r="I139" s="48"/>
      <c r="J139" s="48"/>
      <c r="K139" s="48"/>
      <c r="L139" s="48"/>
    </row>
    <row r="140" spans="1:12" ht="18.95" customHeight="1">
      <c r="A140" s="48"/>
      <c r="B140" s="48"/>
      <c r="C140" s="48"/>
      <c r="D140" s="48"/>
      <c r="E140" s="48"/>
      <c r="F140" s="48"/>
      <c r="G140" s="48"/>
      <c r="H140" s="48"/>
      <c r="I140" s="48"/>
      <c r="J140" s="48"/>
      <c r="K140" s="48"/>
      <c r="L140" s="48"/>
    </row>
    <row r="141" spans="1:12" ht="18.95" customHeight="1">
      <c r="A141" s="48"/>
      <c r="B141" s="48"/>
      <c r="C141" s="48"/>
      <c r="D141" s="48"/>
      <c r="E141" s="48"/>
      <c r="F141" s="48"/>
      <c r="G141" s="48"/>
      <c r="H141" s="48"/>
      <c r="I141" s="48"/>
      <c r="J141" s="48"/>
      <c r="K141" s="48"/>
      <c r="L141" s="48"/>
    </row>
    <row r="142" spans="1:12" ht="18.95" customHeight="1">
      <c r="A142" s="48"/>
      <c r="B142" s="48"/>
      <c r="C142" s="48"/>
      <c r="D142" s="48"/>
      <c r="E142" s="48"/>
      <c r="F142" s="48"/>
      <c r="G142" s="48"/>
      <c r="H142" s="48"/>
      <c r="I142" s="48"/>
      <c r="J142" s="48"/>
      <c r="K142" s="48"/>
      <c r="L142" s="48"/>
    </row>
    <row r="143" spans="1:12" ht="18.95" customHeight="1">
      <c r="A143" s="48"/>
      <c r="B143" s="48"/>
      <c r="C143" s="48"/>
      <c r="D143" s="48"/>
      <c r="E143" s="48"/>
      <c r="F143" s="48"/>
      <c r="G143" s="48"/>
      <c r="H143" s="48"/>
      <c r="I143" s="48"/>
      <c r="J143" s="48"/>
      <c r="K143" s="48"/>
      <c r="L143" s="48"/>
    </row>
    <row r="144" spans="1:12" ht="18.95" customHeight="1">
      <c r="A144" s="48"/>
      <c r="B144" s="48"/>
      <c r="C144" s="48"/>
      <c r="D144" s="48"/>
      <c r="E144" s="48"/>
      <c r="F144" s="48"/>
      <c r="G144" s="48"/>
      <c r="H144" s="48"/>
      <c r="I144" s="48"/>
      <c r="J144" s="48"/>
      <c r="K144" s="48"/>
      <c r="L144" s="48"/>
    </row>
    <row r="145" spans="1:12" ht="18.95" customHeight="1">
      <c r="A145" s="48"/>
      <c r="B145" s="48"/>
      <c r="C145" s="48"/>
      <c r="D145" s="48"/>
      <c r="E145" s="48"/>
      <c r="F145" s="48"/>
      <c r="G145" s="48"/>
      <c r="H145" s="48"/>
      <c r="I145" s="48"/>
      <c r="J145" s="48"/>
      <c r="K145" s="48"/>
      <c r="L145" s="48"/>
    </row>
    <row r="146" spans="1:12" ht="18.95" customHeight="1">
      <c r="A146" s="48"/>
      <c r="B146" s="48"/>
      <c r="C146" s="48"/>
      <c r="D146" s="48"/>
      <c r="E146" s="48"/>
      <c r="F146" s="48"/>
      <c r="G146" s="48"/>
      <c r="H146" s="48"/>
      <c r="I146" s="48"/>
      <c r="J146" s="48"/>
      <c r="K146" s="48"/>
      <c r="L146" s="48"/>
    </row>
    <row r="147" spans="1:12" ht="18.95" customHeight="1">
      <c r="A147" s="48"/>
      <c r="B147" s="48"/>
      <c r="C147" s="48"/>
      <c r="D147" s="48"/>
      <c r="E147" s="48"/>
      <c r="F147" s="48"/>
      <c r="G147" s="48"/>
      <c r="H147" s="48"/>
      <c r="I147" s="48"/>
      <c r="J147" s="48"/>
      <c r="K147" s="48"/>
      <c r="L147" s="48"/>
    </row>
    <row r="148" spans="1:12" ht="18.95" customHeight="1">
      <c r="A148" s="48"/>
      <c r="B148" s="48"/>
      <c r="C148" s="48"/>
      <c r="D148" s="48"/>
      <c r="E148" s="48"/>
      <c r="F148" s="48"/>
      <c r="G148" s="48"/>
      <c r="H148" s="48"/>
      <c r="I148" s="48"/>
      <c r="J148" s="48"/>
      <c r="K148" s="48"/>
      <c r="L148" s="48"/>
    </row>
    <row r="149" spans="1:12" ht="18.95" customHeight="1">
      <c r="A149" s="48"/>
      <c r="B149" s="48"/>
      <c r="C149" s="48"/>
      <c r="D149" s="48"/>
      <c r="E149" s="48"/>
      <c r="F149" s="48"/>
      <c r="G149" s="48"/>
      <c r="H149" s="48"/>
      <c r="I149" s="48"/>
      <c r="J149" s="48"/>
      <c r="K149" s="48"/>
      <c r="L149" s="48"/>
    </row>
    <row r="150" spans="1:12" ht="18.95" customHeight="1">
      <c r="A150" s="48"/>
      <c r="B150" s="48"/>
      <c r="C150" s="48"/>
      <c r="D150" s="48"/>
      <c r="E150" s="48"/>
      <c r="F150" s="48"/>
      <c r="G150" s="48"/>
      <c r="H150" s="48"/>
      <c r="I150" s="48"/>
      <c r="J150" s="48"/>
      <c r="K150" s="48"/>
      <c r="L150" s="48"/>
    </row>
    <row r="151" spans="1:12" ht="18.95" customHeight="1">
      <c r="A151" s="48"/>
      <c r="B151" s="48"/>
      <c r="C151" s="48"/>
      <c r="D151" s="48"/>
      <c r="E151" s="48"/>
      <c r="F151" s="48"/>
      <c r="G151" s="48"/>
      <c r="H151" s="48"/>
      <c r="I151" s="48"/>
      <c r="J151" s="48"/>
      <c r="K151" s="48"/>
      <c r="L151" s="48"/>
    </row>
    <row r="152" spans="1:12" ht="18.95" customHeight="1">
      <c r="A152" s="48"/>
      <c r="B152" s="48"/>
      <c r="C152" s="48"/>
      <c r="D152" s="48"/>
      <c r="E152" s="48"/>
      <c r="F152" s="48"/>
      <c r="G152" s="48"/>
      <c r="H152" s="48"/>
      <c r="I152" s="48"/>
      <c r="J152" s="48"/>
      <c r="K152" s="48"/>
      <c r="L152" s="48"/>
    </row>
    <row r="153" spans="1:12" ht="18.95" customHeight="1">
      <c r="A153" s="48"/>
      <c r="B153" s="48"/>
      <c r="C153" s="48"/>
      <c r="D153" s="48"/>
      <c r="E153" s="48"/>
      <c r="F153" s="48"/>
      <c r="G153" s="48"/>
      <c r="H153" s="48"/>
      <c r="I153" s="48"/>
      <c r="J153" s="48"/>
      <c r="K153" s="48"/>
      <c r="L153" s="48"/>
    </row>
    <row r="154" spans="1:12" ht="18.95" customHeight="1">
      <c r="A154" s="48"/>
      <c r="B154" s="48"/>
      <c r="C154" s="48"/>
      <c r="D154" s="48"/>
      <c r="E154" s="48"/>
      <c r="F154" s="48"/>
      <c r="G154" s="48"/>
      <c r="H154" s="48"/>
      <c r="I154" s="48"/>
      <c r="J154" s="48"/>
      <c r="K154" s="48"/>
      <c r="L154" s="48"/>
    </row>
    <row r="155" spans="1:12" ht="18.95" customHeight="1">
      <c r="A155" s="48"/>
      <c r="B155" s="48"/>
      <c r="C155" s="48"/>
      <c r="D155" s="48"/>
      <c r="E155" s="48"/>
      <c r="F155" s="48"/>
      <c r="G155" s="48"/>
      <c r="H155" s="48"/>
      <c r="I155" s="48"/>
      <c r="J155" s="48"/>
      <c r="K155" s="48"/>
      <c r="L155" s="48"/>
    </row>
    <row r="156" spans="1:12" ht="18.95" customHeight="1">
      <c r="A156" s="48"/>
      <c r="B156" s="48"/>
      <c r="C156" s="48"/>
      <c r="D156" s="48"/>
      <c r="E156" s="48"/>
      <c r="F156" s="48"/>
      <c r="G156" s="48"/>
      <c r="H156" s="48"/>
      <c r="I156" s="48"/>
      <c r="J156" s="48"/>
      <c r="K156" s="48"/>
      <c r="L156" s="48"/>
    </row>
    <row r="157" spans="1:12" ht="18.95" customHeight="1">
      <c r="A157" s="48"/>
      <c r="B157" s="48"/>
      <c r="C157" s="48"/>
      <c r="D157" s="48"/>
      <c r="E157" s="48"/>
      <c r="F157" s="48"/>
      <c r="G157" s="48"/>
      <c r="H157" s="48"/>
      <c r="I157" s="48"/>
      <c r="J157" s="48"/>
      <c r="K157" s="48"/>
      <c r="L157" s="48"/>
    </row>
    <row r="158" spans="1:12" ht="18.95" customHeight="1">
      <c r="A158" s="48"/>
      <c r="B158" s="48"/>
      <c r="C158" s="48"/>
      <c r="D158" s="48"/>
      <c r="E158" s="48"/>
      <c r="F158" s="48"/>
      <c r="G158" s="48"/>
      <c r="H158" s="48"/>
      <c r="I158" s="48"/>
      <c r="J158" s="48"/>
      <c r="K158" s="48"/>
      <c r="L158" s="48"/>
    </row>
    <row r="159" spans="1:12" ht="18.95" customHeight="1">
      <c r="A159" s="48"/>
      <c r="B159" s="48"/>
      <c r="C159" s="48"/>
      <c r="D159" s="48"/>
      <c r="E159" s="48"/>
      <c r="F159" s="48"/>
      <c r="G159" s="48"/>
      <c r="H159" s="48"/>
      <c r="I159" s="48"/>
      <c r="J159" s="48"/>
      <c r="K159" s="48"/>
      <c r="L159" s="48"/>
    </row>
    <row r="160" spans="1:12" ht="18.95" customHeight="1">
      <c r="A160" s="48"/>
      <c r="B160" s="48"/>
      <c r="C160" s="48"/>
      <c r="D160" s="48"/>
      <c r="E160" s="48"/>
      <c r="F160" s="48"/>
      <c r="G160" s="48"/>
      <c r="H160" s="48"/>
      <c r="I160" s="48"/>
      <c r="J160" s="48"/>
      <c r="K160" s="48"/>
      <c r="L160" s="48"/>
    </row>
    <row r="161" spans="1:12" ht="18.95" customHeight="1">
      <c r="A161" s="48"/>
      <c r="B161" s="48"/>
      <c r="C161" s="48"/>
      <c r="D161" s="48"/>
      <c r="E161" s="48"/>
      <c r="F161" s="48"/>
      <c r="G161" s="48"/>
      <c r="H161" s="48"/>
      <c r="I161" s="48"/>
      <c r="J161" s="48"/>
      <c r="K161" s="48"/>
      <c r="L161" s="48"/>
    </row>
    <row r="162" spans="1:12" ht="18.95" customHeight="1">
      <c r="A162" s="48"/>
      <c r="B162" s="48"/>
      <c r="C162" s="48"/>
      <c r="D162" s="48"/>
      <c r="E162" s="48"/>
      <c r="F162" s="48"/>
      <c r="G162" s="48"/>
      <c r="H162" s="48"/>
      <c r="I162" s="48"/>
      <c r="J162" s="48"/>
      <c r="K162" s="48"/>
      <c r="L162" s="48"/>
    </row>
    <row r="163" spans="1:12" ht="18.95" customHeight="1">
      <c r="A163" s="48"/>
      <c r="B163" s="48"/>
      <c r="C163" s="48"/>
      <c r="D163" s="48"/>
      <c r="E163" s="48"/>
      <c r="F163" s="48"/>
      <c r="G163" s="48"/>
      <c r="H163" s="48"/>
      <c r="I163" s="48"/>
      <c r="J163" s="48"/>
      <c r="K163" s="48"/>
      <c r="L163" s="48"/>
    </row>
    <row r="164" spans="1:12" ht="18.95" customHeight="1">
      <c r="A164" s="48"/>
      <c r="B164" s="48"/>
      <c r="C164" s="48"/>
      <c r="D164" s="48"/>
      <c r="E164" s="48"/>
      <c r="F164" s="48"/>
      <c r="G164" s="48"/>
      <c r="H164" s="48"/>
      <c r="I164" s="48"/>
      <c r="J164" s="48"/>
      <c r="K164" s="48"/>
      <c r="L164" s="48"/>
    </row>
    <row r="165" spans="1:12" ht="18.95" customHeight="1">
      <c r="A165" s="48"/>
      <c r="B165" s="48"/>
      <c r="C165" s="48"/>
      <c r="D165" s="48"/>
      <c r="E165" s="48"/>
      <c r="F165" s="48"/>
      <c r="G165" s="48"/>
      <c r="H165" s="48"/>
      <c r="I165" s="48"/>
      <c r="J165" s="48"/>
      <c r="K165" s="48"/>
      <c r="L165" s="48"/>
    </row>
    <row r="166" spans="1:12" ht="18.95" customHeight="1">
      <c r="A166" s="48"/>
      <c r="B166" s="48"/>
      <c r="C166" s="48"/>
      <c r="D166" s="48"/>
      <c r="E166" s="48"/>
      <c r="F166" s="48"/>
      <c r="G166" s="48"/>
      <c r="H166" s="48"/>
      <c r="I166" s="48"/>
      <c r="J166" s="48"/>
      <c r="K166" s="48"/>
      <c r="L166" s="48"/>
    </row>
    <row r="167" spans="1:12" ht="18.95" customHeight="1">
      <c r="A167" s="48"/>
      <c r="B167" s="48"/>
      <c r="C167" s="48"/>
      <c r="D167" s="48"/>
      <c r="E167" s="48"/>
      <c r="F167" s="48"/>
      <c r="G167" s="48"/>
      <c r="H167" s="48"/>
      <c r="I167" s="48"/>
      <c r="J167" s="48"/>
      <c r="K167" s="48"/>
      <c r="L167" s="48"/>
    </row>
    <row r="168" spans="1:12" ht="18.95" customHeight="1">
      <c r="A168" s="48"/>
      <c r="B168" s="48"/>
      <c r="C168" s="48"/>
      <c r="D168" s="48"/>
      <c r="E168" s="48"/>
      <c r="F168" s="48"/>
      <c r="G168" s="48"/>
      <c r="H168" s="48"/>
      <c r="I168" s="48"/>
      <c r="J168" s="48"/>
      <c r="K168" s="48"/>
      <c r="L168" s="48"/>
    </row>
    <row r="169" spans="1:12" ht="18.95" customHeight="1">
      <c r="A169" s="48"/>
      <c r="B169" s="48"/>
      <c r="C169" s="48"/>
      <c r="D169" s="48"/>
      <c r="E169" s="48"/>
      <c r="F169" s="48"/>
      <c r="G169" s="48"/>
      <c r="H169" s="48"/>
      <c r="I169" s="48"/>
      <c r="J169" s="48"/>
      <c r="K169" s="48"/>
      <c r="L169" s="48"/>
    </row>
    <row r="170" spans="1:12" ht="18.95" customHeight="1">
      <c r="A170" s="48"/>
      <c r="B170" s="48"/>
      <c r="C170" s="48"/>
      <c r="D170" s="48"/>
      <c r="E170" s="48"/>
      <c r="F170" s="48"/>
      <c r="G170" s="48"/>
      <c r="H170" s="48"/>
      <c r="I170" s="48"/>
      <c r="J170" s="48"/>
      <c r="K170" s="48"/>
      <c r="L170" s="48"/>
    </row>
    <row r="171" spans="1:12" ht="18.95" customHeight="1">
      <c r="A171" s="48"/>
      <c r="B171" s="48"/>
      <c r="C171" s="48"/>
      <c r="D171" s="48"/>
      <c r="E171" s="48"/>
      <c r="F171" s="48"/>
      <c r="G171" s="48"/>
      <c r="H171" s="48"/>
      <c r="I171" s="48"/>
      <c r="J171" s="48"/>
      <c r="K171" s="48"/>
      <c r="L171" s="48"/>
    </row>
    <row r="172" spans="1:12" ht="18.95" customHeight="1">
      <c r="A172" s="48"/>
      <c r="B172" s="48"/>
      <c r="C172" s="48"/>
      <c r="D172" s="48"/>
      <c r="E172" s="48"/>
      <c r="F172" s="48"/>
      <c r="G172" s="48"/>
      <c r="H172" s="48"/>
      <c r="I172" s="48"/>
      <c r="J172" s="48"/>
      <c r="K172" s="48"/>
      <c r="L172" s="48"/>
    </row>
    <row r="173" spans="1:12" ht="18.95" customHeight="1">
      <c r="A173" s="48"/>
      <c r="B173" s="48"/>
      <c r="C173" s="48"/>
      <c r="D173" s="48"/>
      <c r="E173" s="48"/>
      <c r="F173" s="48"/>
      <c r="G173" s="48"/>
      <c r="H173" s="48"/>
      <c r="I173" s="48"/>
      <c r="J173" s="48"/>
      <c r="K173" s="48"/>
      <c r="L173" s="48"/>
    </row>
    <row r="174" spans="1:12" ht="18.95" customHeight="1">
      <c r="A174" s="48"/>
      <c r="B174" s="48"/>
      <c r="C174" s="48"/>
      <c r="D174" s="48"/>
      <c r="E174" s="48"/>
      <c r="F174" s="48"/>
      <c r="G174" s="48"/>
      <c r="H174" s="48"/>
      <c r="I174" s="48"/>
      <c r="J174" s="48"/>
      <c r="K174" s="48"/>
      <c r="L174" s="48"/>
    </row>
    <row r="175" spans="1:12" ht="18.95" customHeight="1">
      <c r="A175" s="48"/>
      <c r="B175" s="48"/>
      <c r="C175" s="48"/>
      <c r="D175" s="48"/>
      <c r="E175" s="48"/>
      <c r="F175" s="48"/>
      <c r="G175" s="48"/>
      <c r="H175" s="48"/>
      <c r="I175" s="48"/>
      <c r="J175" s="48"/>
      <c r="K175" s="48"/>
      <c r="L175" s="48"/>
    </row>
    <row r="176" spans="1:12" ht="18.95" customHeight="1">
      <c r="A176" s="48"/>
      <c r="B176" s="48"/>
      <c r="C176" s="48"/>
      <c r="D176" s="48"/>
      <c r="E176" s="48"/>
      <c r="F176" s="48"/>
      <c r="G176" s="48"/>
      <c r="H176" s="48"/>
      <c r="I176" s="48"/>
      <c r="J176" s="48"/>
      <c r="K176" s="48"/>
      <c r="L176" s="48"/>
    </row>
    <row r="177" spans="1:12" ht="18.95" customHeight="1">
      <c r="A177" s="48"/>
      <c r="B177" s="48"/>
      <c r="C177" s="48"/>
      <c r="D177" s="48"/>
      <c r="E177" s="48"/>
      <c r="F177" s="48"/>
      <c r="G177" s="48"/>
      <c r="H177" s="48"/>
      <c r="I177" s="48"/>
      <c r="J177" s="48"/>
      <c r="K177" s="48"/>
      <c r="L177" s="48"/>
    </row>
    <row r="178" spans="1:12" ht="18.95" customHeight="1">
      <c r="A178" s="48"/>
      <c r="B178" s="48"/>
      <c r="C178" s="48"/>
      <c r="D178" s="48"/>
      <c r="E178" s="48"/>
      <c r="F178" s="48"/>
      <c r="G178" s="48"/>
      <c r="H178" s="48"/>
      <c r="I178" s="48"/>
      <c r="J178" s="48"/>
      <c r="K178" s="48"/>
      <c r="L178" s="48"/>
    </row>
    <row r="179" spans="1:12" ht="18.95" customHeight="1">
      <c r="A179" s="48"/>
      <c r="B179" s="48"/>
      <c r="C179" s="48"/>
      <c r="D179" s="48"/>
      <c r="E179" s="48"/>
      <c r="F179" s="48"/>
      <c r="G179" s="48"/>
      <c r="H179" s="48"/>
      <c r="I179" s="48"/>
      <c r="J179" s="48"/>
      <c r="K179" s="48"/>
      <c r="L179" s="48"/>
    </row>
    <row r="180" spans="1:12" ht="18.95" customHeight="1">
      <c r="A180" s="48"/>
      <c r="B180" s="48"/>
      <c r="C180" s="48"/>
      <c r="D180" s="48"/>
      <c r="E180" s="48"/>
      <c r="F180" s="48"/>
      <c r="G180" s="48"/>
      <c r="H180" s="48"/>
      <c r="I180" s="48"/>
      <c r="J180" s="48"/>
      <c r="K180" s="48"/>
      <c r="L180" s="48"/>
    </row>
    <row r="181" spans="1:12" ht="18.95" customHeight="1">
      <c r="A181" s="48"/>
      <c r="B181" s="48"/>
      <c r="C181" s="48"/>
      <c r="D181" s="48"/>
      <c r="E181" s="48"/>
      <c r="F181" s="48"/>
      <c r="G181" s="48"/>
      <c r="H181" s="48"/>
      <c r="I181" s="48"/>
      <c r="J181" s="48"/>
      <c r="K181" s="48"/>
      <c r="L181" s="48"/>
    </row>
    <row r="182" spans="1:12" ht="18.95" customHeight="1">
      <c r="A182" s="48"/>
      <c r="B182" s="48"/>
      <c r="C182" s="48"/>
      <c r="D182" s="48"/>
      <c r="E182" s="48"/>
      <c r="F182" s="48"/>
      <c r="G182" s="48"/>
      <c r="H182" s="48"/>
      <c r="I182" s="48"/>
      <c r="J182" s="48"/>
      <c r="K182" s="48"/>
      <c r="L182" s="48"/>
    </row>
    <row r="183" spans="1:12" ht="18.95" customHeight="1">
      <c r="A183" s="48"/>
      <c r="B183" s="48"/>
      <c r="C183" s="48"/>
      <c r="D183" s="48"/>
      <c r="E183" s="48"/>
      <c r="F183" s="48"/>
      <c r="G183" s="48"/>
      <c r="H183" s="48"/>
      <c r="I183" s="48"/>
      <c r="J183" s="48"/>
      <c r="K183" s="48"/>
      <c r="L183" s="48"/>
    </row>
    <row r="184" spans="1:12" ht="18.95" customHeight="1">
      <c r="A184" s="48"/>
      <c r="B184" s="48"/>
      <c r="C184" s="48"/>
      <c r="D184" s="48"/>
      <c r="E184" s="48"/>
      <c r="F184" s="48"/>
      <c r="G184" s="48"/>
      <c r="H184" s="48"/>
      <c r="I184" s="48"/>
      <c r="J184" s="48"/>
      <c r="K184" s="48"/>
      <c r="L184" s="48"/>
    </row>
    <row r="185" spans="1:12" ht="18.95" customHeight="1">
      <c r="A185" s="48"/>
      <c r="B185" s="48"/>
      <c r="C185" s="48"/>
      <c r="D185" s="48"/>
      <c r="E185" s="48"/>
      <c r="F185" s="48"/>
      <c r="G185" s="48"/>
      <c r="H185" s="48"/>
      <c r="I185" s="48"/>
      <c r="J185" s="48"/>
      <c r="K185" s="48"/>
      <c r="L185" s="48"/>
    </row>
    <row r="186" spans="1:12" ht="18.95" customHeight="1">
      <c r="A186" s="48"/>
      <c r="B186" s="48"/>
      <c r="C186" s="48"/>
      <c r="D186" s="48"/>
      <c r="E186" s="48"/>
      <c r="F186" s="48"/>
      <c r="G186" s="48"/>
      <c r="H186" s="48"/>
      <c r="I186" s="48"/>
      <c r="J186" s="48"/>
      <c r="K186" s="48"/>
      <c r="L186" s="48"/>
    </row>
    <row r="187" spans="1:12" ht="18.95" customHeight="1">
      <c r="A187" s="48"/>
      <c r="B187" s="48"/>
      <c r="C187" s="48"/>
      <c r="D187" s="48"/>
      <c r="E187" s="48"/>
      <c r="F187" s="48"/>
      <c r="G187" s="48"/>
      <c r="H187" s="48"/>
      <c r="I187" s="48"/>
      <c r="J187" s="48"/>
      <c r="K187" s="48"/>
      <c r="L187" s="48"/>
    </row>
    <row r="188" spans="1:12" ht="18.95" customHeight="1">
      <c r="A188" s="48"/>
      <c r="B188" s="48"/>
      <c r="C188" s="48"/>
      <c r="D188" s="48"/>
      <c r="E188" s="48"/>
      <c r="F188" s="48"/>
      <c r="G188" s="48"/>
      <c r="H188" s="48"/>
      <c r="I188" s="48"/>
      <c r="J188" s="48"/>
      <c r="K188" s="48"/>
      <c r="L188" s="48"/>
    </row>
    <row r="189" spans="1:12" ht="18.95" customHeight="1">
      <c r="A189" s="48"/>
      <c r="B189" s="48"/>
      <c r="C189" s="48"/>
      <c r="D189" s="48"/>
      <c r="E189" s="48"/>
      <c r="F189" s="48"/>
      <c r="G189" s="48"/>
      <c r="H189" s="48"/>
      <c r="I189" s="48"/>
      <c r="J189" s="48"/>
      <c r="K189" s="48"/>
      <c r="L189" s="48"/>
    </row>
    <row r="190" spans="1:12" ht="18.95" customHeight="1">
      <c r="A190" s="48"/>
      <c r="B190" s="48"/>
      <c r="C190" s="48"/>
      <c r="D190" s="48"/>
      <c r="E190" s="48"/>
      <c r="F190" s="48"/>
      <c r="G190" s="48"/>
      <c r="H190" s="48"/>
      <c r="I190" s="48"/>
      <c r="J190" s="48"/>
      <c r="K190" s="48"/>
      <c r="L190" s="48"/>
    </row>
    <row r="191" spans="1:12" ht="18.95" customHeight="1">
      <c r="A191" s="48"/>
      <c r="B191" s="48"/>
      <c r="C191" s="48"/>
      <c r="D191" s="48"/>
      <c r="E191" s="48"/>
      <c r="F191" s="48"/>
      <c r="G191" s="48"/>
      <c r="H191" s="48"/>
      <c r="I191" s="48"/>
      <c r="J191" s="48"/>
      <c r="K191" s="48"/>
      <c r="L191" s="48"/>
    </row>
    <row r="192" spans="1:12" ht="18.95" customHeight="1">
      <c r="A192" s="48"/>
      <c r="B192" s="48"/>
      <c r="C192" s="48"/>
      <c r="D192" s="48"/>
      <c r="E192" s="48"/>
      <c r="F192" s="48"/>
      <c r="G192" s="48"/>
      <c r="H192" s="48"/>
      <c r="I192" s="48"/>
      <c r="J192" s="48"/>
      <c r="K192" s="48"/>
      <c r="L192" s="48"/>
    </row>
    <row r="193" spans="1:12" ht="18.95" customHeight="1">
      <c r="A193" s="48"/>
      <c r="B193" s="48"/>
      <c r="C193" s="48"/>
      <c r="D193" s="48"/>
      <c r="E193" s="48"/>
      <c r="F193" s="48"/>
      <c r="G193" s="48"/>
      <c r="H193" s="48"/>
      <c r="I193" s="48"/>
      <c r="J193" s="48"/>
      <c r="K193" s="48"/>
      <c r="L193" s="48"/>
    </row>
    <row r="194" spans="1:12" ht="18.95" customHeight="1">
      <c r="A194" s="48"/>
      <c r="B194" s="48"/>
      <c r="C194" s="48"/>
      <c r="D194" s="48"/>
      <c r="E194" s="48"/>
      <c r="F194" s="48"/>
      <c r="G194" s="48"/>
      <c r="H194" s="48"/>
      <c r="I194" s="48"/>
      <c r="J194" s="48"/>
      <c r="K194" s="48"/>
      <c r="L194" s="48"/>
    </row>
    <row r="195" spans="1:12" ht="18.95" customHeight="1">
      <c r="A195" s="48"/>
      <c r="B195" s="48"/>
      <c r="C195" s="48"/>
      <c r="D195" s="48"/>
      <c r="E195" s="48"/>
      <c r="F195" s="48"/>
      <c r="G195" s="48"/>
      <c r="H195" s="48"/>
      <c r="I195" s="48"/>
      <c r="J195" s="48"/>
      <c r="K195" s="48"/>
      <c r="L195" s="48"/>
    </row>
    <row r="196" spans="1:12" ht="18.95" customHeight="1">
      <c r="A196" s="48"/>
      <c r="B196" s="48"/>
      <c r="C196" s="48"/>
      <c r="D196" s="48"/>
      <c r="E196" s="48"/>
      <c r="F196" s="48"/>
      <c r="G196" s="48"/>
      <c r="H196" s="48"/>
      <c r="I196" s="48"/>
      <c r="J196" s="48"/>
      <c r="K196" s="48"/>
      <c r="L196" s="48"/>
    </row>
    <row r="197" spans="1:12" ht="18.95" customHeight="1">
      <c r="A197" s="48"/>
      <c r="B197" s="48"/>
      <c r="C197" s="48"/>
      <c r="D197" s="48"/>
      <c r="E197" s="48"/>
      <c r="F197" s="48"/>
      <c r="G197" s="48"/>
      <c r="H197" s="48"/>
      <c r="I197" s="48"/>
      <c r="J197" s="48"/>
      <c r="K197" s="48"/>
      <c r="L197" s="48"/>
    </row>
    <row r="198" spans="1:12" ht="18.95" customHeight="1">
      <c r="A198" s="48"/>
      <c r="B198" s="48"/>
      <c r="C198" s="48"/>
      <c r="D198" s="48"/>
      <c r="E198" s="48"/>
      <c r="F198" s="48"/>
      <c r="G198" s="48"/>
      <c r="H198" s="48"/>
      <c r="I198" s="48"/>
      <c r="J198" s="48"/>
      <c r="K198" s="48"/>
      <c r="L198" s="48"/>
    </row>
    <row r="199" spans="1:12" ht="18.95" customHeight="1">
      <c r="A199" s="48"/>
      <c r="B199" s="48"/>
      <c r="C199" s="48"/>
      <c r="D199" s="48"/>
      <c r="E199" s="48"/>
      <c r="F199" s="48"/>
      <c r="G199" s="48"/>
      <c r="H199" s="48"/>
      <c r="I199" s="48"/>
      <c r="J199" s="48"/>
      <c r="K199" s="48"/>
      <c r="L199" s="48"/>
    </row>
    <row r="200" spans="1:12" ht="18.95" customHeight="1">
      <c r="A200" s="48"/>
      <c r="B200" s="48"/>
      <c r="C200" s="48"/>
      <c r="D200" s="48"/>
      <c r="E200" s="48"/>
      <c r="F200" s="48"/>
      <c r="G200" s="48"/>
      <c r="H200" s="48"/>
      <c r="I200" s="48"/>
      <c r="J200" s="48"/>
      <c r="K200" s="48"/>
      <c r="L200" s="48"/>
    </row>
    <row r="201" spans="1:12" ht="18.95" customHeight="1">
      <c r="A201" s="48"/>
      <c r="B201" s="48"/>
      <c r="C201" s="48"/>
      <c r="D201" s="48"/>
      <c r="E201" s="48"/>
      <c r="F201" s="48"/>
      <c r="G201" s="48"/>
      <c r="H201" s="48"/>
      <c r="I201" s="48"/>
      <c r="J201" s="48"/>
      <c r="K201" s="48"/>
      <c r="L201" s="48"/>
    </row>
    <row r="202" spans="1:12" ht="18.95" customHeight="1">
      <c r="A202" s="48"/>
      <c r="B202" s="48"/>
      <c r="C202" s="48"/>
      <c r="D202" s="48"/>
      <c r="E202" s="48"/>
      <c r="F202" s="48"/>
      <c r="G202" s="48"/>
      <c r="H202" s="48"/>
      <c r="I202" s="48"/>
      <c r="J202" s="48"/>
      <c r="K202" s="48"/>
      <c r="L202" s="48"/>
    </row>
    <row r="203" spans="1:12" ht="18.95" customHeight="1">
      <c r="A203" s="48"/>
      <c r="B203" s="48"/>
      <c r="C203" s="48"/>
      <c r="D203" s="48"/>
      <c r="E203" s="48"/>
      <c r="F203" s="48"/>
      <c r="G203" s="48"/>
      <c r="H203" s="48"/>
      <c r="I203" s="48"/>
      <c r="J203" s="48"/>
      <c r="K203" s="48"/>
      <c r="L203" s="48"/>
    </row>
    <row r="204" spans="1:12" ht="18.95" customHeight="1">
      <c r="A204" s="48"/>
      <c r="B204" s="48"/>
      <c r="C204" s="48"/>
      <c r="D204" s="48"/>
      <c r="E204" s="48"/>
      <c r="F204" s="48"/>
      <c r="G204" s="48"/>
      <c r="H204" s="48"/>
      <c r="I204" s="48"/>
      <c r="J204" s="48"/>
      <c r="K204" s="48"/>
      <c r="L204" s="48"/>
    </row>
    <row r="205" spans="1:12" ht="18.95" customHeight="1">
      <c r="A205" s="48"/>
      <c r="B205" s="48"/>
      <c r="C205" s="48"/>
      <c r="D205" s="48"/>
      <c r="E205" s="48"/>
      <c r="F205" s="48"/>
      <c r="G205" s="48"/>
      <c r="H205" s="48"/>
      <c r="I205" s="48"/>
      <c r="J205" s="48"/>
      <c r="K205" s="48"/>
      <c r="L205" s="48"/>
    </row>
    <row r="206" spans="1:12" ht="18.95" customHeight="1">
      <c r="A206" s="48"/>
      <c r="B206" s="48"/>
      <c r="C206" s="48"/>
      <c r="D206" s="48"/>
      <c r="E206" s="48"/>
      <c r="F206" s="48"/>
      <c r="G206" s="48"/>
      <c r="H206" s="48"/>
      <c r="I206" s="48"/>
      <c r="J206" s="48"/>
      <c r="K206" s="48"/>
      <c r="L206" s="48"/>
    </row>
    <row r="207" spans="1:12" ht="18.95" customHeight="1">
      <c r="A207" s="48"/>
      <c r="B207" s="48"/>
      <c r="C207" s="48"/>
      <c r="D207" s="48"/>
      <c r="E207" s="48"/>
      <c r="F207" s="48"/>
      <c r="G207" s="48"/>
      <c r="H207" s="48"/>
      <c r="I207" s="48"/>
      <c r="J207" s="48"/>
      <c r="K207" s="48"/>
      <c r="L207" s="48"/>
    </row>
    <row r="208" spans="1:12" ht="18.95" customHeight="1">
      <c r="A208" s="48"/>
      <c r="B208" s="48"/>
      <c r="C208" s="48"/>
      <c r="D208" s="48"/>
      <c r="E208" s="48"/>
      <c r="F208" s="48"/>
      <c r="G208" s="48"/>
      <c r="H208" s="48"/>
      <c r="I208" s="48"/>
      <c r="J208" s="48"/>
      <c r="K208" s="48"/>
      <c r="L208" s="48"/>
    </row>
    <row r="209" spans="1:12" ht="18.95" customHeight="1">
      <c r="A209" s="48"/>
      <c r="B209" s="48"/>
      <c r="C209" s="48"/>
      <c r="D209" s="48"/>
      <c r="E209" s="48"/>
      <c r="F209" s="48"/>
      <c r="G209" s="48"/>
      <c r="H209" s="48"/>
      <c r="I209" s="48"/>
      <c r="J209" s="48"/>
      <c r="K209" s="48"/>
      <c r="L209" s="48"/>
    </row>
    <row r="210" spans="1:12" ht="18.95" customHeight="1">
      <c r="A210" s="48"/>
      <c r="B210" s="48"/>
      <c r="C210" s="48"/>
      <c r="D210" s="48"/>
      <c r="E210" s="48"/>
      <c r="F210" s="48"/>
      <c r="G210" s="48"/>
      <c r="H210" s="48"/>
      <c r="I210" s="48"/>
      <c r="J210" s="48"/>
      <c r="K210" s="48"/>
      <c r="L210" s="48"/>
    </row>
    <row r="211" spans="1:12" ht="18.95" customHeight="1">
      <c r="A211" s="48"/>
      <c r="B211" s="48"/>
      <c r="C211" s="48"/>
      <c r="D211" s="48"/>
      <c r="E211" s="48"/>
      <c r="F211" s="48"/>
      <c r="G211" s="48"/>
      <c r="H211" s="48"/>
      <c r="I211" s="48"/>
      <c r="J211" s="48"/>
      <c r="K211" s="48"/>
      <c r="L211" s="48"/>
    </row>
    <row r="212" spans="1:12" ht="18.95" customHeight="1">
      <c r="A212" s="48"/>
      <c r="B212" s="48"/>
      <c r="C212" s="48"/>
      <c r="D212" s="48"/>
      <c r="E212" s="48"/>
      <c r="F212" s="48"/>
      <c r="G212" s="48"/>
      <c r="H212" s="48"/>
      <c r="I212" s="48"/>
      <c r="J212" s="48"/>
      <c r="K212" s="48"/>
      <c r="L212" s="48"/>
    </row>
    <row r="213" spans="1:12" ht="18.95" customHeight="1">
      <c r="A213" s="48"/>
      <c r="B213" s="48"/>
      <c r="C213" s="48"/>
      <c r="D213" s="48"/>
      <c r="E213" s="48"/>
      <c r="F213" s="48"/>
      <c r="G213" s="48"/>
      <c r="H213" s="48"/>
      <c r="I213" s="48"/>
      <c r="J213" s="48"/>
      <c r="K213" s="48"/>
      <c r="L213" s="48"/>
    </row>
    <row r="214" spans="1:12" ht="18.95" customHeight="1">
      <c r="A214" s="48"/>
      <c r="B214" s="48"/>
      <c r="C214" s="48"/>
      <c r="D214" s="48"/>
      <c r="E214" s="48"/>
      <c r="F214" s="48"/>
      <c r="G214" s="48"/>
      <c r="H214" s="48"/>
      <c r="I214" s="48"/>
      <c r="J214" s="48"/>
      <c r="K214" s="48"/>
      <c r="L214" s="48"/>
    </row>
    <row r="215" spans="1:12" ht="18.95" customHeight="1">
      <c r="A215" s="48"/>
      <c r="B215" s="48"/>
      <c r="C215" s="48"/>
      <c r="D215" s="48"/>
      <c r="E215" s="48"/>
      <c r="F215" s="48"/>
      <c r="G215" s="48"/>
      <c r="H215" s="48"/>
      <c r="I215" s="48"/>
      <c r="J215" s="48"/>
      <c r="K215" s="48"/>
      <c r="L215" s="48"/>
    </row>
    <row r="216" spans="1:12" ht="18.95" customHeight="1">
      <c r="A216" s="48"/>
      <c r="B216" s="48"/>
      <c r="C216" s="48"/>
      <c r="D216" s="48"/>
      <c r="E216" s="48"/>
      <c r="F216" s="48"/>
      <c r="G216" s="48"/>
      <c r="H216" s="48"/>
      <c r="I216" s="48"/>
      <c r="J216" s="48"/>
      <c r="K216" s="48"/>
      <c r="L216" s="48"/>
    </row>
    <row r="217" spans="1:12" ht="18.95" customHeight="1">
      <c r="A217" s="48"/>
      <c r="B217" s="48"/>
      <c r="C217" s="48"/>
      <c r="D217" s="48"/>
      <c r="E217" s="48"/>
      <c r="F217" s="48"/>
      <c r="G217" s="48"/>
      <c r="H217" s="48"/>
      <c r="I217" s="48"/>
      <c r="J217" s="48"/>
      <c r="K217" s="48"/>
      <c r="L217" s="48"/>
    </row>
    <row r="218" spans="1:12" ht="18.95" customHeight="1">
      <c r="A218" s="48"/>
      <c r="B218" s="48"/>
      <c r="C218" s="48"/>
      <c r="D218" s="48"/>
      <c r="E218" s="48"/>
      <c r="F218" s="48"/>
      <c r="G218" s="48"/>
      <c r="H218" s="48"/>
      <c r="I218" s="48"/>
      <c r="J218" s="48"/>
      <c r="K218" s="48"/>
      <c r="L218" s="48"/>
    </row>
    <row r="219" spans="1:12" ht="18.95" customHeight="1">
      <c r="A219" s="48"/>
      <c r="B219" s="48"/>
      <c r="C219" s="48"/>
      <c r="D219" s="48"/>
      <c r="E219" s="48"/>
      <c r="F219" s="48"/>
      <c r="G219" s="48"/>
      <c r="H219" s="48"/>
      <c r="I219" s="48"/>
      <c r="J219" s="48"/>
      <c r="K219" s="48"/>
      <c r="L219" s="48"/>
    </row>
    <row r="220" spans="1:12" ht="18.95" customHeight="1">
      <c r="A220" s="48"/>
      <c r="B220" s="48"/>
      <c r="C220" s="48"/>
      <c r="D220" s="48"/>
      <c r="E220" s="48"/>
      <c r="F220" s="48"/>
      <c r="G220" s="48"/>
      <c r="H220" s="48"/>
      <c r="I220" s="48"/>
      <c r="J220" s="48"/>
      <c r="K220" s="48"/>
      <c r="L220" s="48"/>
    </row>
    <row r="221" spans="1:12" ht="18.95" customHeight="1">
      <c r="A221" s="48"/>
      <c r="B221" s="48"/>
      <c r="C221" s="48"/>
      <c r="D221" s="48"/>
      <c r="E221" s="48"/>
      <c r="F221" s="48"/>
      <c r="G221" s="48"/>
      <c r="H221" s="48"/>
      <c r="I221" s="48"/>
      <c r="J221" s="48"/>
      <c r="K221" s="48"/>
      <c r="L221" s="48"/>
    </row>
    <row r="222" spans="1:12" ht="18.95" customHeight="1">
      <c r="A222" s="48"/>
      <c r="B222" s="48"/>
      <c r="C222" s="48"/>
      <c r="D222" s="48"/>
      <c r="E222" s="48"/>
      <c r="F222" s="48"/>
      <c r="G222" s="48"/>
      <c r="H222" s="48"/>
      <c r="I222" s="48"/>
      <c r="J222" s="48"/>
      <c r="K222" s="48"/>
      <c r="L222" s="48"/>
    </row>
    <row r="223" spans="1:12" ht="18.95" customHeight="1">
      <c r="A223" s="48"/>
      <c r="B223" s="48"/>
      <c r="C223" s="48"/>
      <c r="D223" s="48"/>
      <c r="E223" s="48"/>
      <c r="F223" s="48"/>
      <c r="G223" s="48"/>
      <c r="H223" s="48"/>
      <c r="I223" s="48"/>
      <c r="J223" s="48"/>
      <c r="K223" s="48"/>
      <c r="L223" s="48"/>
    </row>
    <row r="224" spans="1:12" ht="18.95" customHeight="1">
      <c r="A224" s="48"/>
      <c r="B224" s="48"/>
      <c r="C224" s="48"/>
      <c r="D224" s="48"/>
      <c r="E224" s="48"/>
      <c r="F224" s="48"/>
      <c r="G224" s="48"/>
      <c r="H224" s="48"/>
      <c r="I224" s="48"/>
      <c r="J224" s="48"/>
      <c r="K224" s="48"/>
      <c r="L224" s="48"/>
    </row>
    <row r="225" spans="1:12" ht="18.95" customHeight="1">
      <c r="A225" s="48"/>
      <c r="B225" s="48"/>
      <c r="C225" s="48"/>
      <c r="D225" s="48"/>
      <c r="E225" s="48"/>
      <c r="F225" s="48"/>
      <c r="G225" s="48"/>
      <c r="H225" s="48"/>
      <c r="I225" s="48"/>
      <c r="J225" s="48"/>
      <c r="K225" s="48"/>
      <c r="L225" s="48"/>
    </row>
    <row r="226" spans="1:12" ht="18.95" customHeight="1">
      <c r="A226" s="48"/>
      <c r="B226" s="48"/>
      <c r="C226" s="48"/>
      <c r="D226" s="48"/>
      <c r="E226" s="48"/>
      <c r="F226" s="48"/>
      <c r="G226" s="48"/>
      <c r="H226" s="48"/>
      <c r="I226" s="48"/>
      <c r="J226" s="48"/>
      <c r="K226" s="48"/>
      <c r="L226" s="48"/>
    </row>
    <row r="227" spans="1:12" ht="18.95" customHeight="1">
      <c r="A227" s="48"/>
      <c r="B227" s="48"/>
      <c r="C227" s="48"/>
      <c r="D227" s="48"/>
      <c r="E227" s="48"/>
      <c r="F227" s="48"/>
      <c r="G227" s="48"/>
      <c r="H227" s="48"/>
      <c r="I227" s="48"/>
      <c r="J227" s="48"/>
      <c r="K227" s="48"/>
      <c r="L227" s="48"/>
    </row>
    <row r="228" spans="1:12" ht="18.95" customHeight="1">
      <c r="A228" s="48"/>
      <c r="B228" s="48"/>
      <c r="C228" s="48"/>
      <c r="D228" s="48"/>
      <c r="E228" s="48"/>
      <c r="F228" s="48"/>
      <c r="G228" s="48"/>
      <c r="H228" s="48"/>
      <c r="I228" s="48"/>
      <c r="J228" s="48"/>
      <c r="K228" s="48"/>
      <c r="L228" s="48"/>
    </row>
    <row r="229" spans="1:12" ht="18.95" customHeight="1">
      <c r="A229" s="48"/>
      <c r="B229" s="48"/>
      <c r="C229" s="48"/>
      <c r="D229" s="48"/>
      <c r="E229" s="48"/>
      <c r="F229" s="48"/>
      <c r="G229" s="48"/>
      <c r="H229" s="48"/>
      <c r="I229" s="48"/>
      <c r="J229" s="48"/>
      <c r="K229" s="48"/>
      <c r="L229" s="48"/>
    </row>
    <row r="230" spans="1:12" ht="18.95" customHeight="1">
      <c r="A230" s="48"/>
      <c r="B230" s="48"/>
      <c r="C230" s="48"/>
      <c r="D230" s="48"/>
      <c r="E230" s="48"/>
      <c r="F230" s="48"/>
      <c r="G230" s="48"/>
      <c r="H230" s="48"/>
      <c r="I230" s="48"/>
      <c r="J230" s="48"/>
      <c r="K230" s="48"/>
      <c r="L230" s="48"/>
    </row>
    <row r="231" spans="1:12" ht="18.95" customHeight="1">
      <c r="A231" s="48"/>
      <c r="B231" s="48"/>
      <c r="C231" s="48"/>
      <c r="D231" s="48"/>
      <c r="E231" s="48"/>
      <c r="F231" s="48"/>
      <c r="G231" s="48"/>
      <c r="H231" s="48"/>
      <c r="I231" s="48"/>
      <c r="J231" s="48"/>
      <c r="K231" s="48"/>
      <c r="L231" s="48"/>
    </row>
    <row r="232" spans="1:12" ht="18.95" customHeight="1">
      <c r="A232" s="48"/>
      <c r="B232" s="48"/>
      <c r="C232" s="48"/>
      <c r="D232" s="48"/>
      <c r="E232" s="48"/>
      <c r="F232" s="48"/>
      <c r="G232" s="48"/>
      <c r="H232" s="48"/>
      <c r="I232" s="48"/>
      <c r="J232" s="48"/>
      <c r="K232" s="48"/>
      <c r="L232" s="48"/>
    </row>
    <row r="233" spans="1:12" ht="18.95" customHeight="1">
      <c r="A233" s="48"/>
      <c r="B233" s="48"/>
      <c r="C233" s="48"/>
      <c r="D233" s="48"/>
      <c r="E233" s="48"/>
      <c r="F233" s="48"/>
      <c r="G233" s="48"/>
      <c r="H233" s="48"/>
      <c r="I233" s="48"/>
      <c r="J233" s="48"/>
      <c r="K233" s="48"/>
      <c r="L233" s="48"/>
    </row>
    <row r="234" spans="1:12" ht="18.95" customHeight="1">
      <c r="A234" s="48"/>
      <c r="B234" s="48"/>
      <c r="C234" s="48"/>
      <c r="D234" s="48"/>
      <c r="E234" s="48"/>
      <c r="F234" s="48"/>
      <c r="G234" s="48"/>
      <c r="H234" s="48"/>
      <c r="I234" s="48"/>
      <c r="J234" s="48"/>
      <c r="K234" s="48"/>
      <c r="L234" s="48"/>
    </row>
    <row r="235" spans="1:12" ht="18.95" customHeight="1">
      <c r="A235" s="48"/>
      <c r="B235" s="48"/>
      <c r="C235" s="48"/>
      <c r="D235" s="48"/>
      <c r="E235" s="48"/>
      <c r="F235" s="48"/>
      <c r="G235" s="48"/>
      <c r="H235" s="48"/>
      <c r="I235" s="48"/>
      <c r="J235" s="48"/>
      <c r="K235" s="48"/>
      <c r="L235" s="48"/>
    </row>
    <row r="236" spans="1:12" ht="18.95" customHeight="1">
      <c r="A236" s="48"/>
      <c r="B236" s="48"/>
      <c r="C236" s="48"/>
      <c r="D236" s="48"/>
      <c r="E236" s="48"/>
      <c r="F236" s="48"/>
      <c r="G236" s="48"/>
      <c r="H236" s="48"/>
      <c r="I236" s="48"/>
      <c r="J236" s="48"/>
      <c r="K236" s="48"/>
      <c r="L236" s="48"/>
    </row>
    <row r="237" spans="1:12" ht="18.95" customHeight="1">
      <c r="A237" s="48"/>
      <c r="B237" s="48"/>
      <c r="C237" s="48"/>
      <c r="D237" s="48"/>
      <c r="E237" s="48"/>
      <c r="F237" s="48"/>
      <c r="G237" s="48"/>
      <c r="H237" s="48"/>
      <c r="I237" s="48"/>
      <c r="J237" s="48"/>
      <c r="K237" s="48"/>
      <c r="L237" s="48"/>
    </row>
    <row r="238" spans="1:12" ht="18.95" customHeight="1">
      <c r="A238" s="48"/>
      <c r="B238" s="48"/>
      <c r="C238" s="48"/>
      <c r="D238" s="48"/>
      <c r="E238" s="48"/>
      <c r="F238" s="48"/>
      <c r="G238" s="48"/>
      <c r="H238" s="48"/>
      <c r="I238" s="48"/>
      <c r="J238" s="48"/>
      <c r="K238" s="48"/>
      <c r="L238" s="48"/>
    </row>
    <row r="239" spans="1:12" ht="18.95" customHeight="1">
      <c r="A239" s="48"/>
      <c r="B239" s="48"/>
      <c r="C239" s="48"/>
      <c r="D239" s="48"/>
      <c r="E239" s="48"/>
      <c r="F239" s="48"/>
      <c r="G239" s="48"/>
      <c r="H239" s="48"/>
      <c r="I239" s="48"/>
      <c r="J239" s="48"/>
      <c r="K239" s="48"/>
      <c r="L239" s="48"/>
    </row>
    <row r="240" spans="1:12" ht="18.95" customHeight="1">
      <c r="A240" s="48"/>
      <c r="B240" s="48"/>
      <c r="C240" s="48"/>
      <c r="D240" s="48"/>
      <c r="E240" s="48"/>
      <c r="F240" s="48"/>
      <c r="G240" s="48"/>
      <c r="H240" s="48"/>
      <c r="I240" s="48"/>
      <c r="J240" s="48"/>
      <c r="K240" s="48"/>
      <c r="L240" s="48"/>
    </row>
    <row r="241" spans="1:12" ht="18.95" customHeight="1">
      <c r="A241" s="48"/>
      <c r="B241" s="48"/>
      <c r="C241" s="48"/>
      <c r="D241" s="48"/>
      <c r="E241" s="48"/>
      <c r="F241" s="48"/>
      <c r="G241" s="48"/>
      <c r="H241" s="48"/>
      <c r="I241" s="48"/>
      <c r="J241" s="48"/>
      <c r="K241" s="48"/>
      <c r="L241" s="48"/>
    </row>
    <row r="242" spans="1:12" ht="18.95" customHeight="1">
      <c r="A242" s="48"/>
      <c r="B242" s="48"/>
      <c r="C242" s="48"/>
      <c r="D242" s="48"/>
      <c r="E242" s="48"/>
      <c r="F242" s="48"/>
      <c r="G242" s="48"/>
      <c r="H242" s="48"/>
      <c r="I242" s="48"/>
      <c r="J242" s="48"/>
      <c r="K242" s="48"/>
      <c r="L242" s="48"/>
    </row>
    <row r="243" spans="1:12" ht="18.95" customHeight="1">
      <c r="A243" s="48"/>
      <c r="B243" s="48"/>
      <c r="C243" s="48"/>
      <c r="D243" s="48"/>
      <c r="E243" s="48"/>
      <c r="F243" s="48"/>
      <c r="G243" s="48"/>
      <c r="H243" s="48"/>
      <c r="I243" s="48"/>
      <c r="J243" s="48"/>
      <c r="K243" s="48"/>
      <c r="L243" s="48"/>
    </row>
    <row r="244" spans="1:12" ht="18.95" customHeight="1">
      <c r="A244" s="48"/>
      <c r="B244" s="48"/>
      <c r="C244" s="48"/>
      <c r="D244" s="48"/>
      <c r="E244" s="48"/>
      <c r="F244" s="48"/>
      <c r="G244" s="48"/>
      <c r="H244" s="48"/>
      <c r="I244" s="48"/>
      <c r="J244" s="48"/>
      <c r="K244" s="48"/>
      <c r="L244" s="48"/>
    </row>
    <row r="245" spans="1:12" ht="18.95" customHeight="1">
      <c r="A245" s="48"/>
      <c r="B245" s="48"/>
      <c r="C245" s="48"/>
      <c r="D245" s="48"/>
      <c r="E245" s="48"/>
      <c r="F245" s="48"/>
      <c r="G245" s="48"/>
      <c r="H245" s="48"/>
      <c r="I245" s="48"/>
      <c r="J245" s="48"/>
      <c r="K245" s="48"/>
      <c r="L245" s="48"/>
    </row>
    <row r="246" spans="1:12" ht="18.95" customHeight="1">
      <c r="A246" s="48"/>
      <c r="B246" s="48"/>
      <c r="C246" s="48"/>
      <c r="D246" s="48"/>
      <c r="E246" s="48"/>
      <c r="F246" s="48"/>
      <c r="G246" s="48"/>
      <c r="H246" s="48"/>
      <c r="I246" s="48"/>
      <c r="J246" s="48"/>
      <c r="K246" s="48"/>
      <c r="L246" s="48"/>
    </row>
    <row r="247" spans="1:12" ht="18.95" customHeight="1">
      <c r="A247" s="48"/>
      <c r="B247" s="48"/>
      <c r="C247" s="48"/>
      <c r="D247" s="48"/>
      <c r="E247" s="48"/>
      <c r="F247" s="48"/>
      <c r="G247" s="48"/>
      <c r="H247" s="48"/>
      <c r="I247" s="48"/>
      <c r="J247" s="48"/>
      <c r="K247" s="48"/>
      <c r="L247" s="48"/>
    </row>
    <row r="248" spans="1:12" ht="18.95" customHeight="1">
      <c r="A248" s="48"/>
      <c r="B248" s="48"/>
      <c r="C248" s="48"/>
      <c r="D248" s="48"/>
      <c r="E248" s="48"/>
      <c r="F248" s="48"/>
      <c r="G248" s="48"/>
      <c r="H248" s="48"/>
      <c r="I248" s="48"/>
      <c r="J248" s="48"/>
      <c r="K248" s="48"/>
      <c r="L248" s="48"/>
    </row>
    <row r="249" spans="1:12" ht="18.95" customHeight="1">
      <c r="A249" s="48"/>
      <c r="B249" s="48"/>
      <c r="C249" s="48"/>
      <c r="D249" s="48"/>
      <c r="E249" s="48"/>
      <c r="F249" s="48"/>
      <c r="G249" s="48"/>
      <c r="H249" s="48"/>
      <c r="I249" s="48"/>
      <c r="J249" s="48"/>
      <c r="K249" s="48"/>
      <c r="L249" s="48"/>
    </row>
    <row r="250" spans="1:12" ht="18.95" customHeight="1">
      <c r="A250" s="48"/>
      <c r="B250" s="48"/>
      <c r="C250" s="48"/>
      <c r="D250" s="48"/>
      <c r="E250" s="48"/>
      <c r="F250" s="48"/>
      <c r="G250" s="48"/>
      <c r="H250" s="48"/>
      <c r="I250" s="48"/>
      <c r="J250" s="48"/>
      <c r="K250" s="48"/>
      <c r="L250" s="48"/>
    </row>
    <row r="251" spans="1:12" ht="18.95" customHeight="1">
      <c r="A251" s="48"/>
      <c r="B251" s="48"/>
      <c r="C251" s="48"/>
      <c r="D251" s="48"/>
      <c r="E251" s="48"/>
      <c r="F251" s="48"/>
      <c r="G251" s="48"/>
      <c r="H251" s="48"/>
      <c r="I251" s="48"/>
      <c r="J251" s="48"/>
      <c r="K251" s="48"/>
      <c r="L251" s="48"/>
    </row>
    <row r="252" spans="1:12" ht="18.95" customHeight="1">
      <c r="A252" s="48"/>
      <c r="B252" s="48"/>
      <c r="C252" s="48"/>
      <c r="D252" s="48"/>
      <c r="E252" s="48"/>
      <c r="F252" s="48"/>
      <c r="G252" s="48"/>
      <c r="H252" s="48"/>
      <c r="I252" s="48"/>
      <c r="J252" s="48"/>
      <c r="K252" s="48"/>
      <c r="L252" s="48"/>
    </row>
    <row r="253" spans="1:12" ht="18.95" customHeight="1">
      <c r="A253" s="48"/>
      <c r="B253" s="48"/>
      <c r="C253" s="48"/>
      <c r="D253" s="48"/>
      <c r="E253" s="48"/>
      <c r="F253" s="48"/>
      <c r="G253" s="48"/>
      <c r="H253" s="48"/>
      <c r="I253" s="48"/>
      <c r="J253" s="48"/>
      <c r="K253" s="48"/>
      <c r="L253" s="48"/>
    </row>
    <row r="254" spans="1:12" ht="18.95" customHeight="1">
      <c r="A254" s="48"/>
      <c r="B254" s="48"/>
      <c r="C254" s="48"/>
      <c r="D254" s="48"/>
      <c r="E254" s="48"/>
      <c r="F254" s="48"/>
      <c r="G254" s="48"/>
      <c r="H254" s="48"/>
      <c r="I254" s="48"/>
      <c r="J254" s="48"/>
      <c r="K254" s="48"/>
      <c r="L254" s="48"/>
    </row>
    <row r="255" spans="1:12" ht="18.95" customHeight="1">
      <c r="A255" s="48"/>
      <c r="B255" s="48"/>
      <c r="C255" s="48"/>
      <c r="D255" s="48"/>
      <c r="E255" s="48"/>
      <c r="F255" s="48"/>
      <c r="G255" s="48"/>
      <c r="H255" s="48"/>
      <c r="I255" s="48"/>
      <c r="J255" s="48"/>
      <c r="K255" s="48"/>
      <c r="L255" s="48"/>
    </row>
    <row r="256" spans="1:12" ht="18.95" customHeight="1">
      <c r="A256" s="48"/>
      <c r="B256" s="48"/>
      <c r="C256" s="48"/>
      <c r="D256" s="48"/>
      <c r="E256" s="48"/>
      <c r="F256" s="48"/>
      <c r="G256" s="48"/>
      <c r="H256" s="48"/>
      <c r="I256" s="48"/>
      <c r="J256" s="48"/>
      <c r="K256" s="48"/>
      <c r="L256" s="48"/>
    </row>
    <row r="257" spans="1:12" ht="18.95" customHeight="1">
      <c r="A257" s="48"/>
      <c r="B257" s="48"/>
      <c r="C257" s="48"/>
      <c r="D257" s="48"/>
      <c r="E257" s="48"/>
      <c r="F257" s="48"/>
      <c r="G257" s="48"/>
      <c r="H257" s="48"/>
      <c r="I257" s="48"/>
      <c r="J257" s="48"/>
      <c r="K257" s="48"/>
      <c r="L257" s="48"/>
    </row>
    <row r="258" spans="1:12" ht="18.95" customHeight="1">
      <c r="A258" s="48"/>
      <c r="B258" s="48"/>
      <c r="C258" s="48"/>
      <c r="D258" s="48"/>
      <c r="E258" s="48"/>
      <c r="F258" s="48"/>
      <c r="G258" s="48"/>
      <c r="H258" s="48"/>
      <c r="I258" s="48"/>
      <c r="J258" s="48"/>
      <c r="K258" s="48"/>
      <c r="L258" s="48"/>
    </row>
    <row r="259" spans="1:12" ht="18.95" customHeight="1">
      <c r="A259" s="48"/>
      <c r="B259" s="48"/>
      <c r="C259" s="48"/>
      <c r="D259" s="48"/>
      <c r="E259" s="48"/>
      <c r="F259" s="48"/>
      <c r="G259" s="48"/>
      <c r="H259" s="48"/>
      <c r="I259" s="48"/>
      <c r="J259" s="48"/>
      <c r="K259" s="48"/>
      <c r="L259" s="48"/>
    </row>
    <row r="260" spans="1:12" ht="18.95" customHeight="1">
      <c r="A260" s="48"/>
      <c r="B260" s="48"/>
      <c r="C260" s="48"/>
      <c r="D260" s="48"/>
      <c r="E260" s="48"/>
      <c r="F260" s="48"/>
      <c r="G260" s="48"/>
      <c r="H260" s="48"/>
      <c r="I260" s="48"/>
      <c r="J260" s="48"/>
      <c r="K260" s="48"/>
      <c r="L260" s="48"/>
    </row>
    <row r="261" spans="1:12" ht="18.95" customHeight="1">
      <c r="A261" s="48"/>
      <c r="B261" s="48"/>
      <c r="C261" s="48"/>
      <c r="D261" s="48"/>
      <c r="E261" s="48"/>
      <c r="F261" s="48"/>
      <c r="G261" s="48"/>
      <c r="H261" s="48"/>
      <c r="I261" s="48"/>
      <c r="J261" s="48"/>
      <c r="K261" s="48"/>
      <c r="L261" s="48"/>
    </row>
    <row r="262" spans="1:12" ht="18.95" customHeight="1">
      <c r="A262" s="48"/>
      <c r="B262" s="48"/>
      <c r="C262" s="48"/>
      <c r="D262" s="48"/>
      <c r="E262" s="48"/>
      <c r="F262" s="48"/>
      <c r="G262" s="48"/>
      <c r="H262" s="48"/>
      <c r="I262" s="48"/>
      <c r="J262" s="48"/>
      <c r="K262" s="48"/>
      <c r="L262" s="48"/>
    </row>
    <row r="263" spans="1:12" ht="18.95" customHeight="1">
      <c r="A263" s="48"/>
      <c r="B263" s="48"/>
      <c r="C263" s="48"/>
      <c r="D263" s="48"/>
      <c r="E263" s="48"/>
      <c r="F263" s="48"/>
      <c r="G263" s="48"/>
      <c r="H263" s="48"/>
      <c r="I263" s="48"/>
      <c r="J263" s="48"/>
      <c r="K263" s="48"/>
      <c r="L263" s="48"/>
    </row>
    <row r="264" spans="1:12" ht="18.95" customHeight="1">
      <c r="A264" s="48"/>
      <c r="B264" s="48"/>
      <c r="C264" s="48"/>
      <c r="D264" s="48"/>
      <c r="E264" s="48"/>
      <c r="F264" s="48"/>
      <c r="G264" s="48"/>
      <c r="H264" s="48"/>
      <c r="I264" s="48"/>
      <c r="J264" s="48"/>
      <c r="K264" s="48"/>
      <c r="L264" s="48"/>
    </row>
    <row r="265" spans="1:12" ht="18.95" customHeight="1">
      <c r="A265" s="48"/>
      <c r="B265" s="48"/>
      <c r="C265" s="48"/>
      <c r="D265" s="48"/>
      <c r="E265" s="48"/>
      <c r="F265" s="48"/>
      <c r="G265" s="48"/>
      <c r="H265" s="48"/>
      <c r="I265" s="48"/>
      <c r="J265" s="48"/>
      <c r="K265" s="48"/>
      <c r="L265" s="48"/>
    </row>
    <row r="266" spans="1:12" ht="18.95" customHeight="1">
      <c r="A266" s="48"/>
      <c r="B266" s="48"/>
      <c r="C266" s="48"/>
      <c r="D266" s="48"/>
      <c r="E266" s="48"/>
      <c r="F266" s="48"/>
      <c r="G266" s="48"/>
      <c r="H266" s="48"/>
      <c r="I266" s="48"/>
      <c r="J266" s="48"/>
      <c r="K266" s="48"/>
      <c r="L266" s="48"/>
    </row>
    <row r="267" spans="1:12" ht="18.95" customHeight="1">
      <c r="A267" s="48"/>
      <c r="B267" s="48"/>
      <c r="C267" s="48"/>
      <c r="D267" s="48"/>
      <c r="E267" s="48"/>
      <c r="F267" s="48"/>
      <c r="G267" s="48"/>
      <c r="H267" s="48"/>
      <c r="I267" s="48"/>
      <c r="J267" s="48"/>
      <c r="K267" s="48"/>
      <c r="L267" s="48"/>
    </row>
    <row r="268" spans="1:12" ht="18.95" customHeight="1">
      <c r="A268" s="48"/>
      <c r="B268" s="48"/>
      <c r="C268" s="48"/>
      <c r="D268" s="48"/>
      <c r="E268" s="48"/>
      <c r="F268" s="48"/>
      <c r="G268" s="48"/>
      <c r="H268" s="48"/>
      <c r="I268" s="48"/>
      <c r="J268" s="48"/>
      <c r="K268" s="48"/>
      <c r="L268" s="48"/>
    </row>
    <row r="269" spans="1:12" ht="18.95" customHeight="1">
      <c r="A269" s="48"/>
      <c r="B269" s="48"/>
      <c r="C269" s="48"/>
      <c r="D269" s="48"/>
      <c r="E269" s="48"/>
      <c r="F269" s="48"/>
      <c r="G269" s="48"/>
      <c r="H269" s="48"/>
      <c r="I269" s="48"/>
      <c r="J269" s="48"/>
      <c r="K269" s="48"/>
      <c r="L269" s="48"/>
    </row>
    <row r="270" spans="1:12" ht="18.95" customHeight="1">
      <c r="A270" s="48"/>
      <c r="B270" s="48"/>
      <c r="C270" s="48"/>
      <c r="D270" s="48"/>
      <c r="E270" s="48"/>
      <c r="F270" s="48"/>
      <c r="G270" s="48"/>
      <c r="H270" s="48"/>
      <c r="I270" s="48"/>
      <c r="J270" s="48"/>
      <c r="K270" s="48"/>
      <c r="L270" s="48"/>
    </row>
    <row r="271" spans="1:12" ht="18.95" customHeight="1">
      <c r="A271" s="48"/>
      <c r="B271" s="48"/>
      <c r="C271" s="48"/>
      <c r="D271" s="48"/>
      <c r="E271" s="48"/>
      <c r="F271" s="48"/>
      <c r="G271" s="48"/>
      <c r="H271" s="48"/>
      <c r="I271" s="48"/>
      <c r="J271" s="48"/>
      <c r="K271" s="48"/>
      <c r="L271" s="48"/>
    </row>
    <row r="272" spans="1:12" ht="18.95" customHeight="1">
      <c r="A272" s="48"/>
      <c r="B272" s="48"/>
      <c r="C272" s="48"/>
      <c r="D272" s="48"/>
      <c r="E272" s="48"/>
      <c r="F272" s="48"/>
      <c r="G272" s="48"/>
      <c r="H272" s="48"/>
      <c r="I272" s="48"/>
      <c r="J272" s="48"/>
      <c r="K272" s="48"/>
      <c r="L272" s="48"/>
    </row>
    <row r="273" spans="1:12" ht="18.95" customHeight="1">
      <c r="A273" s="48"/>
      <c r="B273" s="48"/>
      <c r="C273" s="48"/>
      <c r="D273" s="48"/>
      <c r="E273" s="48"/>
      <c r="F273" s="48"/>
      <c r="G273" s="48"/>
      <c r="H273" s="48"/>
      <c r="I273" s="48"/>
      <c r="J273" s="48"/>
      <c r="K273" s="48"/>
      <c r="L273" s="48"/>
    </row>
    <row r="274" spans="1:12" ht="18.95" customHeight="1">
      <c r="A274" s="48"/>
      <c r="B274" s="48"/>
      <c r="C274" s="48"/>
      <c r="D274" s="48"/>
      <c r="E274" s="48"/>
      <c r="F274" s="48"/>
      <c r="G274" s="48"/>
      <c r="H274" s="48"/>
      <c r="I274" s="48"/>
      <c r="J274" s="48"/>
      <c r="K274" s="48"/>
      <c r="L274" s="48"/>
    </row>
    <row r="275" spans="1:12" ht="18.95" customHeight="1">
      <c r="A275" s="48"/>
      <c r="B275" s="48"/>
      <c r="C275" s="48"/>
      <c r="D275" s="48"/>
      <c r="E275" s="48"/>
      <c r="F275" s="48"/>
      <c r="G275" s="48"/>
      <c r="H275" s="48"/>
      <c r="I275" s="48"/>
      <c r="J275" s="48"/>
      <c r="K275" s="48"/>
      <c r="L275" s="48"/>
    </row>
    <row r="276" spans="1:12" ht="18.95" customHeight="1">
      <c r="A276" s="48"/>
      <c r="B276" s="48"/>
      <c r="C276" s="48"/>
      <c r="D276" s="48"/>
      <c r="E276" s="48"/>
      <c r="F276" s="48"/>
      <c r="G276" s="48"/>
      <c r="H276" s="48"/>
      <c r="I276" s="48"/>
      <c r="J276" s="48"/>
      <c r="K276" s="48"/>
      <c r="L276" s="48"/>
    </row>
    <row r="277" spans="1:12" ht="18.95" customHeight="1">
      <c r="A277" s="48"/>
      <c r="B277" s="48"/>
      <c r="C277" s="48"/>
      <c r="D277" s="48"/>
      <c r="E277" s="48"/>
      <c r="F277" s="48"/>
      <c r="G277" s="48"/>
      <c r="H277" s="48"/>
      <c r="I277" s="48"/>
      <c r="J277" s="48"/>
      <c r="K277" s="48"/>
      <c r="L277" s="48"/>
    </row>
    <row r="278" spans="1:12" ht="18.95" customHeight="1">
      <c r="A278" s="48"/>
      <c r="B278" s="48"/>
      <c r="C278" s="48"/>
      <c r="D278" s="48"/>
      <c r="E278" s="48"/>
      <c r="F278" s="48"/>
      <c r="G278" s="48"/>
      <c r="H278" s="48"/>
      <c r="I278" s="48"/>
      <c r="J278" s="48"/>
      <c r="K278" s="48"/>
      <c r="L278" s="48"/>
    </row>
    <row r="279" spans="1:12" ht="18.95" customHeight="1">
      <c r="A279" s="48"/>
      <c r="B279" s="48"/>
      <c r="C279" s="48"/>
      <c r="D279" s="48"/>
      <c r="E279" s="48"/>
      <c r="F279" s="48"/>
      <c r="G279" s="48"/>
      <c r="H279" s="48"/>
      <c r="I279" s="48"/>
      <c r="J279" s="48"/>
      <c r="K279" s="48"/>
      <c r="L279" s="48"/>
    </row>
    <row r="280" spans="1:12" ht="18.95" customHeight="1">
      <c r="A280" s="48"/>
      <c r="B280" s="48"/>
      <c r="C280" s="48"/>
      <c r="D280" s="48"/>
      <c r="E280" s="48"/>
      <c r="F280" s="48"/>
      <c r="G280" s="48"/>
      <c r="H280" s="48"/>
      <c r="I280" s="48"/>
      <c r="J280" s="48"/>
      <c r="K280" s="48"/>
      <c r="L280" s="48"/>
    </row>
    <row r="281" spans="1:12" ht="18.95" customHeight="1">
      <c r="A281" s="48"/>
      <c r="B281" s="48"/>
      <c r="C281" s="48"/>
      <c r="D281" s="48"/>
      <c r="E281" s="48"/>
      <c r="F281" s="48"/>
      <c r="G281" s="48"/>
      <c r="H281" s="48"/>
      <c r="I281" s="48"/>
      <c r="J281" s="48"/>
      <c r="K281" s="48"/>
      <c r="L281" s="48"/>
    </row>
    <row r="282" spans="1:12" ht="18.95" customHeight="1">
      <c r="A282" s="48"/>
      <c r="B282" s="48"/>
      <c r="C282" s="48"/>
      <c r="D282" s="48"/>
      <c r="E282" s="48"/>
      <c r="F282" s="48"/>
      <c r="G282" s="48"/>
      <c r="H282" s="48"/>
      <c r="I282" s="48"/>
      <c r="J282" s="48"/>
      <c r="K282" s="48"/>
      <c r="L282" s="48"/>
    </row>
    <row r="283" spans="1:12" ht="18.95" customHeight="1">
      <c r="A283" s="48"/>
      <c r="B283" s="48"/>
      <c r="C283" s="48"/>
      <c r="D283" s="48"/>
      <c r="E283" s="48"/>
      <c r="F283" s="48"/>
      <c r="G283" s="48"/>
      <c r="H283" s="48"/>
      <c r="I283" s="48"/>
      <c r="J283" s="48"/>
      <c r="K283" s="48"/>
      <c r="L283" s="48"/>
    </row>
    <row r="284" spans="1:12" ht="18.95" customHeight="1">
      <c r="A284" s="48"/>
      <c r="B284" s="48"/>
      <c r="C284" s="48"/>
      <c r="D284" s="48"/>
      <c r="E284" s="48"/>
      <c r="F284" s="48"/>
      <c r="G284" s="48"/>
      <c r="H284" s="48"/>
      <c r="I284" s="48"/>
      <c r="J284" s="48"/>
      <c r="K284" s="48"/>
      <c r="L284" s="48"/>
    </row>
    <row r="285" spans="1:12" ht="18.95" customHeight="1">
      <c r="A285" s="48"/>
      <c r="B285" s="48"/>
      <c r="C285" s="48"/>
      <c r="D285" s="48"/>
      <c r="E285" s="48"/>
      <c r="F285" s="48"/>
      <c r="G285" s="48"/>
      <c r="H285" s="48"/>
      <c r="I285" s="48"/>
      <c r="J285" s="48"/>
      <c r="K285" s="48"/>
      <c r="L285" s="48"/>
    </row>
    <row r="286" spans="1:12" ht="18.95" customHeight="1">
      <c r="A286" s="48"/>
      <c r="B286" s="48"/>
      <c r="C286" s="48"/>
      <c r="D286" s="48"/>
      <c r="E286" s="48"/>
      <c r="F286" s="48"/>
      <c r="G286" s="48"/>
      <c r="H286" s="48"/>
      <c r="I286" s="48"/>
      <c r="J286" s="48"/>
      <c r="K286" s="48"/>
      <c r="L286" s="48"/>
    </row>
    <row r="287" spans="1:12" ht="18.95" customHeight="1">
      <c r="A287" s="48"/>
      <c r="B287" s="48"/>
      <c r="C287" s="48"/>
      <c r="D287" s="48"/>
      <c r="E287" s="48"/>
      <c r="F287" s="48"/>
      <c r="G287" s="48"/>
      <c r="H287" s="48"/>
      <c r="I287" s="48"/>
      <c r="J287" s="48"/>
      <c r="K287" s="48"/>
      <c r="L287" s="48"/>
    </row>
    <row r="288" spans="1:12" ht="18.95" customHeight="1">
      <c r="A288" s="48"/>
      <c r="B288" s="48"/>
      <c r="C288" s="48"/>
      <c r="D288" s="48"/>
      <c r="E288" s="48"/>
      <c r="F288" s="48"/>
      <c r="G288" s="48"/>
      <c r="H288" s="48"/>
      <c r="I288" s="48"/>
      <c r="J288" s="48"/>
      <c r="K288" s="48"/>
      <c r="L288" s="48"/>
    </row>
    <row r="289" spans="1:12" ht="18.95" customHeight="1">
      <c r="A289" s="48"/>
      <c r="B289" s="48"/>
      <c r="C289" s="48"/>
      <c r="D289" s="48"/>
      <c r="E289" s="48"/>
      <c r="F289" s="48"/>
      <c r="G289" s="48"/>
      <c r="H289" s="48"/>
      <c r="I289" s="48"/>
      <c r="J289" s="48"/>
      <c r="K289" s="48"/>
      <c r="L289" s="48"/>
    </row>
    <row r="290" spans="1:12" ht="18.95" customHeight="1">
      <c r="A290" s="48"/>
      <c r="B290" s="48"/>
      <c r="C290" s="48"/>
      <c r="D290" s="48"/>
      <c r="E290" s="48"/>
      <c r="F290" s="48"/>
      <c r="G290" s="48"/>
      <c r="H290" s="48"/>
      <c r="I290" s="48"/>
      <c r="J290" s="48"/>
      <c r="K290" s="48"/>
      <c r="L290" s="48"/>
    </row>
    <row r="291" spans="1:12" ht="18.95" customHeight="1">
      <c r="A291" s="48"/>
      <c r="B291" s="48"/>
      <c r="C291" s="48"/>
      <c r="D291" s="48"/>
      <c r="E291" s="48"/>
      <c r="F291" s="48"/>
      <c r="G291" s="48"/>
      <c r="H291" s="48"/>
      <c r="I291" s="48"/>
      <c r="J291" s="48"/>
      <c r="K291" s="48"/>
      <c r="L291" s="48"/>
    </row>
    <row r="292" spans="1:12" ht="18.95" customHeight="1">
      <c r="A292" s="48"/>
      <c r="B292" s="48"/>
      <c r="C292" s="48"/>
      <c r="D292" s="48"/>
      <c r="E292" s="48"/>
      <c r="F292" s="48"/>
      <c r="G292" s="48"/>
      <c r="H292" s="48"/>
      <c r="I292" s="48"/>
      <c r="J292" s="48"/>
      <c r="K292" s="48"/>
      <c r="L292" s="48"/>
    </row>
    <row r="293" spans="1:12" ht="18.95" customHeight="1">
      <c r="A293" s="48"/>
      <c r="B293" s="48"/>
      <c r="C293" s="48"/>
      <c r="D293" s="48"/>
      <c r="E293" s="48"/>
      <c r="F293" s="48"/>
      <c r="G293" s="48"/>
      <c r="H293" s="48"/>
      <c r="I293" s="48"/>
      <c r="J293" s="48"/>
      <c r="K293" s="48"/>
      <c r="L293" s="48"/>
    </row>
    <row r="294" spans="1:12" ht="18.95" customHeight="1">
      <c r="A294" s="48"/>
      <c r="B294" s="48"/>
      <c r="C294" s="48"/>
      <c r="D294" s="48"/>
      <c r="E294" s="48"/>
      <c r="F294" s="48"/>
      <c r="G294" s="48"/>
      <c r="H294" s="48"/>
      <c r="I294" s="48"/>
      <c r="J294" s="48"/>
      <c r="K294" s="48"/>
      <c r="L294" s="48"/>
    </row>
    <row r="295" spans="1:12" ht="18.95" customHeight="1">
      <c r="A295" s="48"/>
      <c r="B295" s="48"/>
      <c r="C295" s="48"/>
      <c r="D295" s="48"/>
      <c r="E295" s="48"/>
      <c r="F295" s="48"/>
      <c r="G295" s="48"/>
      <c r="H295" s="48"/>
      <c r="I295" s="48"/>
      <c r="J295" s="48"/>
      <c r="K295" s="48"/>
      <c r="L295" s="48"/>
    </row>
    <row r="296" spans="1:12" ht="18.95" customHeight="1">
      <c r="A296" s="48"/>
      <c r="B296" s="48"/>
      <c r="C296" s="48"/>
      <c r="D296" s="48"/>
      <c r="E296" s="48"/>
      <c r="F296" s="48"/>
      <c r="G296" s="48"/>
      <c r="H296" s="48"/>
      <c r="I296" s="48"/>
      <c r="J296" s="48"/>
      <c r="K296" s="48"/>
      <c r="L296" s="48"/>
    </row>
    <row r="297" spans="1:12" ht="18.95" customHeight="1">
      <c r="A297" s="48"/>
      <c r="B297" s="48"/>
      <c r="C297" s="48"/>
      <c r="D297" s="48"/>
      <c r="E297" s="48"/>
      <c r="F297" s="48"/>
      <c r="G297" s="48"/>
      <c r="H297" s="48"/>
      <c r="I297" s="48"/>
      <c r="J297" s="48"/>
      <c r="K297" s="48"/>
      <c r="L297" s="48"/>
    </row>
    <row r="298" spans="1:12" ht="18.95" customHeight="1">
      <c r="A298" s="48"/>
      <c r="B298" s="48"/>
      <c r="C298" s="48"/>
      <c r="D298" s="48"/>
      <c r="E298" s="48"/>
      <c r="F298" s="48"/>
      <c r="G298" s="48"/>
      <c r="H298" s="48"/>
      <c r="I298" s="48"/>
      <c r="J298" s="48"/>
      <c r="K298" s="48"/>
      <c r="L298" s="48"/>
    </row>
    <row r="299" spans="1:12" ht="18.95" customHeight="1">
      <c r="A299" s="48"/>
      <c r="B299" s="48"/>
      <c r="C299" s="48"/>
      <c r="D299" s="48"/>
      <c r="E299" s="48"/>
      <c r="F299" s="48"/>
      <c r="G299" s="48"/>
      <c r="H299" s="48"/>
      <c r="I299" s="48"/>
      <c r="J299" s="48"/>
      <c r="K299" s="48"/>
      <c r="L299" s="48"/>
    </row>
    <row r="300" spans="1:12" ht="18.95" customHeight="1">
      <c r="A300" s="48"/>
      <c r="B300" s="48"/>
      <c r="C300" s="48"/>
      <c r="D300" s="48"/>
      <c r="E300" s="48"/>
      <c r="F300" s="48"/>
      <c r="G300" s="48"/>
      <c r="H300" s="48"/>
      <c r="I300" s="48"/>
      <c r="J300" s="48"/>
      <c r="K300" s="48"/>
      <c r="L300" s="48"/>
    </row>
    <row r="301" spans="1:12" ht="18.95" customHeight="1">
      <c r="A301" s="48"/>
      <c r="B301" s="48"/>
      <c r="C301" s="48"/>
      <c r="D301" s="48"/>
      <c r="E301" s="48"/>
      <c r="F301" s="48"/>
      <c r="G301" s="48"/>
      <c r="H301" s="48"/>
      <c r="I301" s="48"/>
      <c r="J301" s="48"/>
      <c r="K301" s="48"/>
      <c r="L301" s="48"/>
    </row>
    <row r="302" spans="1:12" ht="18.95" customHeight="1">
      <c r="A302" s="48"/>
      <c r="B302" s="48"/>
      <c r="C302" s="48"/>
      <c r="D302" s="48"/>
      <c r="E302" s="48"/>
      <c r="F302" s="48"/>
      <c r="G302" s="48"/>
      <c r="H302" s="48"/>
      <c r="I302" s="48"/>
      <c r="J302" s="48"/>
      <c r="K302" s="48"/>
      <c r="L302" s="48"/>
    </row>
    <row r="303" spans="1:12" ht="18.95" customHeight="1">
      <c r="A303" s="48"/>
      <c r="B303" s="48"/>
      <c r="C303" s="48"/>
      <c r="D303" s="48"/>
      <c r="E303" s="48"/>
      <c r="F303" s="48"/>
      <c r="G303" s="48"/>
      <c r="H303" s="48"/>
      <c r="I303" s="48"/>
      <c r="J303" s="48"/>
      <c r="K303" s="48"/>
      <c r="L303" s="48"/>
    </row>
    <row r="304" spans="1:12" ht="18.95" customHeight="1">
      <c r="A304" s="48"/>
      <c r="B304" s="48"/>
      <c r="C304" s="48"/>
      <c r="D304" s="48"/>
      <c r="E304" s="48"/>
      <c r="F304" s="48"/>
      <c r="G304" s="48"/>
      <c r="H304" s="48"/>
      <c r="I304" s="48"/>
      <c r="J304" s="48"/>
      <c r="K304" s="48"/>
      <c r="L304" s="48"/>
    </row>
    <row r="305" spans="1:12" ht="18.95" customHeight="1">
      <c r="A305" s="48"/>
      <c r="B305" s="48"/>
      <c r="C305" s="48"/>
      <c r="D305" s="48"/>
      <c r="E305" s="48"/>
      <c r="F305" s="48"/>
      <c r="G305" s="48"/>
      <c r="H305" s="48"/>
      <c r="I305" s="48"/>
      <c r="J305" s="48"/>
      <c r="K305" s="48"/>
      <c r="L305" s="48"/>
    </row>
    <row r="306" spans="1:12" ht="18.95" customHeight="1">
      <c r="A306" s="48"/>
      <c r="B306" s="48"/>
      <c r="C306" s="48"/>
      <c r="D306" s="48"/>
      <c r="E306" s="48"/>
      <c r="F306" s="48"/>
      <c r="G306" s="48"/>
      <c r="H306" s="48"/>
      <c r="I306" s="48"/>
      <c r="J306" s="48"/>
      <c r="K306" s="48"/>
      <c r="L306" s="48"/>
    </row>
    <row r="307" spans="1:12" ht="18.95" customHeight="1">
      <c r="A307" s="48"/>
      <c r="B307" s="48"/>
      <c r="C307" s="48"/>
      <c r="D307" s="48"/>
      <c r="E307" s="48"/>
      <c r="F307" s="48"/>
      <c r="G307" s="48"/>
      <c r="H307" s="48"/>
      <c r="I307" s="48"/>
      <c r="J307" s="48"/>
      <c r="K307" s="48"/>
      <c r="L307" s="48"/>
    </row>
    <row r="308" spans="1:12" ht="18.95" customHeight="1">
      <c r="A308" s="48"/>
      <c r="B308" s="48"/>
      <c r="C308" s="48"/>
      <c r="D308" s="48"/>
      <c r="E308" s="48"/>
      <c r="F308" s="48"/>
      <c r="G308" s="48"/>
      <c r="H308" s="48"/>
      <c r="I308" s="48"/>
      <c r="J308" s="48"/>
      <c r="K308" s="48"/>
      <c r="L308" s="48"/>
    </row>
    <row r="309" spans="1:12" ht="18.95" customHeight="1">
      <c r="A309" s="48"/>
      <c r="B309" s="48"/>
      <c r="C309" s="48"/>
      <c r="D309" s="48"/>
      <c r="E309" s="48"/>
      <c r="F309" s="48"/>
      <c r="G309" s="48"/>
      <c r="H309" s="48"/>
      <c r="I309" s="48"/>
      <c r="J309" s="48"/>
      <c r="K309" s="48"/>
      <c r="L309" s="48"/>
    </row>
    <row r="310" spans="1:12" ht="18.95" customHeight="1">
      <c r="A310" s="48"/>
      <c r="B310" s="48"/>
      <c r="C310" s="48"/>
      <c r="D310" s="48"/>
      <c r="E310" s="48"/>
      <c r="F310" s="48"/>
      <c r="G310" s="48"/>
      <c r="H310" s="48"/>
      <c r="I310" s="48"/>
      <c r="J310" s="48"/>
      <c r="K310" s="48"/>
      <c r="L310" s="48"/>
    </row>
    <row r="311" spans="1:12" ht="18.95" customHeight="1">
      <c r="A311" s="48"/>
      <c r="B311" s="48"/>
      <c r="C311" s="48"/>
      <c r="D311" s="48"/>
      <c r="E311" s="48"/>
      <c r="F311" s="48"/>
      <c r="G311" s="48"/>
      <c r="H311" s="48"/>
      <c r="I311" s="48"/>
      <c r="J311" s="48"/>
      <c r="K311" s="48"/>
      <c r="L311" s="48"/>
    </row>
    <row r="312" spans="1:12" ht="18.95" customHeight="1">
      <c r="A312" s="48"/>
      <c r="B312" s="48"/>
      <c r="C312" s="48"/>
      <c r="D312" s="48"/>
      <c r="E312" s="48"/>
      <c r="F312" s="48"/>
      <c r="G312" s="48"/>
      <c r="H312" s="48"/>
      <c r="I312" s="48"/>
      <c r="J312" s="48"/>
      <c r="K312" s="48"/>
      <c r="L312" s="48"/>
    </row>
    <row r="313" spans="1:12" ht="18.95" customHeight="1">
      <c r="A313" s="48"/>
      <c r="B313" s="48"/>
      <c r="C313" s="48"/>
      <c r="D313" s="48"/>
      <c r="E313" s="48"/>
      <c r="F313" s="48"/>
      <c r="G313" s="48"/>
      <c r="H313" s="48"/>
      <c r="I313" s="48"/>
      <c r="J313" s="48"/>
      <c r="K313" s="48"/>
      <c r="L313" s="48"/>
    </row>
    <row r="314" spans="1:12" ht="18.95" customHeight="1">
      <c r="A314" s="48"/>
      <c r="B314" s="48"/>
      <c r="C314" s="48"/>
      <c r="D314" s="48"/>
      <c r="E314" s="48"/>
      <c r="F314" s="48"/>
      <c r="G314" s="48"/>
      <c r="H314" s="48"/>
      <c r="I314" s="48"/>
      <c r="J314" s="48"/>
      <c r="K314" s="48"/>
      <c r="L314" s="48"/>
    </row>
    <row r="315" spans="1:12" ht="18.95" customHeight="1">
      <c r="A315" s="48"/>
      <c r="B315" s="48"/>
      <c r="C315" s="48"/>
      <c r="D315" s="48"/>
      <c r="E315" s="48"/>
      <c r="F315" s="48"/>
      <c r="G315" s="48"/>
      <c r="H315" s="48"/>
      <c r="I315" s="48"/>
      <c r="J315" s="48"/>
      <c r="K315" s="48"/>
      <c r="L315" s="48"/>
    </row>
    <row r="316" spans="1:12" ht="18.95" customHeight="1">
      <c r="A316" s="48"/>
      <c r="B316" s="48"/>
      <c r="C316" s="48"/>
      <c r="D316" s="48"/>
      <c r="E316" s="48"/>
      <c r="F316" s="48"/>
      <c r="G316" s="48"/>
      <c r="H316" s="48"/>
      <c r="I316" s="48"/>
      <c r="J316" s="48"/>
      <c r="K316" s="48"/>
      <c r="L316" s="48"/>
    </row>
    <row r="317" spans="1:12" ht="18.95" customHeight="1">
      <c r="A317" s="48"/>
      <c r="B317" s="48"/>
      <c r="C317" s="48"/>
      <c r="D317" s="48"/>
      <c r="E317" s="48"/>
      <c r="F317" s="48"/>
      <c r="G317" s="48"/>
      <c r="H317" s="48"/>
      <c r="I317" s="48"/>
      <c r="J317" s="48"/>
      <c r="K317" s="48"/>
      <c r="L317" s="48"/>
    </row>
    <row r="318" spans="1:12" ht="18.95" customHeight="1">
      <c r="A318" s="48"/>
      <c r="B318" s="48"/>
      <c r="C318" s="48"/>
      <c r="D318" s="48"/>
      <c r="E318" s="48"/>
      <c r="F318" s="48"/>
      <c r="G318" s="48"/>
      <c r="H318" s="48"/>
      <c r="I318" s="48"/>
      <c r="J318" s="48"/>
      <c r="K318" s="48"/>
      <c r="L318" s="48"/>
    </row>
    <row r="319" spans="1:12" ht="18.95" customHeight="1">
      <c r="A319" s="48"/>
      <c r="B319" s="48"/>
      <c r="C319" s="48"/>
      <c r="D319" s="48"/>
      <c r="E319" s="48"/>
      <c r="F319" s="48"/>
      <c r="G319" s="48"/>
      <c r="H319" s="48"/>
      <c r="I319" s="48"/>
      <c r="J319" s="48"/>
      <c r="K319" s="48"/>
      <c r="L319" s="48"/>
    </row>
    <row r="320" spans="1:12" ht="18.95" customHeight="1">
      <c r="A320" s="48"/>
      <c r="B320" s="48"/>
      <c r="C320" s="48"/>
      <c r="D320" s="48"/>
      <c r="E320" s="48"/>
      <c r="F320" s="48"/>
      <c r="G320" s="48"/>
      <c r="H320" s="48"/>
      <c r="I320" s="48"/>
      <c r="J320" s="48"/>
      <c r="K320" s="48"/>
      <c r="L320" s="48"/>
    </row>
    <row r="321" spans="1:12" ht="18.95" customHeight="1">
      <c r="A321" s="48"/>
      <c r="B321" s="48"/>
      <c r="C321" s="48"/>
      <c r="D321" s="48"/>
      <c r="E321" s="48"/>
      <c r="F321" s="48"/>
      <c r="G321" s="48"/>
      <c r="H321" s="48"/>
      <c r="I321" s="48"/>
      <c r="J321" s="48"/>
      <c r="K321" s="48"/>
      <c r="L321" s="48"/>
    </row>
    <row r="322" spans="1:12" ht="18.95" customHeight="1">
      <c r="A322" s="48"/>
      <c r="B322" s="48"/>
      <c r="C322" s="48"/>
      <c r="D322" s="48"/>
      <c r="E322" s="48"/>
      <c r="F322" s="48"/>
      <c r="G322" s="48"/>
      <c r="H322" s="48"/>
      <c r="I322" s="48"/>
      <c r="J322" s="48"/>
      <c r="K322" s="48"/>
      <c r="L322" s="48"/>
    </row>
    <row r="323" spans="1:12" ht="18.95" customHeight="1">
      <c r="A323" s="48"/>
      <c r="B323" s="48"/>
      <c r="C323" s="48"/>
      <c r="D323" s="48"/>
      <c r="E323" s="48"/>
      <c r="F323" s="48"/>
      <c r="G323" s="48"/>
      <c r="H323" s="48"/>
      <c r="I323" s="48"/>
      <c r="J323" s="48"/>
      <c r="K323" s="48"/>
      <c r="L323" s="48"/>
    </row>
    <row r="324" spans="1:12" ht="18.95" customHeight="1">
      <c r="A324" s="48"/>
      <c r="B324" s="48"/>
      <c r="C324" s="48"/>
      <c r="D324" s="48"/>
      <c r="E324" s="48"/>
      <c r="F324" s="48"/>
      <c r="G324" s="48"/>
      <c r="H324" s="48"/>
      <c r="I324" s="48"/>
      <c r="J324" s="48"/>
      <c r="K324" s="48"/>
      <c r="L324" s="48"/>
    </row>
    <row r="325" spans="1:12" ht="18.95" customHeight="1">
      <c r="A325" s="48"/>
      <c r="B325" s="48"/>
      <c r="C325" s="48"/>
      <c r="D325" s="48"/>
      <c r="E325" s="48"/>
      <c r="F325" s="48"/>
      <c r="G325" s="48"/>
      <c r="H325" s="48"/>
      <c r="I325" s="48"/>
      <c r="J325" s="48"/>
      <c r="K325" s="48"/>
      <c r="L325" s="48"/>
    </row>
    <row r="326" spans="1:12" ht="18.95" customHeight="1">
      <c r="A326" s="48"/>
      <c r="B326" s="48"/>
      <c r="C326" s="48"/>
      <c r="D326" s="48"/>
      <c r="E326" s="48"/>
      <c r="F326" s="48"/>
      <c r="G326" s="48"/>
      <c r="H326" s="48"/>
      <c r="I326" s="48"/>
      <c r="J326" s="48"/>
      <c r="K326" s="48"/>
      <c r="L326" s="48"/>
    </row>
    <row r="327" spans="1:12" ht="18.95" customHeight="1">
      <c r="A327" s="48"/>
      <c r="B327" s="48"/>
      <c r="C327" s="48"/>
      <c r="D327" s="48"/>
      <c r="E327" s="48"/>
      <c r="F327" s="48"/>
      <c r="G327" s="48"/>
      <c r="H327" s="48"/>
      <c r="I327" s="48"/>
      <c r="J327" s="48"/>
      <c r="K327" s="48"/>
      <c r="L327" s="48"/>
    </row>
    <row r="328" spans="1:12" ht="18.95" customHeight="1">
      <c r="A328" s="48"/>
      <c r="B328" s="48"/>
      <c r="C328" s="48"/>
      <c r="D328" s="48"/>
      <c r="E328" s="48"/>
      <c r="F328" s="48"/>
      <c r="G328" s="48"/>
      <c r="H328" s="48"/>
      <c r="I328" s="48"/>
      <c r="J328" s="48"/>
      <c r="K328" s="48"/>
      <c r="L328" s="48"/>
    </row>
    <row r="329" spans="1:12" ht="18.95" customHeight="1">
      <c r="A329" s="48"/>
      <c r="B329" s="48"/>
      <c r="C329" s="48"/>
      <c r="D329" s="48"/>
      <c r="E329" s="48"/>
      <c r="F329" s="48"/>
      <c r="G329" s="48"/>
      <c r="H329" s="48"/>
      <c r="I329" s="48"/>
      <c r="J329" s="48"/>
      <c r="K329" s="48"/>
      <c r="L329" s="48"/>
    </row>
    <row r="330" spans="1:12" ht="18.95" customHeight="1">
      <c r="A330" s="48"/>
      <c r="B330" s="48"/>
      <c r="C330" s="48"/>
      <c r="D330" s="48"/>
      <c r="E330" s="48"/>
      <c r="F330" s="48"/>
      <c r="G330" s="48"/>
      <c r="H330" s="48"/>
      <c r="I330" s="48"/>
      <c r="J330" s="48"/>
      <c r="K330" s="48"/>
      <c r="L330" s="48"/>
    </row>
    <row r="331" spans="1:12" ht="18.95" customHeight="1">
      <c r="A331" s="48"/>
      <c r="B331" s="48"/>
      <c r="C331" s="48"/>
      <c r="D331" s="48"/>
      <c r="E331" s="48"/>
      <c r="F331" s="48"/>
      <c r="G331" s="48"/>
      <c r="H331" s="48"/>
      <c r="I331" s="48"/>
      <c r="J331" s="48"/>
      <c r="K331" s="48"/>
      <c r="L331" s="48"/>
    </row>
    <row r="332" spans="1:12" ht="18.95" customHeight="1">
      <c r="A332" s="48"/>
      <c r="B332" s="48"/>
      <c r="C332" s="48"/>
      <c r="D332" s="48"/>
      <c r="E332" s="48"/>
      <c r="F332" s="48"/>
      <c r="G332" s="48"/>
      <c r="H332" s="48"/>
      <c r="I332" s="48"/>
      <c r="J332" s="48"/>
      <c r="K332" s="48"/>
      <c r="L332" s="48"/>
    </row>
    <row r="333" spans="1:12" ht="18.95" customHeight="1">
      <c r="A333" s="48"/>
      <c r="B333" s="48"/>
      <c r="C333" s="48"/>
      <c r="D333" s="48"/>
      <c r="E333" s="48"/>
      <c r="F333" s="48"/>
      <c r="G333" s="48"/>
      <c r="H333" s="48"/>
      <c r="I333" s="48"/>
      <c r="J333" s="48"/>
      <c r="K333" s="48"/>
      <c r="L333" s="48"/>
    </row>
    <row r="334" spans="1:12" ht="18.95" customHeight="1">
      <c r="A334" s="48"/>
      <c r="B334" s="48"/>
      <c r="C334" s="48"/>
      <c r="D334" s="48"/>
      <c r="E334" s="48"/>
      <c r="F334" s="48"/>
      <c r="G334" s="48"/>
      <c r="H334" s="48"/>
      <c r="I334" s="48"/>
      <c r="J334" s="48"/>
      <c r="K334" s="48"/>
      <c r="L334" s="48"/>
    </row>
    <row r="335" spans="1:12" ht="18.95" customHeight="1">
      <c r="A335" s="48"/>
      <c r="B335" s="48"/>
      <c r="C335" s="48"/>
      <c r="D335" s="48"/>
      <c r="E335" s="48"/>
      <c r="F335" s="48"/>
      <c r="G335" s="48"/>
      <c r="H335" s="48"/>
      <c r="I335" s="48"/>
      <c r="J335" s="48"/>
      <c r="K335" s="48"/>
      <c r="L335" s="48"/>
    </row>
    <row r="336" spans="1:12" ht="18.95" customHeight="1">
      <c r="A336" s="48"/>
      <c r="B336" s="48"/>
      <c r="C336" s="48"/>
      <c r="D336" s="48"/>
      <c r="E336" s="48"/>
      <c r="F336" s="48"/>
      <c r="G336" s="48"/>
      <c r="H336" s="48"/>
      <c r="I336" s="48"/>
      <c r="J336" s="48"/>
      <c r="K336" s="48"/>
      <c r="L336" s="48"/>
    </row>
    <row r="337" spans="1:12" ht="18.95" customHeight="1">
      <c r="A337" s="48"/>
      <c r="B337" s="48"/>
      <c r="C337" s="48"/>
      <c r="D337" s="48"/>
      <c r="E337" s="48"/>
      <c r="F337" s="48"/>
      <c r="G337" s="48"/>
      <c r="H337" s="48"/>
      <c r="I337" s="48"/>
      <c r="J337" s="48"/>
      <c r="K337" s="48"/>
      <c r="L337" s="48"/>
    </row>
    <row r="338" spans="1:12" ht="18.95" customHeight="1">
      <c r="A338" s="48"/>
      <c r="B338" s="48"/>
      <c r="C338" s="48"/>
      <c r="D338" s="48"/>
      <c r="E338" s="48"/>
      <c r="F338" s="48"/>
      <c r="G338" s="48"/>
      <c r="H338" s="48"/>
      <c r="I338" s="48"/>
      <c r="J338" s="48"/>
      <c r="K338" s="48"/>
      <c r="L338" s="48"/>
    </row>
    <row r="339" spans="1:12" ht="18.95" customHeight="1">
      <c r="A339" s="48"/>
      <c r="B339" s="48"/>
      <c r="C339" s="48"/>
      <c r="D339" s="48"/>
      <c r="E339" s="48"/>
      <c r="F339" s="48"/>
      <c r="G339" s="48"/>
      <c r="H339" s="48"/>
      <c r="I339" s="48"/>
      <c r="J339" s="48"/>
      <c r="K339" s="48"/>
      <c r="L339" s="48"/>
    </row>
    <row r="340" spans="1:12" ht="18.95" customHeight="1">
      <c r="A340" s="48"/>
      <c r="B340" s="48"/>
      <c r="C340" s="48"/>
      <c r="D340" s="48"/>
      <c r="E340" s="48"/>
      <c r="F340" s="48"/>
      <c r="G340" s="48"/>
      <c r="H340" s="48"/>
      <c r="I340" s="48"/>
      <c r="J340" s="48"/>
      <c r="K340" s="48"/>
      <c r="L340" s="48"/>
    </row>
    <row r="341" spans="1:12" ht="18.95" customHeight="1">
      <c r="A341" s="48"/>
      <c r="B341" s="48"/>
      <c r="C341" s="48"/>
      <c r="D341" s="48"/>
      <c r="E341" s="48"/>
      <c r="F341" s="48"/>
      <c r="G341" s="48"/>
      <c r="H341" s="48"/>
      <c r="I341" s="48"/>
      <c r="J341" s="48"/>
      <c r="K341" s="48"/>
      <c r="L341" s="48"/>
    </row>
    <row r="342" spans="1:12" ht="18.95" customHeight="1">
      <c r="A342" s="48"/>
      <c r="B342" s="48"/>
      <c r="C342" s="48"/>
      <c r="D342" s="48"/>
      <c r="E342" s="48"/>
      <c r="F342" s="48"/>
      <c r="G342" s="48"/>
      <c r="H342" s="48"/>
      <c r="I342" s="48"/>
      <c r="J342" s="48"/>
      <c r="K342" s="48"/>
      <c r="L342" s="48"/>
    </row>
    <row r="343" spans="1:12" ht="18.95" customHeight="1">
      <c r="A343" s="48"/>
      <c r="B343" s="48"/>
      <c r="C343" s="48"/>
      <c r="D343" s="48"/>
      <c r="E343" s="48"/>
      <c r="F343" s="48"/>
      <c r="G343" s="48"/>
      <c r="H343" s="48"/>
      <c r="I343" s="48"/>
      <c r="J343" s="48"/>
      <c r="K343" s="48"/>
      <c r="L343" s="48"/>
    </row>
    <row r="344" spans="1:12" ht="18.95" customHeight="1">
      <c r="A344" s="48"/>
      <c r="B344" s="48"/>
      <c r="C344" s="48"/>
      <c r="D344" s="48"/>
      <c r="E344" s="48"/>
      <c r="F344" s="48"/>
      <c r="G344" s="48"/>
      <c r="H344" s="48"/>
      <c r="I344" s="48"/>
      <c r="J344" s="48"/>
      <c r="K344" s="48"/>
      <c r="L344" s="48"/>
    </row>
    <row r="345" spans="1:12" ht="18.95" customHeight="1">
      <c r="A345" s="48"/>
      <c r="B345" s="48"/>
      <c r="C345" s="48"/>
      <c r="D345" s="48"/>
      <c r="E345" s="48"/>
      <c r="F345" s="48"/>
      <c r="G345" s="48"/>
      <c r="H345" s="48"/>
      <c r="I345" s="48"/>
      <c r="J345" s="48"/>
      <c r="K345" s="48"/>
      <c r="L345" s="48"/>
    </row>
    <row r="346" spans="1:12" ht="18.95" customHeight="1">
      <c r="A346" s="48"/>
      <c r="B346" s="48"/>
      <c r="C346" s="48"/>
      <c r="D346" s="48"/>
      <c r="E346" s="48"/>
      <c r="F346" s="48"/>
      <c r="G346" s="48"/>
      <c r="H346" s="48"/>
      <c r="I346" s="48"/>
      <c r="J346" s="48"/>
      <c r="K346" s="48"/>
      <c r="L346" s="48"/>
    </row>
    <row r="347" spans="1:12" ht="18.95" customHeight="1">
      <c r="A347" s="48"/>
      <c r="B347" s="48"/>
      <c r="C347" s="48"/>
      <c r="D347" s="48"/>
      <c r="E347" s="48"/>
      <c r="F347" s="48"/>
      <c r="G347" s="48"/>
      <c r="H347" s="48"/>
      <c r="I347" s="48"/>
      <c r="J347" s="48"/>
      <c r="K347" s="48"/>
      <c r="L347" s="48"/>
    </row>
    <row r="348" spans="1:12" ht="18.95" customHeight="1">
      <c r="A348" s="48"/>
      <c r="B348" s="48"/>
      <c r="C348" s="48"/>
      <c r="D348" s="48"/>
      <c r="E348" s="48"/>
      <c r="F348" s="48"/>
      <c r="G348" s="48"/>
      <c r="H348" s="48"/>
      <c r="I348" s="48"/>
      <c r="J348" s="48"/>
      <c r="K348" s="48"/>
      <c r="L348" s="48"/>
    </row>
    <row r="349" spans="1:12" ht="18.95" customHeight="1">
      <c r="A349" s="48"/>
      <c r="B349" s="48"/>
      <c r="C349" s="48"/>
      <c r="D349" s="48"/>
      <c r="E349" s="48"/>
      <c r="F349" s="48"/>
      <c r="G349" s="48"/>
      <c r="H349" s="48"/>
      <c r="I349" s="48"/>
      <c r="J349" s="48"/>
      <c r="K349" s="48"/>
      <c r="L349" s="48"/>
    </row>
    <row r="350" spans="1:12" ht="18.95" customHeight="1">
      <c r="A350" s="48"/>
      <c r="B350" s="48"/>
      <c r="C350" s="48"/>
      <c r="D350" s="48"/>
      <c r="E350" s="48"/>
      <c r="F350" s="48"/>
      <c r="G350" s="48"/>
      <c r="H350" s="48"/>
      <c r="I350" s="48"/>
      <c r="J350" s="48"/>
      <c r="K350" s="48"/>
      <c r="L350" s="48"/>
    </row>
    <row r="351" spans="1:12" ht="18.95" customHeight="1">
      <c r="A351" s="48"/>
      <c r="B351" s="48"/>
      <c r="C351" s="48"/>
      <c r="D351" s="48"/>
      <c r="E351" s="48"/>
      <c r="F351" s="48"/>
      <c r="G351" s="48"/>
      <c r="H351" s="48"/>
      <c r="I351" s="48"/>
      <c r="J351" s="48"/>
      <c r="K351" s="48"/>
      <c r="L351" s="48"/>
    </row>
    <row r="352" spans="1:12" ht="18.95" customHeight="1">
      <c r="A352" s="48"/>
      <c r="B352" s="48"/>
      <c r="C352" s="48"/>
      <c r="D352" s="48"/>
      <c r="E352" s="48"/>
      <c r="F352" s="48"/>
      <c r="G352" s="48"/>
      <c r="H352" s="48"/>
      <c r="I352" s="48"/>
      <c r="J352" s="48"/>
      <c r="K352" s="48"/>
      <c r="L352" s="48"/>
    </row>
    <row r="353" spans="1:12" ht="18.95" customHeight="1">
      <c r="A353" s="48"/>
      <c r="B353" s="48"/>
      <c r="C353" s="48"/>
      <c r="D353" s="48"/>
      <c r="E353" s="48"/>
      <c r="F353" s="48"/>
      <c r="G353" s="48"/>
      <c r="H353" s="48"/>
      <c r="I353" s="48"/>
      <c r="J353" s="48"/>
      <c r="K353" s="48"/>
      <c r="L353" s="48"/>
    </row>
    <row r="354" spans="1:12" ht="18.95" customHeight="1">
      <c r="A354" s="48"/>
      <c r="B354" s="48"/>
      <c r="C354" s="48"/>
      <c r="D354" s="48"/>
      <c r="E354" s="48"/>
      <c r="F354" s="48"/>
      <c r="G354" s="48"/>
      <c r="H354" s="48"/>
      <c r="I354" s="48"/>
      <c r="J354" s="48"/>
      <c r="K354" s="48"/>
      <c r="L354" s="48"/>
    </row>
    <row r="355" spans="1:12" ht="18.95" customHeight="1">
      <c r="A355" s="48"/>
      <c r="B355" s="48"/>
      <c r="C355" s="48"/>
      <c r="D355" s="48"/>
      <c r="E355" s="48"/>
      <c r="F355" s="48"/>
      <c r="G355" s="48"/>
      <c r="H355" s="48"/>
      <c r="I355" s="48"/>
      <c r="J355" s="48"/>
      <c r="K355" s="48"/>
      <c r="L355" s="48"/>
    </row>
    <row r="356" spans="1:12" ht="18.95" customHeight="1">
      <c r="A356" s="48"/>
      <c r="B356" s="48"/>
      <c r="C356" s="48"/>
      <c r="D356" s="48"/>
      <c r="E356" s="48"/>
      <c r="F356" s="48"/>
      <c r="G356" s="48"/>
      <c r="H356" s="48"/>
      <c r="I356" s="48"/>
      <c r="J356" s="48"/>
      <c r="K356" s="48"/>
      <c r="L356" s="48"/>
    </row>
    <row r="357" spans="1:12" ht="18.95" customHeight="1">
      <c r="A357" s="48"/>
      <c r="B357" s="48"/>
      <c r="C357" s="48"/>
      <c r="D357" s="48"/>
      <c r="E357" s="48"/>
      <c r="F357" s="48"/>
      <c r="G357" s="48"/>
      <c r="H357" s="48"/>
      <c r="I357" s="48"/>
      <c r="J357" s="48"/>
      <c r="K357" s="48"/>
      <c r="L357" s="48"/>
    </row>
    <row r="358" spans="1:12" ht="18.95" customHeight="1">
      <c r="A358" s="48"/>
      <c r="B358" s="48"/>
      <c r="C358" s="48"/>
      <c r="D358" s="48"/>
      <c r="E358" s="48"/>
      <c r="F358" s="48"/>
      <c r="G358" s="48"/>
      <c r="H358" s="48"/>
      <c r="I358" s="48"/>
      <c r="J358" s="48"/>
      <c r="K358" s="48"/>
      <c r="L358" s="48"/>
    </row>
    <row r="359" spans="1:12" ht="18.95" customHeight="1">
      <c r="A359" s="48"/>
      <c r="B359" s="48"/>
      <c r="C359" s="48"/>
      <c r="D359" s="48"/>
      <c r="E359" s="48"/>
      <c r="F359" s="48"/>
      <c r="G359" s="48"/>
      <c r="H359" s="48"/>
      <c r="I359" s="48"/>
      <c r="J359" s="48"/>
      <c r="K359" s="48"/>
      <c r="L359" s="48"/>
    </row>
    <row r="360" spans="1:12" ht="18.95" customHeight="1">
      <c r="A360" s="48"/>
      <c r="B360" s="48"/>
      <c r="C360" s="48"/>
      <c r="D360" s="48"/>
      <c r="E360" s="48"/>
      <c r="F360" s="48"/>
      <c r="G360" s="48"/>
      <c r="H360" s="48"/>
      <c r="I360" s="48"/>
      <c r="J360" s="48"/>
      <c r="K360" s="48"/>
      <c r="L360" s="48"/>
    </row>
    <row r="361" spans="1:12" ht="18.95" customHeight="1">
      <c r="A361" s="48"/>
      <c r="B361" s="48"/>
      <c r="C361" s="48"/>
      <c r="D361" s="48"/>
      <c r="E361" s="48"/>
      <c r="F361" s="48"/>
      <c r="G361" s="48"/>
      <c r="H361" s="48"/>
      <c r="I361" s="48"/>
      <c r="J361" s="48"/>
      <c r="K361" s="48"/>
      <c r="L361" s="48"/>
    </row>
    <row r="362" spans="1:12" ht="18.95" customHeight="1">
      <c r="A362" s="48"/>
      <c r="B362" s="48"/>
      <c r="C362" s="48"/>
      <c r="D362" s="48"/>
      <c r="E362" s="48"/>
      <c r="F362" s="48"/>
      <c r="G362" s="48"/>
      <c r="H362" s="48"/>
      <c r="I362" s="48"/>
      <c r="J362" s="48"/>
      <c r="K362" s="48"/>
      <c r="L362" s="48"/>
    </row>
    <row r="363" spans="1:12" ht="18.95" customHeight="1">
      <c r="A363" s="48"/>
      <c r="B363" s="48"/>
      <c r="C363" s="48"/>
      <c r="D363" s="48"/>
      <c r="E363" s="48"/>
      <c r="F363" s="48"/>
      <c r="G363" s="48"/>
      <c r="H363" s="48"/>
      <c r="I363" s="48"/>
      <c r="J363" s="48"/>
      <c r="K363" s="48"/>
      <c r="L363" s="48"/>
    </row>
    <row r="364" spans="1:12" ht="18.95" customHeight="1">
      <c r="A364" s="48"/>
      <c r="B364" s="48"/>
      <c r="C364" s="48"/>
      <c r="D364" s="48"/>
      <c r="E364" s="48"/>
      <c r="F364" s="48"/>
      <c r="G364" s="48"/>
      <c r="H364" s="48"/>
      <c r="I364" s="48"/>
      <c r="J364" s="48"/>
      <c r="K364" s="48"/>
      <c r="L364" s="48"/>
    </row>
    <row r="365" spans="1:12" ht="18.95" customHeight="1">
      <c r="A365" s="48"/>
      <c r="B365" s="48"/>
      <c r="C365" s="48"/>
      <c r="D365" s="48"/>
      <c r="E365" s="48"/>
      <c r="F365" s="48"/>
      <c r="G365" s="48"/>
      <c r="H365" s="48"/>
      <c r="I365" s="48"/>
      <c r="J365" s="48"/>
      <c r="K365" s="48"/>
      <c r="L365" s="48"/>
    </row>
    <row r="366" spans="1:12" ht="18.95" customHeight="1">
      <c r="A366" s="48"/>
      <c r="B366" s="48"/>
      <c r="C366" s="48"/>
      <c r="D366" s="48"/>
      <c r="E366" s="48"/>
      <c r="F366" s="48"/>
      <c r="G366" s="48"/>
      <c r="H366" s="48"/>
      <c r="I366" s="48"/>
      <c r="J366" s="48"/>
      <c r="K366" s="48"/>
      <c r="L366" s="48"/>
    </row>
    <row r="367" spans="1:12" ht="18.95" customHeight="1">
      <c r="A367" s="48"/>
      <c r="B367" s="48"/>
      <c r="C367" s="48"/>
      <c r="D367" s="48"/>
      <c r="E367" s="48"/>
      <c r="F367" s="48"/>
      <c r="G367" s="48"/>
      <c r="H367" s="48"/>
      <c r="I367" s="48"/>
      <c r="J367" s="48"/>
      <c r="K367" s="48"/>
      <c r="L367" s="48"/>
    </row>
    <row r="368" spans="1:12" ht="18.95" customHeight="1">
      <c r="A368" s="48"/>
      <c r="B368" s="48"/>
      <c r="C368" s="48"/>
      <c r="D368" s="48"/>
      <c r="E368" s="48"/>
      <c r="F368" s="48"/>
      <c r="G368" s="48"/>
      <c r="H368" s="48"/>
      <c r="I368" s="48"/>
      <c r="J368" s="48"/>
      <c r="K368" s="48"/>
      <c r="L368" s="48"/>
    </row>
    <row r="369" spans="1:12" ht="18.95" customHeight="1">
      <c r="A369" s="48"/>
      <c r="B369" s="48"/>
      <c r="C369" s="48"/>
      <c r="D369" s="48"/>
      <c r="E369" s="48"/>
      <c r="F369" s="48"/>
      <c r="G369" s="48"/>
      <c r="H369" s="48"/>
      <c r="I369" s="48"/>
      <c r="J369" s="48"/>
      <c r="K369" s="48"/>
      <c r="L369" s="48"/>
    </row>
    <row r="370" spans="1:12" ht="18.95" customHeight="1">
      <c r="A370" s="48"/>
      <c r="B370" s="48"/>
      <c r="C370" s="48"/>
      <c r="D370" s="48"/>
      <c r="E370" s="48"/>
      <c r="F370" s="48"/>
      <c r="G370" s="48"/>
      <c r="H370" s="48"/>
      <c r="I370" s="48"/>
      <c r="J370" s="48"/>
      <c r="K370" s="48"/>
      <c r="L370" s="48"/>
    </row>
    <row r="371" spans="1:12" ht="18.95" customHeight="1">
      <c r="A371" s="48"/>
      <c r="B371" s="48"/>
      <c r="C371" s="48"/>
      <c r="D371" s="48"/>
      <c r="E371" s="48"/>
      <c r="F371" s="48"/>
      <c r="G371" s="48"/>
      <c r="H371" s="48"/>
      <c r="I371" s="48"/>
      <c r="J371" s="48"/>
      <c r="K371" s="48"/>
      <c r="L371" s="48"/>
    </row>
    <row r="372" spans="1:12" ht="18.95" customHeight="1">
      <c r="A372" s="48"/>
      <c r="B372" s="48"/>
      <c r="C372" s="48"/>
      <c r="D372" s="48"/>
      <c r="E372" s="48"/>
      <c r="F372" s="48"/>
      <c r="G372" s="48"/>
      <c r="H372" s="48"/>
      <c r="I372" s="48"/>
      <c r="J372" s="48"/>
      <c r="K372" s="48"/>
      <c r="L372" s="48"/>
    </row>
    <row r="373" spans="1:12" ht="18.95" customHeight="1">
      <c r="A373" s="48"/>
      <c r="B373" s="48"/>
      <c r="C373" s="48"/>
      <c r="D373" s="48"/>
      <c r="E373" s="48"/>
      <c r="F373" s="48"/>
      <c r="G373" s="48"/>
      <c r="H373" s="48"/>
      <c r="I373" s="48"/>
      <c r="J373" s="48"/>
      <c r="K373" s="48"/>
      <c r="L373" s="48"/>
    </row>
    <row r="374" spans="1:12" ht="18.95" customHeight="1">
      <c r="A374" s="48"/>
      <c r="B374" s="48"/>
      <c r="C374" s="48"/>
      <c r="D374" s="48"/>
      <c r="E374" s="48"/>
      <c r="F374" s="48"/>
      <c r="G374" s="48"/>
      <c r="H374" s="48"/>
      <c r="I374" s="48"/>
      <c r="J374" s="48"/>
      <c r="K374" s="48"/>
      <c r="L374" s="48"/>
    </row>
    <row r="375" spans="1:12" ht="18.95" customHeight="1">
      <c r="A375" s="48"/>
      <c r="B375" s="48"/>
      <c r="C375" s="48"/>
      <c r="D375" s="48"/>
      <c r="E375" s="48"/>
      <c r="F375" s="48"/>
      <c r="G375" s="48"/>
      <c r="H375" s="48"/>
      <c r="I375" s="48"/>
      <c r="J375" s="48"/>
      <c r="K375" s="48"/>
      <c r="L375" s="48"/>
    </row>
    <row r="376" spans="1:12" ht="18.95" customHeight="1">
      <c r="A376" s="48"/>
      <c r="B376" s="48"/>
      <c r="C376" s="48"/>
      <c r="D376" s="48"/>
      <c r="E376" s="48"/>
      <c r="F376" s="48"/>
      <c r="G376" s="48"/>
      <c r="H376" s="48"/>
      <c r="I376" s="48"/>
      <c r="J376" s="48"/>
      <c r="K376" s="48"/>
      <c r="L376" s="48"/>
    </row>
    <row r="377" spans="1:12" ht="18.95" customHeight="1">
      <c r="A377" s="48"/>
      <c r="B377" s="48"/>
      <c r="C377" s="48"/>
      <c r="D377" s="48"/>
      <c r="E377" s="48"/>
      <c r="F377" s="48"/>
      <c r="G377" s="48"/>
      <c r="H377" s="48"/>
      <c r="I377" s="48"/>
      <c r="J377" s="48"/>
      <c r="K377" s="48"/>
      <c r="L377" s="48"/>
    </row>
    <row r="378" spans="1:12" ht="18.95" customHeight="1">
      <c r="A378" s="48"/>
      <c r="B378" s="48"/>
      <c r="C378" s="48"/>
      <c r="D378" s="48"/>
      <c r="E378" s="48"/>
      <c r="F378" s="48"/>
      <c r="G378" s="48"/>
      <c r="H378" s="48"/>
      <c r="I378" s="48"/>
      <c r="J378" s="48"/>
      <c r="K378" s="48"/>
      <c r="L378" s="48"/>
    </row>
    <row r="379" spans="1:12" ht="18.95" customHeight="1">
      <c r="A379" s="48"/>
      <c r="B379" s="48"/>
      <c r="C379" s="48"/>
      <c r="D379" s="48"/>
      <c r="E379" s="48"/>
      <c r="F379" s="48"/>
      <c r="G379" s="48"/>
      <c r="H379" s="48"/>
      <c r="I379" s="48"/>
      <c r="J379" s="48"/>
      <c r="K379" s="48"/>
      <c r="L379" s="48"/>
    </row>
    <row r="380" spans="1:12" ht="18.95" customHeight="1">
      <c r="A380" s="48"/>
      <c r="B380" s="48"/>
      <c r="C380" s="48"/>
      <c r="D380" s="48"/>
      <c r="E380" s="48"/>
      <c r="F380" s="48"/>
      <c r="G380" s="48"/>
      <c r="H380" s="48"/>
      <c r="I380" s="48"/>
      <c r="J380" s="48"/>
      <c r="K380" s="48"/>
      <c r="L380" s="48"/>
    </row>
    <row r="381" spans="1:12" ht="18.95" customHeight="1">
      <c r="A381" s="48"/>
      <c r="B381" s="48"/>
      <c r="C381" s="48"/>
      <c r="D381" s="48"/>
      <c r="E381" s="48"/>
      <c r="F381" s="48"/>
      <c r="G381" s="48"/>
      <c r="H381" s="48"/>
      <c r="I381" s="48"/>
      <c r="J381" s="48"/>
      <c r="K381" s="48"/>
      <c r="L381" s="48"/>
    </row>
    <row r="382" spans="1:12" ht="18.95" customHeight="1">
      <c r="A382" s="48"/>
      <c r="B382" s="48"/>
      <c r="C382" s="48"/>
      <c r="D382" s="48"/>
      <c r="E382" s="48"/>
      <c r="F382" s="48"/>
      <c r="G382" s="48"/>
      <c r="H382" s="48"/>
      <c r="I382" s="48"/>
      <c r="J382" s="48"/>
      <c r="K382" s="48"/>
      <c r="L382" s="48"/>
    </row>
    <row r="383" spans="1:12" ht="18.95" customHeight="1">
      <c r="A383" s="48"/>
      <c r="B383" s="48"/>
      <c r="C383" s="48"/>
      <c r="D383" s="48"/>
      <c r="E383" s="48"/>
      <c r="F383" s="48"/>
      <c r="G383" s="48"/>
      <c r="H383" s="48"/>
      <c r="I383" s="48"/>
      <c r="J383" s="48"/>
      <c r="K383" s="48"/>
      <c r="L383" s="48"/>
    </row>
    <row r="384" spans="1:12" ht="18.95" customHeight="1">
      <c r="A384" s="48"/>
      <c r="B384" s="48"/>
      <c r="C384" s="48"/>
      <c r="D384" s="48"/>
      <c r="E384" s="48"/>
      <c r="F384" s="48"/>
      <c r="G384" s="48"/>
      <c r="H384" s="48"/>
      <c r="I384" s="48"/>
      <c r="J384" s="48"/>
      <c r="K384" s="48"/>
      <c r="L384" s="48"/>
    </row>
    <row r="385" spans="1:12" ht="18.95" customHeight="1">
      <c r="A385" s="48"/>
      <c r="B385" s="48"/>
      <c r="C385" s="48"/>
      <c r="D385" s="48"/>
      <c r="E385" s="48"/>
      <c r="F385" s="48"/>
      <c r="G385" s="48"/>
      <c r="H385" s="48"/>
      <c r="I385" s="48"/>
      <c r="J385" s="48"/>
      <c r="K385" s="48"/>
      <c r="L385" s="48"/>
    </row>
    <row r="386" spans="1:12" ht="18.95" customHeight="1">
      <c r="A386" s="48"/>
      <c r="B386" s="48"/>
      <c r="C386" s="48"/>
      <c r="D386" s="48"/>
      <c r="E386" s="48"/>
      <c r="F386" s="48"/>
      <c r="G386" s="48"/>
      <c r="H386" s="48"/>
      <c r="I386" s="48"/>
      <c r="J386" s="48"/>
      <c r="K386" s="48"/>
      <c r="L386" s="48"/>
    </row>
    <row r="387" spans="1:12" ht="18.95" customHeight="1">
      <c r="A387" s="48"/>
      <c r="B387" s="48"/>
      <c r="C387" s="48"/>
      <c r="D387" s="48"/>
      <c r="E387" s="48"/>
      <c r="F387" s="48"/>
      <c r="G387" s="48"/>
      <c r="H387" s="48"/>
      <c r="I387" s="48"/>
      <c r="J387" s="48"/>
      <c r="K387" s="48"/>
      <c r="L387" s="48"/>
    </row>
    <row r="388" spans="1:12" ht="18.95" customHeight="1">
      <c r="A388" s="48"/>
      <c r="B388" s="48"/>
      <c r="C388" s="48"/>
      <c r="D388" s="48"/>
      <c r="E388" s="48"/>
      <c r="F388" s="48"/>
      <c r="G388" s="48"/>
      <c r="H388" s="48"/>
      <c r="I388" s="48"/>
      <c r="J388" s="48"/>
      <c r="K388" s="48"/>
      <c r="L388" s="48"/>
    </row>
    <row r="389" spans="1:12" ht="18.95" customHeight="1">
      <c r="A389" s="48"/>
      <c r="B389" s="48"/>
      <c r="C389" s="48"/>
      <c r="D389" s="48"/>
      <c r="E389" s="48"/>
      <c r="F389" s="48"/>
      <c r="G389" s="48"/>
      <c r="H389" s="48"/>
      <c r="I389" s="48"/>
      <c r="J389" s="48"/>
      <c r="K389" s="48"/>
      <c r="L389" s="48"/>
    </row>
    <row r="390" spans="1:12" ht="18.95" customHeight="1">
      <c r="A390" s="48"/>
      <c r="B390" s="48"/>
      <c r="C390" s="48"/>
      <c r="D390" s="48"/>
      <c r="E390" s="48"/>
      <c r="F390" s="48"/>
      <c r="G390" s="48"/>
      <c r="H390" s="48"/>
      <c r="I390" s="48"/>
      <c r="J390" s="48"/>
      <c r="K390" s="48"/>
      <c r="L390" s="48"/>
    </row>
    <row r="391" spans="1:12" ht="18.95" customHeight="1">
      <c r="A391" s="48"/>
      <c r="B391" s="48"/>
      <c r="C391" s="48"/>
      <c r="D391" s="48"/>
      <c r="E391" s="48"/>
      <c r="F391" s="48"/>
      <c r="G391" s="48"/>
      <c r="H391" s="48"/>
      <c r="I391" s="48"/>
      <c r="J391" s="48"/>
      <c r="K391" s="48"/>
      <c r="L391" s="48"/>
    </row>
    <row r="392" spans="1:12" ht="18.95" customHeight="1">
      <c r="A392" s="48"/>
      <c r="B392" s="48"/>
      <c r="C392" s="48"/>
      <c r="D392" s="48"/>
      <c r="E392" s="48"/>
      <c r="F392" s="48"/>
      <c r="G392" s="48"/>
      <c r="H392" s="48"/>
      <c r="I392" s="48"/>
      <c r="J392" s="48"/>
      <c r="K392" s="48"/>
      <c r="L392" s="48"/>
    </row>
    <row r="393" spans="1:12" ht="18.95" customHeight="1">
      <c r="A393" s="48"/>
      <c r="B393" s="48"/>
      <c r="C393" s="48"/>
      <c r="D393" s="48"/>
      <c r="E393" s="48"/>
      <c r="F393" s="48"/>
      <c r="G393" s="48"/>
      <c r="H393" s="48"/>
      <c r="I393" s="48"/>
      <c r="J393" s="48"/>
      <c r="K393" s="48"/>
      <c r="L393" s="48"/>
    </row>
    <row r="394" spans="1:12" ht="18.95" customHeight="1">
      <c r="A394" s="48"/>
      <c r="B394" s="48"/>
      <c r="C394" s="48"/>
      <c r="D394" s="48"/>
      <c r="E394" s="48"/>
      <c r="F394" s="48"/>
      <c r="G394" s="48"/>
      <c r="H394" s="48"/>
      <c r="I394" s="48"/>
      <c r="J394" s="48"/>
      <c r="K394" s="48"/>
      <c r="L394" s="48"/>
    </row>
    <row r="395" spans="1:12" ht="18.95" customHeight="1">
      <c r="A395" s="48"/>
      <c r="B395" s="48"/>
      <c r="C395" s="48"/>
      <c r="D395" s="48"/>
      <c r="E395" s="48"/>
      <c r="F395" s="48"/>
      <c r="G395" s="48"/>
      <c r="H395" s="48"/>
      <c r="I395" s="48"/>
      <c r="J395" s="48"/>
      <c r="K395" s="48"/>
      <c r="L395" s="48"/>
    </row>
    <row r="396" spans="1:12" ht="18.95" customHeight="1">
      <c r="A396" s="48"/>
      <c r="B396" s="48"/>
      <c r="C396" s="48"/>
      <c r="D396" s="48"/>
      <c r="E396" s="48"/>
      <c r="F396" s="48"/>
      <c r="G396" s="48"/>
      <c r="H396" s="48"/>
      <c r="I396" s="48"/>
      <c r="J396" s="48"/>
      <c r="K396" s="48"/>
      <c r="L396" s="48"/>
    </row>
    <row r="397" spans="1:12" ht="18.95" customHeight="1">
      <c r="A397" s="48"/>
      <c r="B397" s="48"/>
      <c r="C397" s="48"/>
      <c r="D397" s="48"/>
      <c r="E397" s="48"/>
      <c r="F397" s="48"/>
      <c r="G397" s="48"/>
      <c r="H397" s="48"/>
      <c r="I397" s="48"/>
      <c r="J397" s="48"/>
      <c r="K397" s="48"/>
      <c r="L397" s="48"/>
    </row>
    <row r="398" spans="1:12" ht="18.95" customHeight="1">
      <c r="A398" s="48"/>
      <c r="B398" s="48"/>
      <c r="C398" s="48"/>
      <c r="D398" s="48"/>
      <c r="E398" s="48"/>
      <c r="F398" s="48"/>
      <c r="G398" s="48"/>
      <c r="H398" s="48"/>
      <c r="I398" s="48"/>
      <c r="J398" s="48"/>
      <c r="K398" s="48"/>
      <c r="L398" s="48"/>
    </row>
    <row r="399" spans="1:12" ht="18.95" customHeight="1">
      <c r="A399" s="48"/>
      <c r="B399" s="48"/>
      <c r="C399" s="48"/>
      <c r="D399" s="48"/>
      <c r="E399" s="48"/>
      <c r="F399" s="48"/>
      <c r="G399" s="48"/>
      <c r="H399" s="48"/>
      <c r="I399" s="48"/>
      <c r="J399" s="48"/>
      <c r="K399" s="48"/>
      <c r="L399" s="48"/>
    </row>
    <row r="400" spans="1:12" ht="18.95" customHeight="1">
      <c r="A400" s="48"/>
      <c r="B400" s="48"/>
      <c r="C400" s="48"/>
      <c r="D400" s="48"/>
      <c r="E400" s="48"/>
      <c r="F400" s="48"/>
      <c r="G400" s="48"/>
      <c r="H400" s="48"/>
      <c r="I400" s="48"/>
      <c r="J400" s="48"/>
      <c r="K400" s="48"/>
      <c r="L400" s="48"/>
    </row>
    <row r="401" spans="1:12" ht="18.95" customHeight="1">
      <c r="A401" s="48"/>
      <c r="B401" s="48"/>
      <c r="C401" s="48"/>
      <c r="D401" s="48"/>
      <c r="E401" s="48"/>
      <c r="F401" s="48"/>
      <c r="G401" s="48"/>
      <c r="H401" s="48"/>
      <c r="I401" s="48"/>
      <c r="J401" s="48"/>
      <c r="K401" s="48"/>
      <c r="L401" s="48"/>
    </row>
    <row r="402" spans="1:12" ht="18.95" customHeight="1">
      <c r="A402" s="48"/>
      <c r="B402" s="48"/>
      <c r="C402" s="48"/>
      <c r="D402" s="48"/>
      <c r="E402" s="48"/>
      <c r="F402" s="48"/>
      <c r="G402" s="48"/>
      <c r="H402" s="48"/>
      <c r="I402" s="48"/>
      <c r="J402" s="48"/>
      <c r="K402" s="48"/>
      <c r="L402" s="48"/>
    </row>
    <row r="403" spans="1:12" ht="18.95" customHeight="1">
      <c r="A403" s="48"/>
      <c r="B403" s="48"/>
      <c r="C403" s="48"/>
      <c r="D403" s="48"/>
      <c r="E403" s="48"/>
      <c r="F403" s="48"/>
      <c r="G403" s="48"/>
      <c r="H403" s="48"/>
      <c r="I403" s="48"/>
      <c r="J403" s="48"/>
      <c r="K403" s="48"/>
      <c r="L403" s="48"/>
    </row>
    <row r="404" spans="1:12" ht="18.95" customHeight="1">
      <c r="A404" s="48"/>
      <c r="B404" s="48"/>
      <c r="C404" s="48"/>
      <c r="D404" s="48"/>
      <c r="E404" s="48"/>
      <c r="F404" s="48"/>
      <c r="G404" s="48"/>
      <c r="H404" s="48"/>
      <c r="I404" s="48"/>
      <c r="J404" s="48"/>
      <c r="K404" s="48"/>
      <c r="L404" s="48"/>
    </row>
    <row r="405" spans="1:12" ht="18.95" customHeight="1">
      <c r="A405" s="48"/>
      <c r="B405" s="48"/>
      <c r="C405" s="48"/>
      <c r="D405" s="48"/>
      <c r="E405" s="48"/>
      <c r="F405" s="48"/>
      <c r="G405" s="48"/>
      <c r="H405" s="48"/>
      <c r="I405" s="48"/>
      <c r="J405" s="48"/>
      <c r="K405" s="48"/>
      <c r="L405" s="48"/>
    </row>
    <row r="406" spans="1:12" ht="18.95" customHeight="1">
      <c r="A406" s="48"/>
      <c r="B406" s="48"/>
      <c r="C406" s="48"/>
      <c r="D406" s="48"/>
      <c r="E406" s="48"/>
      <c r="F406" s="48"/>
      <c r="G406" s="48"/>
      <c r="H406" s="48"/>
      <c r="I406" s="48"/>
      <c r="J406" s="48"/>
      <c r="K406" s="48"/>
      <c r="L406" s="48"/>
    </row>
    <row r="407" spans="1:12" ht="18.95" customHeight="1">
      <c r="A407" s="48"/>
      <c r="B407" s="48"/>
      <c r="C407" s="48"/>
      <c r="D407" s="48"/>
      <c r="E407" s="48"/>
      <c r="F407" s="48"/>
      <c r="G407" s="48"/>
      <c r="H407" s="48"/>
      <c r="I407" s="48"/>
      <c r="J407" s="48"/>
      <c r="K407" s="48"/>
      <c r="L407" s="48"/>
    </row>
    <row r="408" spans="1:12" ht="18.95" customHeight="1">
      <c r="A408" s="48"/>
      <c r="B408" s="48"/>
      <c r="C408" s="48"/>
      <c r="D408" s="48"/>
      <c r="E408" s="48"/>
      <c r="F408" s="48"/>
      <c r="G408" s="48"/>
      <c r="H408" s="48"/>
      <c r="I408" s="48"/>
      <c r="J408" s="48"/>
      <c r="K408" s="48"/>
      <c r="L408" s="48"/>
    </row>
    <row r="409" spans="1:12" ht="18.95" customHeight="1">
      <c r="A409" s="48"/>
      <c r="B409" s="48"/>
      <c r="C409" s="48"/>
      <c r="D409" s="48"/>
      <c r="E409" s="48"/>
      <c r="F409" s="48"/>
      <c r="G409" s="48"/>
      <c r="H409" s="48"/>
      <c r="I409" s="48"/>
      <c r="J409" s="48"/>
      <c r="K409" s="48"/>
      <c r="L409" s="48"/>
    </row>
    <row r="410" spans="1:12" ht="18.95" customHeight="1">
      <c r="A410" s="48"/>
      <c r="B410" s="48"/>
      <c r="C410" s="48"/>
      <c r="D410" s="48"/>
      <c r="E410" s="48"/>
      <c r="F410" s="48"/>
      <c r="G410" s="48"/>
      <c r="H410" s="48"/>
      <c r="I410" s="48"/>
      <c r="J410" s="48"/>
      <c r="K410" s="48"/>
      <c r="L410" s="48"/>
    </row>
    <row r="411" spans="1:12" ht="18.95" customHeight="1">
      <c r="A411" s="48"/>
      <c r="B411" s="48"/>
      <c r="C411" s="48"/>
      <c r="D411" s="48"/>
      <c r="E411" s="48"/>
      <c r="F411" s="48"/>
      <c r="G411" s="48"/>
      <c r="H411" s="48"/>
      <c r="I411" s="48"/>
      <c r="J411" s="48"/>
      <c r="K411" s="48"/>
      <c r="L411" s="48"/>
    </row>
    <row r="412" spans="1:12" ht="18.95" customHeight="1">
      <c r="A412" s="48"/>
      <c r="B412" s="48"/>
      <c r="C412" s="48"/>
      <c r="D412" s="48"/>
      <c r="E412" s="48"/>
      <c r="F412" s="48"/>
      <c r="G412" s="48"/>
      <c r="H412" s="48"/>
      <c r="I412" s="48"/>
      <c r="J412" s="48"/>
      <c r="K412" s="48"/>
      <c r="L412" s="48"/>
    </row>
    <row r="413" spans="1:12" ht="18.95" customHeight="1">
      <c r="A413" s="48"/>
      <c r="B413" s="48"/>
      <c r="C413" s="48"/>
      <c r="D413" s="48"/>
      <c r="E413" s="48"/>
      <c r="F413" s="48"/>
      <c r="G413" s="48"/>
      <c r="H413" s="48"/>
      <c r="I413" s="48"/>
      <c r="J413" s="48"/>
      <c r="K413" s="48"/>
      <c r="L413" s="48"/>
    </row>
    <row r="414" spans="1:12" ht="18.95" customHeight="1">
      <c r="A414" s="48"/>
      <c r="B414" s="48"/>
      <c r="C414" s="48"/>
      <c r="D414" s="48"/>
      <c r="E414" s="48"/>
      <c r="F414" s="48"/>
      <c r="G414" s="48"/>
      <c r="H414" s="48"/>
      <c r="I414" s="48"/>
      <c r="J414" s="48"/>
      <c r="K414" s="48"/>
      <c r="L414" s="48"/>
    </row>
    <row r="415" spans="1:12" ht="18.95" customHeight="1">
      <c r="A415" s="48"/>
      <c r="B415" s="48"/>
      <c r="C415" s="48"/>
      <c r="D415" s="48"/>
      <c r="E415" s="48"/>
      <c r="F415" s="48"/>
      <c r="G415" s="48"/>
      <c r="H415" s="48"/>
      <c r="I415" s="48"/>
      <c r="J415" s="48"/>
      <c r="K415" s="48"/>
      <c r="L415" s="48"/>
    </row>
    <row r="416" spans="1:12" ht="18.95" customHeight="1">
      <c r="A416" s="48"/>
      <c r="B416" s="48"/>
      <c r="C416" s="48"/>
      <c r="D416" s="48"/>
      <c r="E416" s="48"/>
      <c r="F416" s="48"/>
      <c r="G416" s="48"/>
      <c r="H416" s="48"/>
      <c r="I416" s="48"/>
      <c r="J416" s="48"/>
      <c r="K416" s="48"/>
      <c r="L416" s="48"/>
    </row>
    <row r="417" spans="1:12" ht="18.95" customHeight="1">
      <c r="A417" s="48"/>
      <c r="B417" s="48"/>
      <c r="C417" s="48"/>
      <c r="D417" s="48"/>
      <c r="E417" s="48"/>
      <c r="F417" s="48"/>
      <c r="G417" s="48"/>
      <c r="H417" s="48"/>
      <c r="I417" s="48"/>
      <c r="J417" s="48"/>
      <c r="K417" s="48"/>
      <c r="L417" s="48"/>
    </row>
    <row r="418" spans="1:12" ht="18.95" customHeight="1">
      <c r="A418" s="48"/>
      <c r="B418" s="48"/>
      <c r="C418" s="48"/>
      <c r="D418" s="48"/>
      <c r="E418" s="48"/>
      <c r="F418" s="48"/>
      <c r="G418" s="48"/>
      <c r="H418" s="48"/>
      <c r="I418" s="48"/>
      <c r="J418" s="48"/>
      <c r="K418" s="48"/>
      <c r="L418" s="48"/>
    </row>
    <row r="419" spans="1:12" ht="18.95" customHeight="1">
      <c r="A419" s="48"/>
      <c r="B419" s="48"/>
      <c r="C419" s="48"/>
      <c r="D419" s="48"/>
      <c r="E419" s="48"/>
      <c r="F419" s="48"/>
      <c r="G419" s="48"/>
      <c r="H419" s="48"/>
      <c r="I419" s="48"/>
      <c r="J419" s="48"/>
      <c r="K419" s="48"/>
      <c r="L419" s="48"/>
    </row>
    <row r="420" spans="1:12" ht="18.95" customHeight="1">
      <c r="A420" s="48"/>
      <c r="B420" s="48"/>
      <c r="C420" s="48"/>
      <c r="D420" s="48"/>
      <c r="E420" s="48"/>
      <c r="F420" s="48"/>
      <c r="G420" s="48"/>
      <c r="H420" s="48"/>
      <c r="I420" s="48"/>
      <c r="J420" s="48"/>
      <c r="K420" s="48"/>
      <c r="L420" s="48"/>
    </row>
  </sheetData>
  <mergeCells count="15">
    <mergeCell ref="A1:L1"/>
    <mergeCell ref="A2:D2"/>
    <mergeCell ref="G2:L2"/>
    <mergeCell ref="A3:B4"/>
    <mergeCell ref="C3:D3"/>
    <mergeCell ref="G3:H3"/>
    <mergeCell ref="E3:F3"/>
    <mergeCell ref="K3:L3"/>
    <mergeCell ref="E2:F2"/>
    <mergeCell ref="A6:L6"/>
    <mergeCell ref="I3:J3"/>
    <mergeCell ref="G4:H4"/>
    <mergeCell ref="E4:F4"/>
    <mergeCell ref="K4:L4"/>
    <mergeCell ref="I4:J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C691-6AB3-4023-AE06-C66DC179C7FE}">
  <sheetPr>
    <tabColor rgb="FF92D050"/>
  </sheetPr>
  <dimension ref="A1:A55"/>
  <sheetViews>
    <sheetView topLeftCell="A34" workbookViewId="0">
      <selection activeCell="A38" sqref="A38"/>
    </sheetView>
  </sheetViews>
  <sheetFormatPr defaultRowHeight="15"/>
  <cols>
    <col min="1" max="1" width="198.140625" customWidth="1"/>
  </cols>
  <sheetData>
    <row r="1" spans="1:1" ht="119.25">
      <c r="A1" s="123" t="s">
        <v>0</v>
      </c>
    </row>
    <row r="2" spans="1:1" ht="204.75">
      <c r="A2" s="123" t="s">
        <v>1166</v>
      </c>
    </row>
    <row r="3" spans="1:1" ht="290.25">
      <c r="A3" s="121" t="s">
        <v>1167</v>
      </c>
    </row>
    <row r="4" spans="1:1" ht="30.75" customHeight="1">
      <c r="A4" s="121" t="s">
        <v>1168</v>
      </c>
    </row>
    <row r="6" spans="1:1" ht="146.25">
      <c r="A6" s="124" t="s">
        <v>1169</v>
      </c>
    </row>
    <row r="7" spans="1:1" ht="44.25" customHeight="1">
      <c r="A7" s="121" t="s">
        <v>1170</v>
      </c>
    </row>
    <row r="8" spans="1:1" ht="44.25" customHeight="1">
      <c r="A8" s="121" t="s">
        <v>1171</v>
      </c>
    </row>
    <row r="9" spans="1:1" ht="30.75" customHeight="1">
      <c r="A9" s="121" t="s">
        <v>1172</v>
      </c>
    </row>
    <row r="16" spans="1:1" ht="146.25">
      <c r="A16" s="124" t="s">
        <v>1173</v>
      </c>
    </row>
    <row r="17" spans="1:1" ht="44.25" customHeight="1">
      <c r="A17" s="121" t="s">
        <v>1174</v>
      </c>
    </row>
    <row r="18" spans="1:1" ht="30.75" customHeight="1">
      <c r="A18" s="121" t="s">
        <v>1175</v>
      </c>
    </row>
    <row r="22" spans="1:1" ht="178.5">
      <c r="A22" s="124" t="s">
        <v>1176</v>
      </c>
    </row>
    <row r="23" spans="1:1" ht="44.25" customHeight="1">
      <c r="A23" s="121" t="s">
        <v>1177</v>
      </c>
    </row>
    <row r="24" spans="1:1" ht="30.75" customHeight="1">
      <c r="A24" s="121" t="s">
        <v>1178</v>
      </c>
    </row>
    <row r="29" spans="1:1" ht="210.75">
      <c r="A29" s="124" t="s">
        <v>1179</v>
      </c>
    </row>
    <row r="30" spans="1:1" ht="44.25" customHeight="1">
      <c r="A30" s="121" t="s">
        <v>1180</v>
      </c>
    </row>
    <row r="31" spans="1:1" ht="30.75" customHeight="1">
      <c r="A31" s="121" t="s">
        <v>1181</v>
      </c>
    </row>
    <row r="34" spans="1:1" ht="210.75">
      <c r="A34" s="124" t="s">
        <v>1182</v>
      </c>
    </row>
    <row r="35" spans="1:1" ht="44.25" customHeight="1">
      <c r="A35" s="121" t="s">
        <v>1183</v>
      </c>
    </row>
    <row r="36" spans="1:1" ht="121.5">
      <c r="A36" s="121" t="s">
        <v>1184</v>
      </c>
    </row>
    <row r="37" spans="1:1" ht="121.5">
      <c r="A37" s="121" t="s">
        <v>1184</v>
      </c>
    </row>
    <row r="38" spans="1:1" ht="121.5">
      <c r="A38" s="121" t="s">
        <v>1184</v>
      </c>
    </row>
    <row r="39" spans="1:1" ht="44.25" customHeight="1">
      <c r="A39" s="121" t="s">
        <v>1185</v>
      </c>
    </row>
    <row r="41" spans="1:1" ht="129">
      <c r="A41" s="124" t="s">
        <v>1186</v>
      </c>
    </row>
    <row r="42" spans="1:1" ht="67.5">
      <c r="A42" s="125" t="s">
        <v>1187</v>
      </c>
    </row>
    <row r="43" spans="1:1" ht="67.5">
      <c r="A43" s="125" t="s">
        <v>1188</v>
      </c>
    </row>
    <row r="44" spans="1:1" ht="67.5">
      <c r="A44" s="125" t="s">
        <v>1189</v>
      </c>
    </row>
    <row r="45" spans="1:1" ht="67.5">
      <c r="A45" s="125" t="s">
        <v>1190</v>
      </c>
    </row>
    <row r="46" spans="1:1" ht="121.5">
      <c r="A46" s="125" t="s">
        <v>1191</v>
      </c>
    </row>
    <row r="55" spans="1:1" ht="30.75" customHeight="1">
      <c r="A55" s="121" t="s">
        <v>1192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D5A83-0CDE-4921-B61F-BC4D673737AB}">
  <sheetPr>
    <tabColor rgb="FF92D050"/>
  </sheetPr>
  <dimension ref="A1:G26"/>
  <sheetViews>
    <sheetView topLeftCell="A23" workbookViewId="0">
      <selection activeCell="A12" sqref="A12:G18"/>
    </sheetView>
  </sheetViews>
  <sheetFormatPr defaultRowHeight="15"/>
  <cols>
    <col min="1" max="1" width="38.140625" customWidth="1"/>
    <col min="2" max="2" width="19" customWidth="1"/>
    <col min="3" max="3" width="28" customWidth="1"/>
    <col min="4" max="4" width="58.5703125" customWidth="1"/>
    <col min="5" max="5" width="30.5703125" customWidth="1"/>
    <col min="6" max="6" width="58.5703125" customWidth="1"/>
    <col min="7" max="7" width="50.85546875" customWidth="1"/>
  </cols>
  <sheetData>
    <row r="1" spans="1:7" ht="17.25">
      <c r="A1" s="126" t="s">
        <v>1193</v>
      </c>
      <c r="B1" s="48"/>
      <c r="C1" s="48"/>
      <c r="D1" s="48"/>
      <c r="E1" s="48"/>
      <c r="F1" s="48"/>
      <c r="G1" s="48"/>
    </row>
    <row r="2" spans="1:7">
      <c r="A2" s="127" t="s">
        <v>1194</v>
      </c>
      <c r="B2" s="48"/>
      <c r="C2" s="48"/>
      <c r="D2" s="48"/>
      <c r="E2" s="48"/>
      <c r="F2" s="48"/>
      <c r="G2" s="48"/>
    </row>
    <row r="4" spans="1:7" ht="76.5">
      <c r="A4" s="128" t="s">
        <v>1195</v>
      </c>
      <c r="B4" s="128" t="s">
        <v>1196</v>
      </c>
      <c r="C4" s="128" t="s">
        <v>523</v>
      </c>
      <c r="D4" s="128" t="s">
        <v>1197</v>
      </c>
      <c r="E4" s="128" t="s">
        <v>1198</v>
      </c>
      <c r="F4" s="128" t="s">
        <v>1199</v>
      </c>
      <c r="G4" s="128" t="s">
        <v>1200</v>
      </c>
    </row>
    <row r="5" spans="1:7" ht="60" customHeight="1">
      <c r="A5" s="121" t="s">
        <v>1201</v>
      </c>
      <c r="B5" s="122"/>
      <c r="C5" s="121" t="s">
        <v>1202</v>
      </c>
      <c r="D5" s="121" t="s">
        <v>1203</v>
      </c>
      <c r="E5" s="121" t="s">
        <v>1204</v>
      </c>
      <c r="F5" s="121" t="s">
        <v>1205</v>
      </c>
      <c r="G5" s="121" t="s">
        <v>1206</v>
      </c>
    </row>
    <row r="6" spans="1:7" ht="75" customHeight="1">
      <c r="A6" s="121" t="s">
        <v>1201</v>
      </c>
      <c r="B6" s="122"/>
      <c r="C6" s="121" t="s">
        <v>1202</v>
      </c>
      <c r="D6" s="121" t="s">
        <v>1203</v>
      </c>
      <c r="E6" s="121" t="s">
        <v>1204</v>
      </c>
      <c r="F6" s="121" t="s">
        <v>1205</v>
      </c>
      <c r="G6" s="121" t="s">
        <v>1206</v>
      </c>
    </row>
    <row r="7" spans="1:7" ht="75" customHeight="1">
      <c r="A7" s="121" t="s">
        <v>1201</v>
      </c>
      <c r="B7" s="122"/>
      <c r="C7" s="121" t="s">
        <v>1202</v>
      </c>
      <c r="D7" s="121" t="s">
        <v>1203</v>
      </c>
      <c r="E7" s="121" t="s">
        <v>1204</v>
      </c>
      <c r="F7" s="121" t="s">
        <v>1205</v>
      </c>
      <c r="G7" s="121" t="s">
        <v>1206</v>
      </c>
    </row>
    <row r="8" spans="1:7" ht="60" customHeight="1">
      <c r="A8" s="121" t="s">
        <v>1201</v>
      </c>
      <c r="B8" s="122"/>
      <c r="C8" s="121" t="s">
        <v>1202</v>
      </c>
      <c r="D8" s="121" t="s">
        <v>1203</v>
      </c>
      <c r="E8" s="121" t="s">
        <v>1204</v>
      </c>
      <c r="F8" s="121" t="s">
        <v>1205</v>
      </c>
      <c r="G8" s="121" t="s">
        <v>1206</v>
      </c>
    </row>
    <row r="9" spans="1:7" ht="60" customHeight="1">
      <c r="A9" s="121" t="s">
        <v>1201</v>
      </c>
      <c r="B9" s="122"/>
      <c r="C9" s="121" t="s">
        <v>1202</v>
      </c>
      <c r="D9" s="121" t="s">
        <v>1203</v>
      </c>
      <c r="E9" s="121" t="s">
        <v>1204</v>
      </c>
      <c r="F9" s="121" t="s">
        <v>1205</v>
      </c>
      <c r="G9" s="121" t="s">
        <v>1206</v>
      </c>
    </row>
    <row r="10" spans="1:7" ht="60" customHeight="1">
      <c r="A10" s="121" t="s">
        <v>1201</v>
      </c>
      <c r="B10" s="122"/>
      <c r="C10" s="121" t="s">
        <v>1202</v>
      </c>
      <c r="D10" s="121" t="s">
        <v>1203</v>
      </c>
      <c r="E10" s="121" t="s">
        <v>1204</v>
      </c>
      <c r="F10" s="121" t="s">
        <v>1205</v>
      </c>
      <c r="G10" s="121" t="s">
        <v>1206</v>
      </c>
    </row>
    <row r="11" spans="1:7" ht="60" customHeight="1">
      <c r="A11" s="121" t="s">
        <v>1201</v>
      </c>
      <c r="B11" s="122"/>
      <c r="C11" s="121" t="s">
        <v>1202</v>
      </c>
      <c r="D11" s="121" t="s">
        <v>1203</v>
      </c>
      <c r="E11" s="121" t="s">
        <v>1204</v>
      </c>
      <c r="F11" s="121" t="s">
        <v>1205</v>
      </c>
      <c r="G11" s="121" t="s">
        <v>1206</v>
      </c>
    </row>
    <row r="12" spans="1:7" s="48" customFormat="1" ht="60" customHeight="1">
      <c r="A12" s="121" t="s">
        <v>1201</v>
      </c>
      <c r="B12" s="122"/>
      <c r="C12" s="121" t="s">
        <v>1202</v>
      </c>
      <c r="D12" s="121" t="s">
        <v>1203</v>
      </c>
      <c r="E12" s="121" t="s">
        <v>1204</v>
      </c>
      <c r="F12" s="121" t="s">
        <v>1205</v>
      </c>
      <c r="G12" s="121" t="s">
        <v>1206</v>
      </c>
    </row>
    <row r="13" spans="1:7" s="48" customFormat="1" ht="60" customHeight="1">
      <c r="A13" s="121" t="s">
        <v>1201</v>
      </c>
      <c r="B13" s="122"/>
      <c r="C13" s="121" t="s">
        <v>1202</v>
      </c>
      <c r="D13" s="121" t="s">
        <v>1203</v>
      </c>
      <c r="E13" s="121" t="s">
        <v>1204</v>
      </c>
      <c r="F13" s="121" t="s">
        <v>1205</v>
      </c>
      <c r="G13" s="121" t="s">
        <v>1206</v>
      </c>
    </row>
    <row r="14" spans="1:7" s="48" customFormat="1" ht="60" customHeight="1">
      <c r="A14" s="121" t="s">
        <v>1201</v>
      </c>
      <c r="B14" s="122"/>
      <c r="C14" s="121" t="s">
        <v>1202</v>
      </c>
      <c r="D14" s="121" t="s">
        <v>1203</v>
      </c>
      <c r="E14" s="121" t="s">
        <v>1204</v>
      </c>
      <c r="F14" s="121" t="s">
        <v>1205</v>
      </c>
      <c r="G14" s="121" t="s">
        <v>1206</v>
      </c>
    </row>
    <row r="15" spans="1:7" s="48" customFormat="1" ht="60" customHeight="1">
      <c r="A15" s="121" t="s">
        <v>1201</v>
      </c>
      <c r="B15" s="122"/>
      <c r="C15" s="121" t="s">
        <v>1202</v>
      </c>
      <c r="D15" s="121" t="s">
        <v>1203</v>
      </c>
      <c r="E15" s="121" t="s">
        <v>1204</v>
      </c>
      <c r="F15" s="121" t="s">
        <v>1205</v>
      </c>
      <c r="G15" s="121" t="s">
        <v>1206</v>
      </c>
    </row>
    <row r="16" spans="1:7" s="48" customFormat="1" ht="60" customHeight="1">
      <c r="A16" s="121" t="s">
        <v>1201</v>
      </c>
      <c r="B16" s="122"/>
      <c r="C16" s="121" t="s">
        <v>1202</v>
      </c>
      <c r="D16" s="121" t="s">
        <v>1203</v>
      </c>
      <c r="E16" s="121" t="s">
        <v>1204</v>
      </c>
      <c r="F16" s="121" t="s">
        <v>1205</v>
      </c>
      <c r="G16" s="121" t="s">
        <v>1206</v>
      </c>
    </row>
    <row r="17" spans="1:7" s="48" customFormat="1" ht="60" customHeight="1">
      <c r="A17" s="121" t="s">
        <v>1201</v>
      </c>
      <c r="B17" s="122"/>
      <c r="C17" s="121" t="s">
        <v>1202</v>
      </c>
      <c r="D17" s="121" t="s">
        <v>1203</v>
      </c>
      <c r="E17" s="121" t="s">
        <v>1204</v>
      </c>
      <c r="F17" s="121" t="s">
        <v>1205</v>
      </c>
      <c r="G17" s="121" t="s">
        <v>1206</v>
      </c>
    </row>
    <row r="18" spans="1:7" s="48" customFormat="1" ht="60" customHeight="1">
      <c r="A18" s="121" t="s">
        <v>1201</v>
      </c>
      <c r="B18" s="122"/>
      <c r="C18" s="121" t="s">
        <v>1202</v>
      </c>
      <c r="D18" s="121" t="s">
        <v>1203</v>
      </c>
      <c r="E18" s="121" t="s">
        <v>1204</v>
      </c>
      <c r="F18" s="121" t="s">
        <v>1205</v>
      </c>
      <c r="G18" s="121" t="s">
        <v>1206</v>
      </c>
    </row>
    <row r="20" spans="1:7" ht="15.75">
      <c r="A20" s="129" t="s">
        <v>1207</v>
      </c>
      <c r="B20" s="48"/>
      <c r="C20" s="48"/>
      <c r="D20" s="48"/>
      <c r="E20" s="48"/>
      <c r="F20" s="48"/>
      <c r="G20" s="48"/>
    </row>
    <row r="21" spans="1:7" ht="90" customHeight="1">
      <c r="A21" s="130" t="s">
        <v>1208</v>
      </c>
      <c r="B21" s="48"/>
      <c r="C21" s="48"/>
      <c r="D21" s="48"/>
      <c r="E21" s="48"/>
      <c r="F21" s="48"/>
      <c r="G21" s="48"/>
    </row>
    <row r="22" spans="1:7" ht="90" customHeight="1">
      <c r="A22" s="131" t="s">
        <v>1209</v>
      </c>
      <c r="B22" s="48"/>
      <c r="C22" s="48"/>
      <c r="D22" s="48"/>
      <c r="E22" s="48"/>
      <c r="F22" s="48"/>
      <c r="G22" s="48"/>
    </row>
    <row r="23" spans="1:7" ht="75" customHeight="1">
      <c r="A23" s="130" t="s">
        <v>1210</v>
      </c>
      <c r="B23" s="48"/>
      <c r="C23" s="48"/>
      <c r="D23" s="48"/>
      <c r="E23" s="48"/>
      <c r="F23" s="48"/>
      <c r="G23" s="48"/>
    </row>
    <row r="24" spans="1:7" ht="60" customHeight="1">
      <c r="A24" s="130" t="s">
        <v>1211</v>
      </c>
      <c r="B24" s="48"/>
      <c r="C24" s="48"/>
      <c r="D24" s="48"/>
      <c r="E24" s="48"/>
      <c r="F24" s="48"/>
      <c r="G24" s="48"/>
    </row>
    <row r="25" spans="1:7" ht="90" customHeight="1">
      <c r="A25" s="130" t="s">
        <v>1212</v>
      </c>
      <c r="B25" s="48"/>
      <c r="C25" s="48"/>
      <c r="D25" s="48"/>
      <c r="E25" s="48"/>
      <c r="F25" s="48"/>
      <c r="G25" s="48"/>
    </row>
    <row r="26" spans="1:7" ht="90" customHeight="1">
      <c r="A26" s="130" t="s">
        <v>1213</v>
      </c>
      <c r="B26" s="48"/>
      <c r="C26" s="48"/>
      <c r="D26" s="48"/>
      <c r="E26" s="48"/>
      <c r="F26" s="48"/>
      <c r="G26" s="4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3C567-A921-43C4-9F68-AF9568D60B95}">
  <sheetPr>
    <tabColor theme="2" tint="-0.249977111117893"/>
  </sheetPr>
  <dimension ref="A1:G31"/>
  <sheetViews>
    <sheetView tabSelected="1" workbookViewId="0">
      <selection activeCell="I8" sqref="I8"/>
    </sheetView>
  </sheetViews>
  <sheetFormatPr defaultRowHeight="15"/>
  <cols>
    <col min="1" max="1" width="10.42578125" customWidth="1"/>
    <col min="2" max="2" width="47.5703125" customWidth="1"/>
    <col min="3" max="3" width="68.5703125" customWidth="1"/>
    <col min="4" max="4" width="38.140625" customWidth="1"/>
    <col min="5" max="5" width="28.5703125" customWidth="1"/>
    <col min="6" max="6" width="24.7109375" customWidth="1"/>
  </cols>
  <sheetData>
    <row r="1" spans="1:7" ht="30" customHeight="1">
      <c r="A1" s="159" t="s">
        <v>1214</v>
      </c>
      <c r="B1" s="159"/>
      <c r="C1" s="159"/>
      <c r="D1" s="159"/>
      <c r="E1" s="159"/>
      <c r="F1" s="159"/>
      <c r="G1" s="48"/>
    </row>
    <row r="2" spans="1:7" ht="44.25" customHeight="1">
      <c r="A2" s="160" t="s">
        <v>1215</v>
      </c>
      <c r="B2" s="160"/>
      <c r="C2" s="160"/>
      <c r="D2" s="160"/>
      <c r="E2" s="160"/>
      <c r="F2" s="160"/>
      <c r="G2" s="48"/>
    </row>
    <row r="4" spans="1:7" ht="15.75">
      <c r="A4" s="196" t="s">
        <v>1216</v>
      </c>
      <c r="B4" s="196"/>
      <c r="C4" s="196"/>
      <c r="D4" s="196"/>
      <c r="E4" s="196"/>
      <c r="F4" s="196"/>
      <c r="G4" s="48"/>
    </row>
    <row r="5" spans="1:7">
      <c r="A5" s="132" t="s">
        <v>1217</v>
      </c>
      <c r="B5" s="132" t="s">
        <v>1218</v>
      </c>
      <c r="C5" s="132" t="s">
        <v>1219</v>
      </c>
      <c r="D5" s="132" t="s">
        <v>1220</v>
      </c>
      <c r="E5" s="132" t="s">
        <v>144</v>
      </c>
      <c r="F5" s="132" t="s">
        <v>1221</v>
      </c>
      <c r="G5" s="48"/>
    </row>
    <row r="6" spans="1:7" ht="78" customHeight="1">
      <c r="A6" s="133">
        <v>1</v>
      </c>
      <c r="B6" s="134" t="s">
        <v>1222</v>
      </c>
      <c r="C6" s="134" t="s">
        <v>1223</v>
      </c>
      <c r="D6" s="134" t="s">
        <v>1224</v>
      </c>
      <c r="E6" s="134" t="s">
        <v>1225</v>
      </c>
      <c r="F6" s="134" t="s">
        <v>1105</v>
      </c>
      <c r="G6" s="48"/>
    </row>
    <row r="7" spans="1:7" ht="78" customHeight="1">
      <c r="A7" s="133">
        <v>2</v>
      </c>
      <c r="B7" s="134" t="s">
        <v>1226</v>
      </c>
      <c r="C7" s="134" t="s">
        <v>1227</v>
      </c>
      <c r="D7" s="134" t="s">
        <v>1228</v>
      </c>
      <c r="E7" s="134" t="s">
        <v>1229</v>
      </c>
      <c r="F7" s="134" t="s">
        <v>1110</v>
      </c>
      <c r="G7" s="48"/>
    </row>
    <row r="8" spans="1:7" ht="78" customHeight="1">
      <c r="A8" s="133">
        <v>3</v>
      </c>
      <c r="B8" s="134" t="s">
        <v>1230</v>
      </c>
      <c r="C8" s="134" t="s">
        <v>1231</v>
      </c>
      <c r="D8" s="134" t="s">
        <v>1232</v>
      </c>
      <c r="E8" s="134" t="s">
        <v>1233</v>
      </c>
      <c r="F8" s="134" t="s">
        <v>1234</v>
      </c>
      <c r="G8" s="48"/>
    </row>
    <row r="9" spans="1:7" ht="78" customHeight="1">
      <c r="A9" s="133">
        <v>4</v>
      </c>
      <c r="B9" s="134" t="s">
        <v>1235</v>
      </c>
      <c r="C9" s="134" t="s">
        <v>1236</v>
      </c>
      <c r="D9" s="134" t="s">
        <v>1237</v>
      </c>
      <c r="E9" s="134" t="s">
        <v>233</v>
      </c>
      <c r="F9" s="134" t="s">
        <v>1238</v>
      </c>
      <c r="G9" s="48"/>
    </row>
    <row r="10" spans="1:7">
      <c r="A10" s="48"/>
      <c r="B10" s="48"/>
      <c r="C10" s="48"/>
      <c r="D10" s="48"/>
      <c r="E10" s="48"/>
      <c r="F10" s="48"/>
      <c r="G10" s="48"/>
    </row>
    <row r="11" spans="1:7" ht="15.75">
      <c r="A11" s="196" t="s">
        <v>1239</v>
      </c>
      <c r="B11" s="196"/>
      <c r="C11" s="196"/>
      <c r="D11" s="196"/>
      <c r="E11" s="196"/>
      <c r="F11" s="196"/>
      <c r="G11" s="48"/>
    </row>
    <row r="12" spans="1:7">
      <c r="A12" s="132" t="s">
        <v>1240</v>
      </c>
      <c r="B12" s="132" t="s">
        <v>1241</v>
      </c>
      <c r="C12" s="132" t="s">
        <v>1242</v>
      </c>
      <c r="D12" s="132" t="s">
        <v>1243</v>
      </c>
      <c r="E12" s="132" t="s">
        <v>145</v>
      </c>
      <c r="F12" s="132" t="s">
        <v>70</v>
      </c>
      <c r="G12" s="48"/>
    </row>
    <row r="13" spans="1:7" ht="39.75" customHeight="1">
      <c r="A13" s="133">
        <v>1</v>
      </c>
      <c r="B13" s="134" t="s">
        <v>1244</v>
      </c>
      <c r="C13" s="134" t="s">
        <v>1245</v>
      </c>
      <c r="D13" s="134" t="s">
        <v>1246</v>
      </c>
      <c r="E13" s="134" t="s">
        <v>1247</v>
      </c>
      <c r="F13" s="134" t="s">
        <v>1248</v>
      </c>
      <c r="G13" s="48"/>
    </row>
    <row r="14" spans="1:7" ht="39.75" customHeight="1">
      <c r="A14" s="133">
        <v>2</v>
      </c>
      <c r="B14" s="134" t="s">
        <v>1249</v>
      </c>
      <c r="C14" s="134" t="s">
        <v>1250</v>
      </c>
      <c r="D14" s="134" t="s">
        <v>1228</v>
      </c>
      <c r="E14" s="134" t="s">
        <v>1247</v>
      </c>
      <c r="F14" s="134" t="s">
        <v>1251</v>
      </c>
      <c r="G14" s="48"/>
    </row>
    <row r="15" spans="1:7" ht="39.75" customHeight="1">
      <c r="A15" s="133">
        <v>3</v>
      </c>
      <c r="B15" s="134" t="s">
        <v>1252</v>
      </c>
      <c r="C15" s="134" t="s">
        <v>1253</v>
      </c>
      <c r="D15" s="134" t="s">
        <v>1232</v>
      </c>
      <c r="E15" s="134" t="s">
        <v>1247</v>
      </c>
      <c r="F15" s="134" t="s">
        <v>1254</v>
      </c>
      <c r="G15" s="48"/>
    </row>
    <row r="16" spans="1:7" ht="39.75" customHeight="1">
      <c r="A16" s="133">
        <v>4</v>
      </c>
      <c r="B16" s="134" t="s">
        <v>1255</v>
      </c>
      <c r="C16" s="134" t="s">
        <v>1256</v>
      </c>
      <c r="D16" s="134" t="s">
        <v>1257</v>
      </c>
      <c r="E16" s="134" t="s">
        <v>1247</v>
      </c>
      <c r="F16" s="134" t="s">
        <v>1258</v>
      </c>
      <c r="G16" s="48"/>
    </row>
    <row r="17" spans="1:7">
      <c r="A17" s="48"/>
      <c r="B17" s="48"/>
      <c r="C17" s="48"/>
      <c r="D17" s="48"/>
      <c r="E17" s="48"/>
      <c r="F17" s="48"/>
      <c r="G17" s="48"/>
    </row>
    <row r="18" spans="1:7" ht="15.75">
      <c r="A18" s="196" t="s">
        <v>1259</v>
      </c>
      <c r="B18" s="196"/>
      <c r="C18" s="196"/>
      <c r="D18" s="196"/>
      <c r="E18" s="196"/>
      <c r="F18" s="196"/>
      <c r="G18" s="48"/>
    </row>
    <row r="19" spans="1:7">
      <c r="A19" s="132" t="s">
        <v>1260</v>
      </c>
      <c r="B19" s="132" t="s">
        <v>1261</v>
      </c>
      <c r="C19" s="132" t="s">
        <v>1262</v>
      </c>
      <c r="D19" s="132" t="s">
        <v>1263</v>
      </c>
      <c r="E19" s="132" t="s">
        <v>1264</v>
      </c>
      <c r="F19" s="132" t="s">
        <v>145</v>
      </c>
      <c r="G19" s="48"/>
    </row>
    <row r="20" spans="1:7" ht="42" customHeight="1">
      <c r="A20" s="135" t="s">
        <v>1265</v>
      </c>
      <c r="B20" s="135" t="s">
        <v>1266</v>
      </c>
      <c r="C20" s="135" t="s">
        <v>1267</v>
      </c>
      <c r="D20" s="135" t="s">
        <v>1268</v>
      </c>
      <c r="E20" s="135" t="s">
        <v>1246</v>
      </c>
      <c r="F20" s="135" t="s">
        <v>1269</v>
      </c>
      <c r="G20" s="48"/>
    </row>
    <row r="21" spans="1:7" ht="42" customHeight="1">
      <c r="A21" s="135" t="s">
        <v>1265</v>
      </c>
      <c r="B21" s="135" t="s">
        <v>1270</v>
      </c>
      <c r="C21" s="135" t="s">
        <v>1271</v>
      </c>
      <c r="D21" s="135" t="s">
        <v>1272</v>
      </c>
      <c r="E21" s="135" t="s">
        <v>1228</v>
      </c>
      <c r="F21" s="135" t="s">
        <v>1269</v>
      </c>
      <c r="G21" s="48"/>
    </row>
    <row r="22" spans="1:7" ht="42" customHeight="1">
      <c r="A22" s="135" t="s">
        <v>1265</v>
      </c>
      <c r="B22" s="135" t="s">
        <v>1273</v>
      </c>
      <c r="C22" s="135" t="s">
        <v>1274</v>
      </c>
      <c r="D22" s="135" t="s">
        <v>1275</v>
      </c>
      <c r="E22" s="135" t="s">
        <v>1276</v>
      </c>
      <c r="F22" s="135" t="s">
        <v>1269</v>
      </c>
      <c r="G22" s="48"/>
    </row>
    <row r="23" spans="1:7" ht="42" customHeight="1">
      <c r="A23" s="135" t="s">
        <v>1265</v>
      </c>
      <c r="B23" s="135" t="s">
        <v>1277</v>
      </c>
      <c r="C23" s="135" t="s">
        <v>1278</v>
      </c>
      <c r="D23" s="135" t="s">
        <v>1279</v>
      </c>
      <c r="E23" s="135" t="s">
        <v>1232</v>
      </c>
      <c r="F23" s="135" t="s">
        <v>1269</v>
      </c>
      <c r="G23" s="48"/>
    </row>
    <row r="24" spans="1:7" ht="42" customHeight="1">
      <c r="A24" s="135" t="s">
        <v>1265</v>
      </c>
      <c r="B24" s="135" t="s">
        <v>1280</v>
      </c>
      <c r="C24" s="135" t="s">
        <v>1281</v>
      </c>
      <c r="D24" s="135" t="s">
        <v>1282</v>
      </c>
      <c r="E24" s="135" t="s">
        <v>1283</v>
      </c>
      <c r="F24" s="135" t="s">
        <v>1269</v>
      </c>
      <c r="G24" s="48"/>
    </row>
    <row r="25" spans="1:7" ht="42" customHeight="1">
      <c r="A25" s="135" t="s">
        <v>1265</v>
      </c>
      <c r="B25" s="135" t="s">
        <v>1284</v>
      </c>
      <c r="C25" s="136" t="s">
        <v>1285</v>
      </c>
      <c r="D25" s="135" t="s">
        <v>1286</v>
      </c>
      <c r="E25" s="135" t="s">
        <v>1287</v>
      </c>
      <c r="F25" s="135" t="s">
        <v>1269</v>
      </c>
      <c r="G25" s="48"/>
    </row>
    <row r="26" spans="1:7" ht="42" customHeight="1">
      <c r="A26" s="135" t="s">
        <v>1265</v>
      </c>
      <c r="B26" s="135" t="s">
        <v>1288</v>
      </c>
      <c r="C26" s="135" t="s">
        <v>1289</v>
      </c>
      <c r="D26" s="135" t="s">
        <v>1290</v>
      </c>
      <c r="E26" s="135" t="s">
        <v>1287</v>
      </c>
      <c r="F26" s="135" t="s">
        <v>1269</v>
      </c>
      <c r="G26" s="48"/>
    </row>
    <row r="27" spans="1:7" ht="42" customHeight="1">
      <c r="A27" s="135" t="s">
        <v>1291</v>
      </c>
      <c r="B27" s="135" t="s">
        <v>1292</v>
      </c>
      <c r="C27" s="135" t="s">
        <v>1293</v>
      </c>
      <c r="D27" s="135" t="s">
        <v>1294</v>
      </c>
      <c r="E27" s="135" t="s">
        <v>1295</v>
      </c>
      <c r="F27" s="135" t="s">
        <v>1296</v>
      </c>
      <c r="G27" s="48"/>
    </row>
    <row r="28" spans="1:7" ht="42" customHeight="1">
      <c r="A28" s="135" t="s">
        <v>1291</v>
      </c>
      <c r="B28" s="135" t="s">
        <v>1297</v>
      </c>
      <c r="C28" s="135" t="s">
        <v>1298</v>
      </c>
      <c r="D28" s="135" t="s">
        <v>1299</v>
      </c>
      <c r="E28" s="135" t="s">
        <v>1300</v>
      </c>
      <c r="F28" s="135" t="s">
        <v>1296</v>
      </c>
      <c r="G28" s="48"/>
    </row>
    <row r="29" spans="1:7" ht="42" customHeight="1">
      <c r="A29" s="135" t="s">
        <v>1291</v>
      </c>
      <c r="B29" s="135" t="s">
        <v>1301</v>
      </c>
      <c r="C29" s="135" t="s">
        <v>1302</v>
      </c>
      <c r="D29" s="135" t="s">
        <v>1303</v>
      </c>
      <c r="E29" s="135" t="s">
        <v>1283</v>
      </c>
      <c r="F29" s="135" t="s">
        <v>1269</v>
      </c>
      <c r="G29" s="48"/>
    </row>
    <row r="30" spans="1:7" ht="42" customHeight="1">
      <c r="A30" s="135" t="s">
        <v>1291</v>
      </c>
      <c r="B30" s="135" t="s">
        <v>1304</v>
      </c>
      <c r="C30" s="135" t="s">
        <v>1305</v>
      </c>
      <c r="D30" s="135" t="s">
        <v>1306</v>
      </c>
      <c r="E30" s="135" t="s">
        <v>1307</v>
      </c>
      <c r="F30" s="135" t="s">
        <v>1296</v>
      </c>
      <c r="G30" s="48"/>
    </row>
    <row r="31" spans="1:7">
      <c r="A31" s="48"/>
      <c r="B31" s="48"/>
      <c r="C31" s="48"/>
      <c r="D31" s="48"/>
      <c r="E31" s="48"/>
      <c r="F31" s="48"/>
      <c r="G31" s="48"/>
    </row>
  </sheetData>
  <mergeCells count="5">
    <mergeCell ref="A1:F1"/>
    <mergeCell ref="A2:F2"/>
    <mergeCell ref="A4:F4"/>
    <mergeCell ref="A11:F11"/>
    <mergeCell ref="A18:F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129EC-781C-4E4E-B016-ADA5A29638C2}">
  <sheetPr>
    <tabColor theme="2" tint="-0.249977111117893"/>
  </sheetPr>
  <dimension ref="A1:H39"/>
  <sheetViews>
    <sheetView workbookViewId="0"/>
  </sheetViews>
  <sheetFormatPr defaultRowHeight="15"/>
  <cols>
    <col min="1" max="1" width="43.85546875" customWidth="1"/>
    <col min="2" max="2" width="28.5703125" customWidth="1"/>
    <col min="3" max="3" width="61" customWidth="1"/>
    <col min="4" max="4" width="57.140625" customWidth="1"/>
    <col min="5" max="5" width="34.28515625" customWidth="1"/>
    <col min="6" max="6" width="49.5703125" customWidth="1"/>
    <col min="7" max="7" width="28.5703125" customWidth="1"/>
  </cols>
  <sheetData>
    <row r="1" spans="1:8" ht="27.75" customHeight="1">
      <c r="A1" s="159" t="s">
        <v>1308</v>
      </c>
      <c r="B1" s="159"/>
      <c r="C1" s="159"/>
      <c r="D1" s="159"/>
      <c r="E1" s="159"/>
      <c r="F1" s="159"/>
      <c r="G1" s="159"/>
      <c r="H1" s="48"/>
    </row>
    <row r="2" spans="1:8" ht="39.75" customHeight="1">
      <c r="A2" s="160" t="s">
        <v>1309</v>
      </c>
      <c r="B2" s="160"/>
      <c r="C2" s="160"/>
      <c r="D2" s="160"/>
      <c r="E2" s="160"/>
      <c r="F2" s="160"/>
      <c r="G2" s="160"/>
      <c r="H2" s="48"/>
    </row>
    <row r="4" spans="1:8" ht="15.75">
      <c r="A4" s="196" t="s">
        <v>1310</v>
      </c>
      <c r="B4" s="196"/>
      <c r="C4" s="196"/>
      <c r="D4" s="196"/>
      <c r="E4" s="196"/>
      <c r="F4" s="196"/>
      <c r="G4" s="196"/>
      <c r="H4" s="48"/>
    </row>
    <row r="5" spans="1:8">
      <c r="A5" s="137" t="s">
        <v>1311</v>
      </c>
      <c r="B5" s="137" t="s">
        <v>1312</v>
      </c>
      <c r="C5" s="137" t="s">
        <v>1313</v>
      </c>
      <c r="D5" s="137" t="s">
        <v>1314</v>
      </c>
      <c r="E5" s="137" t="s">
        <v>1315</v>
      </c>
      <c r="F5" s="137" t="s">
        <v>1316</v>
      </c>
      <c r="G5" s="137" t="s">
        <v>1317</v>
      </c>
      <c r="H5" s="48"/>
    </row>
    <row r="6" spans="1:8" ht="33.75" customHeight="1">
      <c r="A6" s="135" t="s">
        <v>1318</v>
      </c>
      <c r="B6" s="135" t="s">
        <v>1319</v>
      </c>
      <c r="C6" s="135" t="s">
        <v>1320</v>
      </c>
      <c r="D6" s="135" t="s">
        <v>1321</v>
      </c>
      <c r="E6" s="135" t="s">
        <v>1322</v>
      </c>
      <c r="F6" s="135" t="s">
        <v>1323</v>
      </c>
      <c r="G6" s="135" t="s">
        <v>1324</v>
      </c>
      <c r="H6" s="48"/>
    </row>
    <row r="7" spans="1:8" ht="33.75" customHeight="1">
      <c r="A7" s="135" t="s">
        <v>1318</v>
      </c>
      <c r="B7" s="135" t="s">
        <v>1319</v>
      </c>
      <c r="C7" s="135" t="s">
        <v>1320</v>
      </c>
      <c r="D7" s="135" t="s">
        <v>1321</v>
      </c>
      <c r="E7" s="135" t="s">
        <v>1322</v>
      </c>
      <c r="F7" s="135" t="s">
        <v>1323</v>
      </c>
      <c r="G7" s="135" t="s">
        <v>1325</v>
      </c>
      <c r="H7" s="48"/>
    </row>
    <row r="8" spans="1:8" ht="33.75" customHeight="1">
      <c r="A8" s="135" t="s">
        <v>1326</v>
      </c>
      <c r="B8" s="135" t="s">
        <v>1319</v>
      </c>
      <c r="C8" s="135" t="s">
        <v>1320</v>
      </c>
      <c r="D8" s="135" t="s">
        <v>1321</v>
      </c>
      <c r="E8" s="135" t="s">
        <v>1322</v>
      </c>
      <c r="F8" s="135" t="s">
        <v>1323</v>
      </c>
      <c r="G8" s="135" t="s">
        <v>1327</v>
      </c>
      <c r="H8" s="48"/>
    </row>
    <row r="9" spans="1:8" ht="33.75" customHeight="1">
      <c r="A9" s="135" t="s">
        <v>1328</v>
      </c>
      <c r="B9" s="135" t="s">
        <v>1319</v>
      </c>
      <c r="C9" s="135" t="s">
        <v>1320</v>
      </c>
      <c r="D9" s="135" t="s">
        <v>1321</v>
      </c>
      <c r="E9" s="135" t="s">
        <v>1322</v>
      </c>
      <c r="F9" s="135" t="s">
        <v>1323</v>
      </c>
      <c r="G9" s="135" t="s">
        <v>1329</v>
      </c>
      <c r="H9" s="48"/>
    </row>
    <row r="10" spans="1:8" ht="33.75" customHeight="1">
      <c r="A10" s="135" t="s">
        <v>1330</v>
      </c>
      <c r="B10" s="135" t="s">
        <v>1319</v>
      </c>
      <c r="C10" s="135" t="s">
        <v>1320</v>
      </c>
      <c r="D10" s="135" t="s">
        <v>1321</v>
      </c>
      <c r="E10" s="135" t="s">
        <v>1322</v>
      </c>
      <c r="F10" s="135" t="s">
        <v>1323</v>
      </c>
      <c r="G10" s="135" t="s">
        <v>1331</v>
      </c>
      <c r="H10" s="48"/>
    </row>
    <row r="11" spans="1:8" ht="33.75" customHeight="1">
      <c r="A11" s="135" t="s">
        <v>1332</v>
      </c>
      <c r="B11" s="135" t="s">
        <v>1319</v>
      </c>
      <c r="C11" s="135" t="s">
        <v>1320</v>
      </c>
      <c r="D11" s="135" t="s">
        <v>1321</v>
      </c>
      <c r="E11" s="135" t="s">
        <v>1322</v>
      </c>
      <c r="F11" s="135" t="s">
        <v>1323</v>
      </c>
      <c r="G11" s="135" t="s">
        <v>1333</v>
      </c>
      <c r="H11" s="48"/>
    </row>
    <row r="12" spans="1:8" ht="33.75" customHeight="1">
      <c r="A12" s="135" t="s">
        <v>1334</v>
      </c>
      <c r="B12" s="135" t="s">
        <v>1319</v>
      </c>
      <c r="C12" s="135" t="s">
        <v>1320</v>
      </c>
      <c r="D12" s="135" t="s">
        <v>1321</v>
      </c>
      <c r="E12" s="135" t="s">
        <v>1322</v>
      </c>
      <c r="F12" s="135" t="s">
        <v>1323</v>
      </c>
      <c r="G12" s="135" t="s">
        <v>1335</v>
      </c>
      <c r="H12" s="48"/>
    </row>
    <row r="13" spans="1:8">
      <c r="A13" s="48"/>
      <c r="B13" s="48"/>
      <c r="C13" s="48"/>
      <c r="D13" s="48"/>
      <c r="E13" s="48"/>
      <c r="F13" s="48"/>
      <c r="G13" s="48"/>
      <c r="H13" s="48"/>
    </row>
    <row r="14" spans="1:8" ht="15.75">
      <c r="A14" s="196" t="s">
        <v>1336</v>
      </c>
      <c r="B14" s="196"/>
      <c r="C14" s="196"/>
      <c r="D14" s="196"/>
      <c r="E14" s="196"/>
      <c r="F14" s="196"/>
      <c r="G14" s="196"/>
      <c r="H14" s="48"/>
    </row>
    <row r="15" spans="1:8">
      <c r="A15" s="137" t="s">
        <v>1337</v>
      </c>
      <c r="B15" s="137" t="s">
        <v>1338</v>
      </c>
      <c r="C15" s="137" t="s">
        <v>1339</v>
      </c>
      <c r="D15" s="137" t="s">
        <v>1340</v>
      </c>
      <c r="E15" s="137" t="s">
        <v>1341</v>
      </c>
      <c r="F15" s="137" t="s">
        <v>1342</v>
      </c>
      <c r="G15" s="137" t="s">
        <v>70</v>
      </c>
      <c r="H15" s="48"/>
    </row>
    <row r="16" spans="1:8" ht="30" customHeight="1">
      <c r="A16" s="135" t="s">
        <v>1343</v>
      </c>
      <c r="B16" s="135" t="s">
        <v>1344</v>
      </c>
      <c r="C16" s="135" t="s">
        <v>1345</v>
      </c>
      <c r="D16" s="135" t="s">
        <v>1346</v>
      </c>
      <c r="E16" s="135" t="s">
        <v>1347</v>
      </c>
      <c r="F16" s="135" t="s">
        <v>1348</v>
      </c>
      <c r="G16" s="135" t="s">
        <v>1349</v>
      </c>
      <c r="H16" s="48"/>
    </row>
    <row r="17" spans="1:8" ht="30" customHeight="1">
      <c r="A17" s="135" t="s">
        <v>1350</v>
      </c>
      <c r="B17" s="135" t="s">
        <v>1344</v>
      </c>
      <c r="C17" s="135" t="s">
        <v>1345</v>
      </c>
      <c r="D17" s="135" t="s">
        <v>1346</v>
      </c>
      <c r="E17" s="135" t="s">
        <v>1347</v>
      </c>
      <c r="F17" s="135" t="s">
        <v>1348</v>
      </c>
      <c r="G17" s="135" t="s">
        <v>1349</v>
      </c>
      <c r="H17" s="48"/>
    </row>
    <row r="18" spans="1:8" ht="30" customHeight="1">
      <c r="A18" s="135" t="s">
        <v>1351</v>
      </c>
      <c r="B18" s="135" t="s">
        <v>1344</v>
      </c>
      <c r="C18" s="135" t="s">
        <v>1345</v>
      </c>
      <c r="D18" s="135" t="s">
        <v>1346</v>
      </c>
      <c r="E18" s="135" t="s">
        <v>1347</v>
      </c>
      <c r="F18" s="135" t="s">
        <v>1348</v>
      </c>
      <c r="G18" s="135" t="s">
        <v>1349</v>
      </c>
      <c r="H18" s="48"/>
    </row>
    <row r="19" spans="1:8" ht="30" customHeight="1">
      <c r="A19" s="135" t="s">
        <v>1352</v>
      </c>
      <c r="B19" s="135" t="s">
        <v>1344</v>
      </c>
      <c r="C19" s="135" t="s">
        <v>1345</v>
      </c>
      <c r="D19" s="135" t="s">
        <v>1346</v>
      </c>
      <c r="E19" s="135" t="s">
        <v>1347</v>
      </c>
      <c r="F19" s="135" t="s">
        <v>1348</v>
      </c>
      <c r="G19" s="135" t="s">
        <v>1349</v>
      </c>
      <c r="H19" s="48"/>
    </row>
    <row r="20" spans="1:8" ht="30" customHeight="1">
      <c r="A20" s="135" t="s">
        <v>1353</v>
      </c>
      <c r="B20" s="135" t="s">
        <v>1344</v>
      </c>
      <c r="C20" s="135" t="s">
        <v>1345</v>
      </c>
      <c r="D20" s="135" t="s">
        <v>1346</v>
      </c>
      <c r="E20" s="135" t="s">
        <v>1347</v>
      </c>
      <c r="F20" s="135" t="s">
        <v>1348</v>
      </c>
      <c r="G20" s="135" t="s">
        <v>1349</v>
      </c>
      <c r="H20" s="48"/>
    </row>
    <row r="21" spans="1:8">
      <c r="A21" s="48"/>
      <c r="B21" s="48"/>
      <c r="C21" s="48"/>
      <c r="D21" s="48"/>
      <c r="E21" s="48"/>
      <c r="F21" s="48"/>
      <c r="G21" s="48"/>
      <c r="H21" s="48"/>
    </row>
    <row r="22" spans="1:8" ht="15.75">
      <c r="A22" s="196" t="s">
        <v>1354</v>
      </c>
      <c r="B22" s="196"/>
      <c r="C22" s="196"/>
      <c r="D22" s="196"/>
      <c r="E22" s="196"/>
      <c r="F22" s="196"/>
      <c r="G22" s="196"/>
      <c r="H22" s="48"/>
    </row>
    <row r="23" spans="1:8" ht="30" customHeight="1">
      <c r="A23" s="142" t="s">
        <v>1355</v>
      </c>
      <c r="B23" s="161" t="s">
        <v>1356</v>
      </c>
      <c r="C23" s="161"/>
      <c r="D23" s="161"/>
      <c r="E23" s="161"/>
      <c r="F23" s="161"/>
      <c r="G23" s="161"/>
      <c r="H23" s="48"/>
    </row>
    <row r="24" spans="1:8" ht="30" customHeight="1">
      <c r="A24" s="142" t="s">
        <v>1357</v>
      </c>
      <c r="B24" s="161" t="s">
        <v>1358</v>
      </c>
      <c r="C24" s="161"/>
      <c r="D24" s="161"/>
      <c r="E24" s="161"/>
      <c r="F24" s="161"/>
      <c r="G24" s="161"/>
      <c r="H24" s="48"/>
    </row>
    <row r="25" spans="1:8" ht="30" customHeight="1">
      <c r="A25" s="142" t="s">
        <v>1359</v>
      </c>
      <c r="B25" s="161" t="s">
        <v>1360</v>
      </c>
      <c r="C25" s="161"/>
      <c r="D25" s="161"/>
      <c r="E25" s="161"/>
      <c r="F25" s="161"/>
      <c r="G25" s="161"/>
      <c r="H25" s="48"/>
    </row>
    <row r="26" spans="1:8" ht="30" customHeight="1">
      <c r="A26" s="142" t="s">
        <v>1361</v>
      </c>
      <c r="B26" s="161" t="s">
        <v>1362</v>
      </c>
      <c r="C26" s="161"/>
      <c r="D26" s="161"/>
      <c r="E26" s="161"/>
      <c r="F26" s="161"/>
      <c r="G26" s="161"/>
      <c r="H26" s="48"/>
    </row>
    <row r="27" spans="1:8" ht="30" customHeight="1">
      <c r="A27" s="142" t="s">
        <v>1363</v>
      </c>
      <c r="B27" s="161" t="s">
        <v>1364</v>
      </c>
      <c r="C27" s="161"/>
      <c r="D27" s="161"/>
      <c r="E27" s="161"/>
      <c r="F27" s="161"/>
      <c r="G27" s="161"/>
      <c r="H27" s="48"/>
    </row>
    <row r="28" spans="1:8" ht="30" customHeight="1">
      <c r="A28" s="142" t="s">
        <v>1365</v>
      </c>
      <c r="B28" s="161" t="s">
        <v>1366</v>
      </c>
      <c r="C28" s="161"/>
      <c r="D28" s="161"/>
      <c r="E28" s="161"/>
      <c r="F28" s="161"/>
      <c r="G28" s="161"/>
      <c r="H28" s="48"/>
    </row>
    <row r="30" spans="1:8" ht="15.75">
      <c r="A30" s="196" t="s">
        <v>1367</v>
      </c>
      <c r="B30" s="196"/>
      <c r="C30" s="196"/>
      <c r="D30" s="196"/>
      <c r="E30" s="196"/>
      <c r="F30" s="196"/>
      <c r="G30" s="196"/>
      <c r="H30" s="48"/>
    </row>
    <row r="31" spans="1:8">
      <c r="A31" s="137" t="s">
        <v>1368</v>
      </c>
      <c r="B31" s="137" t="s">
        <v>1369</v>
      </c>
      <c r="C31" s="137" t="s">
        <v>1370</v>
      </c>
      <c r="D31" s="137" t="s">
        <v>1371</v>
      </c>
      <c r="E31" s="137" t="s">
        <v>1372</v>
      </c>
      <c r="F31" s="137" t="s">
        <v>1373</v>
      </c>
      <c r="G31" s="137" t="s">
        <v>1317</v>
      </c>
      <c r="H31" s="48"/>
    </row>
    <row r="32" spans="1:8" ht="32.25" customHeight="1">
      <c r="A32" s="135" t="s">
        <v>1374</v>
      </c>
      <c r="B32" s="135" t="s">
        <v>1319</v>
      </c>
      <c r="C32" s="135" t="s">
        <v>1375</v>
      </c>
      <c r="D32" s="135" t="s">
        <v>1376</v>
      </c>
      <c r="E32" s="135" t="s">
        <v>1377</v>
      </c>
      <c r="F32" s="135" t="s">
        <v>1378</v>
      </c>
      <c r="G32" s="135" t="s">
        <v>1324</v>
      </c>
      <c r="H32" s="48"/>
    </row>
    <row r="33" spans="1:8" ht="32.25" customHeight="1">
      <c r="A33" s="135" t="s">
        <v>1379</v>
      </c>
      <c r="B33" s="135" t="s">
        <v>1319</v>
      </c>
      <c r="C33" s="135" t="s">
        <v>1375</v>
      </c>
      <c r="D33" s="135" t="s">
        <v>1376</v>
      </c>
      <c r="E33" s="135" t="s">
        <v>1377</v>
      </c>
      <c r="F33" s="135" t="s">
        <v>1378</v>
      </c>
      <c r="G33" s="135" t="s">
        <v>1325</v>
      </c>
      <c r="H33" s="48"/>
    </row>
    <row r="34" spans="1:8" ht="32.25" customHeight="1">
      <c r="A34" s="135" t="s">
        <v>1380</v>
      </c>
      <c r="B34" s="135" t="s">
        <v>1319</v>
      </c>
      <c r="C34" s="135" t="s">
        <v>1375</v>
      </c>
      <c r="D34" s="135" t="s">
        <v>1376</v>
      </c>
      <c r="E34" s="135" t="s">
        <v>1377</v>
      </c>
      <c r="F34" s="135" t="s">
        <v>1378</v>
      </c>
      <c r="G34" s="135" t="s">
        <v>1327</v>
      </c>
      <c r="H34" s="48"/>
    </row>
    <row r="35" spans="1:8" ht="32.25" customHeight="1">
      <c r="A35" s="135" t="s">
        <v>1381</v>
      </c>
      <c r="B35" s="135" t="s">
        <v>1319</v>
      </c>
      <c r="C35" s="135" t="s">
        <v>1375</v>
      </c>
      <c r="D35" s="135" t="s">
        <v>1376</v>
      </c>
      <c r="E35" s="135" t="s">
        <v>1377</v>
      </c>
      <c r="F35" s="135" t="s">
        <v>1378</v>
      </c>
      <c r="G35" s="135" t="s">
        <v>1329</v>
      </c>
      <c r="H35" s="48"/>
    </row>
    <row r="36" spans="1:8" ht="32.25" customHeight="1">
      <c r="A36" s="135" t="s">
        <v>1382</v>
      </c>
      <c r="B36" s="135" t="s">
        <v>1319</v>
      </c>
      <c r="C36" s="135" t="s">
        <v>1375</v>
      </c>
      <c r="D36" s="135" t="s">
        <v>1376</v>
      </c>
      <c r="E36" s="135" t="s">
        <v>1377</v>
      </c>
      <c r="F36" s="135" t="s">
        <v>1378</v>
      </c>
      <c r="G36" s="135" t="s">
        <v>1331</v>
      </c>
      <c r="H36" s="48"/>
    </row>
    <row r="37" spans="1:8">
      <c r="A37" s="48"/>
      <c r="B37" s="48"/>
      <c r="C37" s="48"/>
      <c r="D37" s="48"/>
      <c r="E37" s="48"/>
      <c r="F37" s="48"/>
      <c r="G37" s="48"/>
      <c r="H37" s="48"/>
    </row>
    <row r="38" spans="1:8" ht="15.75">
      <c r="A38" s="196" t="s">
        <v>1383</v>
      </c>
      <c r="B38" s="196"/>
      <c r="C38" s="196"/>
      <c r="D38" s="196"/>
      <c r="E38" s="196"/>
      <c r="F38" s="196"/>
      <c r="G38" s="196"/>
      <c r="H38" s="48"/>
    </row>
    <row r="39" spans="1:8">
      <c r="A39" s="143" t="s">
        <v>1384</v>
      </c>
      <c r="B39" s="143" t="s">
        <v>1385</v>
      </c>
      <c r="C39" s="143" t="s">
        <v>1386</v>
      </c>
      <c r="D39" s="143" t="s">
        <v>1385</v>
      </c>
      <c r="E39" s="143" t="s">
        <v>1387</v>
      </c>
      <c r="F39" s="143" t="s">
        <v>1385</v>
      </c>
      <c r="G39" s="143" t="s">
        <v>1388</v>
      </c>
      <c r="H39" s="48"/>
    </row>
  </sheetData>
  <mergeCells count="13">
    <mergeCell ref="B23:G23"/>
    <mergeCell ref="A1:G1"/>
    <mergeCell ref="A2:G2"/>
    <mergeCell ref="A4:G4"/>
    <mergeCell ref="A14:G14"/>
    <mergeCell ref="A22:G22"/>
    <mergeCell ref="A38:G38"/>
    <mergeCell ref="B24:G24"/>
    <mergeCell ref="B25:G25"/>
    <mergeCell ref="B26:G26"/>
    <mergeCell ref="B27:G27"/>
    <mergeCell ref="B28:G28"/>
    <mergeCell ref="A30:G3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8C2BC-6E87-4481-BD10-3EF251A3B496}">
  <sheetPr>
    <tabColor theme="2" tint="-0.249977111117893"/>
  </sheetPr>
  <dimension ref="A1:I43"/>
  <sheetViews>
    <sheetView workbookViewId="0"/>
  </sheetViews>
  <sheetFormatPr defaultRowHeight="15"/>
  <cols>
    <col min="1" max="1" width="36.140625" customWidth="1"/>
    <col min="2" max="4" width="28.5703125" customWidth="1"/>
    <col min="5" max="5" width="34.28515625" customWidth="1"/>
    <col min="6" max="6" width="32.42578125" customWidth="1"/>
    <col min="7" max="8" width="38.140625" customWidth="1"/>
  </cols>
  <sheetData>
    <row r="1" spans="1:9" ht="27.75" customHeight="1">
      <c r="A1" s="159" t="s">
        <v>1389</v>
      </c>
      <c r="B1" s="159"/>
      <c r="C1" s="159"/>
      <c r="D1" s="159"/>
      <c r="E1" s="159"/>
      <c r="F1" s="159"/>
      <c r="G1" s="159"/>
      <c r="H1" s="159"/>
      <c r="I1" s="48"/>
    </row>
    <row r="2" spans="1:9" ht="39.75" customHeight="1">
      <c r="A2" s="160" t="s">
        <v>1390</v>
      </c>
      <c r="B2" s="160"/>
      <c r="C2" s="160"/>
      <c r="D2" s="160"/>
      <c r="E2" s="160"/>
      <c r="F2" s="160"/>
      <c r="G2" s="160"/>
      <c r="H2" s="160"/>
      <c r="I2" s="48"/>
    </row>
    <row r="4" spans="1:9" ht="15.75">
      <c r="A4" s="196" t="s">
        <v>1391</v>
      </c>
      <c r="B4" s="196"/>
      <c r="C4" s="196"/>
      <c r="D4" s="196"/>
      <c r="E4" s="196"/>
      <c r="F4" s="196"/>
      <c r="G4" s="196"/>
      <c r="H4" s="196"/>
      <c r="I4" s="48"/>
    </row>
    <row r="5" spans="1:9" ht="42" customHeight="1">
      <c r="A5" s="138" t="s">
        <v>1392</v>
      </c>
      <c r="B5" s="138" t="s">
        <v>1393</v>
      </c>
      <c r="C5" s="138" t="s">
        <v>1394</v>
      </c>
      <c r="D5" s="138" t="s">
        <v>1395</v>
      </c>
      <c r="E5" s="138" t="s">
        <v>1396</v>
      </c>
      <c r="F5" s="138" t="s">
        <v>1397</v>
      </c>
      <c r="G5" s="138" t="s">
        <v>1398</v>
      </c>
      <c r="H5" s="138" t="s">
        <v>1399</v>
      </c>
      <c r="I5" s="48"/>
    </row>
    <row r="6" spans="1:9">
      <c r="A6" s="135" t="s">
        <v>1400</v>
      </c>
      <c r="B6" s="135" t="s">
        <v>1401</v>
      </c>
      <c r="C6" s="135" t="s">
        <v>1402</v>
      </c>
      <c r="D6" s="135" t="s">
        <v>1345</v>
      </c>
      <c r="E6" s="135" t="s">
        <v>1403</v>
      </c>
      <c r="F6" s="135" t="s">
        <v>1404</v>
      </c>
      <c r="G6" s="135" t="s">
        <v>1405</v>
      </c>
      <c r="H6" s="135" t="s">
        <v>1406</v>
      </c>
      <c r="I6" s="48"/>
    </row>
    <row r="7" spans="1:9">
      <c r="A7" s="135" t="s">
        <v>1400</v>
      </c>
      <c r="B7" s="135" t="s">
        <v>1401</v>
      </c>
      <c r="C7" s="135" t="s">
        <v>1402</v>
      </c>
      <c r="D7" s="135" t="s">
        <v>1345</v>
      </c>
      <c r="E7" s="135" t="s">
        <v>1403</v>
      </c>
      <c r="F7" s="135" t="s">
        <v>1404</v>
      </c>
      <c r="G7" s="135" t="s">
        <v>1405</v>
      </c>
      <c r="H7" s="135" t="s">
        <v>1406</v>
      </c>
      <c r="I7" s="48"/>
    </row>
    <row r="8" spans="1:9">
      <c r="A8" s="135" t="s">
        <v>1400</v>
      </c>
      <c r="B8" s="135" t="s">
        <v>1401</v>
      </c>
      <c r="C8" s="135" t="s">
        <v>1402</v>
      </c>
      <c r="D8" s="135" t="s">
        <v>1345</v>
      </c>
      <c r="E8" s="135" t="s">
        <v>1403</v>
      </c>
      <c r="F8" s="135" t="s">
        <v>1404</v>
      </c>
      <c r="G8" s="135" t="s">
        <v>1405</v>
      </c>
      <c r="H8" s="135" t="s">
        <v>1406</v>
      </c>
      <c r="I8" s="48"/>
    </row>
    <row r="9" spans="1:9">
      <c r="A9" s="135" t="s">
        <v>1400</v>
      </c>
      <c r="B9" s="135" t="s">
        <v>1401</v>
      </c>
      <c r="C9" s="135" t="s">
        <v>1402</v>
      </c>
      <c r="D9" s="135" t="s">
        <v>1345</v>
      </c>
      <c r="E9" s="135" t="s">
        <v>1403</v>
      </c>
      <c r="F9" s="135" t="s">
        <v>1404</v>
      </c>
      <c r="G9" s="135" t="s">
        <v>1405</v>
      </c>
      <c r="H9" s="135" t="s">
        <v>1406</v>
      </c>
      <c r="I9" s="48"/>
    </row>
    <row r="10" spans="1:9">
      <c r="A10" s="135" t="s">
        <v>1400</v>
      </c>
      <c r="B10" s="135" t="s">
        <v>1401</v>
      </c>
      <c r="C10" s="135" t="s">
        <v>1402</v>
      </c>
      <c r="D10" s="135" t="s">
        <v>1345</v>
      </c>
      <c r="E10" s="135" t="s">
        <v>1403</v>
      </c>
      <c r="F10" s="135" t="s">
        <v>1404</v>
      </c>
      <c r="G10" s="135" t="s">
        <v>1405</v>
      </c>
      <c r="H10" s="135" t="s">
        <v>1406</v>
      </c>
      <c r="I10" s="48"/>
    </row>
    <row r="11" spans="1:9">
      <c r="A11" s="135" t="s">
        <v>1400</v>
      </c>
      <c r="B11" s="135" t="s">
        <v>1401</v>
      </c>
      <c r="C11" s="135" t="s">
        <v>1402</v>
      </c>
      <c r="D11" s="135" t="s">
        <v>1345</v>
      </c>
      <c r="E11" s="135" t="s">
        <v>1403</v>
      </c>
      <c r="F11" s="135" t="s">
        <v>1404</v>
      </c>
      <c r="G11" s="135" t="s">
        <v>1405</v>
      </c>
      <c r="H11" s="135" t="s">
        <v>1406</v>
      </c>
      <c r="I11" s="48"/>
    </row>
    <row r="12" spans="1:9">
      <c r="A12" s="48"/>
      <c r="B12" s="48"/>
      <c r="C12" s="48"/>
      <c r="D12" s="48"/>
      <c r="E12" s="48"/>
      <c r="F12" s="48"/>
      <c r="G12" s="48"/>
      <c r="H12" s="48"/>
      <c r="I12" s="48"/>
    </row>
    <row r="13" spans="1:9" ht="15.75">
      <c r="A13" s="196" t="s">
        <v>1407</v>
      </c>
      <c r="B13" s="196"/>
      <c r="C13" s="196"/>
      <c r="D13" s="196"/>
      <c r="E13" s="196"/>
      <c r="F13" s="196"/>
      <c r="G13" s="196"/>
      <c r="H13" s="196"/>
      <c r="I13" s="48"/>
    </row>
    <row r="14" spans="1:9" ht="42" customHeight="1">
      <c r="A14" s="138" t="s">
        <v>1408</v>
      </c>
      <c r="B14" s="138" t="s">
        <v>1409</v>
      </c>
      <c r="C14" s="138" t="s">
        <v>1410</v>
      </c>
      <c r="D14" s="138" t="s">
        <v>1411</v>
      </c>
      <c r="E14" s="138" t="s">
        <v>1412</v>
      </c>
      <c r="F14" s="138" t="s">
        <v>1413</v>
      </c>
      <c r="G14" s="138" t="s">
        <v>1414</v>
      </c>
      <c r="H14" s="138" t="s">
        <v>1415</v>
      </c>
      <c r="I14" s="48"/>
    </row>
    <row r="15" spans="1:9">
      <c r="A15" s="135" t="s">
        <v>1416</v>
      </c>
      <c r="B15" s="135" t="s">
        <v>1417</v>
      </c>
      <c r="C15" s="135" t="s">
        <v>1418</v>
      </c>
      <c r="D15" s="135" t="s">
        <v>1419</v>
      </c>
      <c r="E15" s="135" t="s">
        <v>1420</v>
      </c>
      <c r="F15" s="135" t="s">
        <v>1421</v>
      </c>
      <c r="G15" s="135" t="s">
        <v>1422</v>
      </c>
      <c r="H15" s="135" t="s">
        <v>1423</v>
      </c>
      <c r="I15" s="48"/>
    </row>
    <row r="16" spans="1:9">
      <c r="A16" s="135" t="s">
        <v>1416</v>
      </c>
      <c r="B16" s="135" t="s">
        <v>1417</v>
      </c>
      <c r="C16" s="135" t="s">
        <v>1418</v>
      </c>
      <c r="D16" s="135" t="s">
        <v>1419</v>
      </c>
      <c r="E16" s="135" t="s">
        <v>1420</v>
      </c>
      <c r="F16" s="135" t="s">
        <v>1421</v>
      </c>
      <c r="G16" s="135" t="s">
        <v>1422</v>
      </c>
      <c r="H16" s="135" t="s">
        <v>1423</v>
      </c>
      <c r="I16" s="48"/>
    </row>
    <row r="17" spans="1:9">
      <c r="A17" s="135" t="s">
        <v>1416</v>
      </c>
      <c r="B17" s="135" t="s">
        <v>1417</v>
      </c>
      <c r="C17" s="135" t="s">
        <v>1418</v>
      </c>
      <c r="D17" s="135" t="s">
        <v>1419</v>
      </c>
      <c r="E17" s="135" t="s">
        <v>1420</v>
      </c>
      <c r="F17" s="135" t="s">
        <v>1421</v>
      </c>
      <c r="G17" s="135" t="s">
        <v>1422</v>
      </c>
      <c r="H17" s="135" t="s">
        <v>1423</v>
      </c>
      <c r="I17" s="48"/>
    </row>
    <row r="18" spans="1:9">
      <c r="A18" s="135" t="s">
        <v>1416</v>
      </c>
      <c r="B18" s="135" t="s">
        <v>1417</v>
      </c>
      <c r="C18" s="135" t="s">
        <v>1418</v>
      </c>
      <c r="D18" s="135" t="s">
        <v>1419</v>
      </c>
      <c r="E18" s="135" t="s">
        <v>1420</v>
      </c>
      <c r="F18" s="135" t="s">
        <v>1421</v>
      </c>
      <c r="G18" s="135" t="s">
        <v>1422</v>
      </c>
      <c r="H18" s="135" t="s">
        <v>1423</v>
      </c>
      <c r="I18" s="48"/>
    </row>
    <row r="19" spans="1:9">
      <c r="A19" s="135" t="s">
        <v>1416</v>
      </c>
      <c r="B19" s="135" t="s">
        <v>1417</v>
      </c>
      <c r="C19" s="135" t="s">
        <v>1418</v>
      </c>
      <c r="D19" s="135" t="s">
        <v>1419</v>
      </c>
      <c r="E19" s="135" t="s">
        <v>1420</v>
      </c>
      <c r="F19" s="135" t="s">
        <v>1421</v>
      </c>
      <c r="G19" s="135" t="s">
        <v>1422</v>
      </c>
      <c r="H19" s="135" t="s">
        <v>1423</v>
      </c>
      <c r="I19" s="48"/>
    </row>
    <row r="20" spans="1:9">
      <c r="A20" s="135" t="s">
        <v>1416</v>
      </c>
      <c r="B20" s="135" t="s">
        <v>1417</v>
      </c>
      <c r="C20" s="135" t="s">
        <v>1418</v>
      </c>
      <c r="D20" s="135" t="s">
        <v>1419</v>
      </c>
      <c r="E20" s="135" t="s">
        <v>1420</v>
      </c>
      <c r="F20" s="135" t="s">
        <v>1421</v>
      </c>
      <c r="G20" s="135" t="s">
        <v>1422</v>
      </c>
      <c r="H20" s="135" t="s">
        <v>1423</v>
      </c>
      <c r="I20" s="48"/>
    </row>
    <row r="21" spans="1:9">
      <c r="A21" s="48"/>
      <c r="B21" s="48"/>
      <c r="C21" s="48"/>
      <c r="D21" s="48"/>
      <c r="E21" s="48"/>
      <c r="F21" s="48"/>
      <c r="G21" s="48"/>
      <c r="H21" s="48"/>
      <c r="I21" s="48"/>
    </row>
    <row r="22" spans="1:9" ht="15.75">
      <c r="A22" s="196" t="s">
        <v>1424</v>
      </c>
      <c r="B22" s="196"/>
      <c r="C22" s="196"/>
      <c r="D22" s="196"/>
      <c r="E22" s="196"/>
      <c r="F22" s="196"/>
      <c r="G22" s="196"/>
      <c r="H22" s="196"/>
      <c r="I22" s="48"/>
    </row>
    <row r="23" spans="1:9" ht="42" customHeight="1">
      <c r="A23" s="138" t="s">
        <v>1425</v>
      </c>
      <c r="B23" s="138" t="s">
        <v>1426</v>
      </c>
      <c r="C23" s="138" t="s">
        <v>1427</v>
      </c>
      <c r="D23" s="138" t="s">
        <v>1428</v>
      </c>
      <c r="E23" s="138" t="s">
        <v>1429</v>
      </c>
      <c r="F23" s="138" t="s">
        <v>1430</v>
      </c>
      <c r="G23" s="138" t="s">
        <v>1431</v>
      </c>
      <c r="H23" s="138" t="s">
        <v>70</v>
      </c>
      <c r="I23" s="48"/>
    </row>
    <row r="24" spans="1:9">
      <c r="A24" s="135" t="s">
        <v>1432</v>
      </c>
      <c r="B24" s="135" t="s">
        <v>1433</v>
      </c>
      <c r="C24" s="135" t="s">
        <v>1434</v>
      </c>
      <c r="D24" s="135" t="s">
        <v>1434</v>
      </c>
      <c r="E24" s="135" t="s">
        <v>1435</v>
      </c>
      <c r="F24" s="135" t="s">
        <v>1436</v>
      </c>
      <c r="G24" s="135" t="s">
        <v>1437</v>
      </c>
      <c r="H24" s="135" t="s">
        <v>1349</v>
      </c>
      <c r="I24" s="48"/>
    </row>
    <row r="25" spans="1:9">
      <c r="A25" s="135" t="s">
        <v>1438</v>
      </c>
      <c r="B25" s="135" t="s">
        <v>1433</v>
      </c>
      <c r="C25" s="135" t="s">
        <v>1434</v>
      </c>
      <c r="D25" s="135" t="s">
        <v>1434</v>
      </c>
      <c r="E25" s="135" t="s">
        <v>1435</v>
      </c>
      <c r="F25" s="135" t="s">
        <v>1436</v>
      </c>
      <c r="G25" s="135" t="s">
        <v>1437</v>
      </c>
      <c r="H25" s="135" t="s">
        <v>1349</v>
      </c>
      <c r="I25" s="48"/>
    </row>
    <row r="26" spans="1:9">
      <c r="A26" s="135" t="s">
        <v>1439</v>
      </c>
      <c r="B26" s="135" t="s">
        <v>1433</v>
      </c>
      <c r="C26" s="135" t="s">
        <v>1434</v>
      </c>
      <c r="D26" s="135" t="s">
        <v>1434</v>
      </c>
      <c r="E26" s="135" t="s">
        <v>1435</v>
      </c>
      <c r="F26" s="135" t="s">
        <v>1436</v>
      </c>
      <c r="G26" s="135" t="s">
        <v>1437</v>
      </c>
      <c r="H26" s="135" t="s">
        <v>1349</v>
      </c>
      <c r="I26" s="48"/>
    </row>
    <row r="27" spans="1:9">
      <c r="A27" s="135" t="s">
        <v>1440</v>
      </c>
      <c r="B27" s="135" t="s">
        <v>1433</v>
      </c>
      <c r="C27" s="135" t="s">
        <v>1434</v>
      </c>
      <c r="D27" s="135" t="s">
        <v>1434</v>
      </c>
      <c r="E27" s="135" t="s">
        <v>1435</v>
      </c>
      <c r="F27" s="135" t="s">
        <v>1436</v>
      </c>
      <c r="G27" s="135" t="s">
        <v>1437</v>
      </c>
      <c r="H27" s="135" t="s">
        <v>1349</v>
      </c>
      <c r="I27" s="48"/>
    </row>
    <row r="28" spans="1:9">
      <c r="A28" s="135" t="s">
        <v>1441</v>
      </c>
      <c r="B28" s="135" t="s">
        <v>1433</v>
      </c>
      <c r="C28" s="135" t="s">
        <v>1434</v>
      </c>
      <c r="D28" s="135" t="s">
        <v>1434</v>
      </c>
      <c r="E28" s="135" t="s">
        <v>1435</v>
      </c>
      <c r="F28" s="135" t="s">
        <v>1436</v>
      </c>
      <c r="G28" s="135" t="s">
        <v>1437</v>
      </c>
      <c r="H28" s="135" t="s">
        <v>1349</v>
      </c>
      <c r="I28" s="48"/>
    </row>
    <row r="29" spans="1:9">
      <c r="A29" s="135" t="s">
        <v>1442</v>
      </c>
      <c r="B29" s="135" t="s">
        <v>1433</v>
      </c>
      <c r="C29" s="135" t="s">
        <v>1434</v>
      </c>
      <c r="D29" s="135" t="s">
        <v>1434</v>
      </c>
      <c r="E29" s="135" t="s">
        <v>1435</v>
      </c>
      <c r="F29" s="135" t="s">
        <v>1436</v>
      </c>
      <c r="G29" s="135" t="s">
        <v>1437</v>
      </c>
      <c r="H29" s="135" t="s">
        <v>1349</v>
      </c>
      <c r="I29" s="48"/>
    </row>
    <row r="30" spans="1:9">
      <c r="A30" s="48"/>
      <c r="B30" s="48"/>
      <c r="C30" s="48"/>
      <c r="D30" s="48"/>
      <c r="E30" s="48"/>
      <c r="F30" s="48"/>
      <c r="G30" s="48"/>
      <c r="H30" s="48"/>
      <c r="I30" s="48"/>
    </row>
    <row r="31" spans="1:9" ht="15.75">
      <c r="A31" s="196" t="s">
        <v>1443</v>
      </c>
      <c r="B31" s="196"/>
      <c r="C31" s="196"/>
      <c r="D31" s="196"/>
      <c r="E31" s="196"/>
      <c r="F31" s="196"/>
      <c r="G31" s="196"/>
      <c r="H31" s="196"/>
      <c r="I31" s="48"/>
    </row>
    <row r="32" spans="1:9" ht="42" customHeight="1">
      <c r="A32" s="138" t="s">
        <v>1444</v>
      </c>
      <c r="B32" s="138" t="s">
        <v>1445</v>
      </c>
      <c r="C32" s="138" t="s">
        <v>1446</v>
      </c>
      <c r="D32" s="138" t="s">
        <v>1447</v>
      </c>
      <c r="E32" s="138" t="s">
        <v>1448</v>
      </c>
      <c r="F32" s="138" t="s">
        <v>1449</v>
      </c>
      <c r="G32" s="138" t="s">
        <v>495</v>
      </c>
      <c r="H32" s="138" t="s">
        <v>1450</v>
      </c>
      <c r="I32" s="48"/>
    </row>
    <row r="33" spans="1:9">
      <c r="A33" s="135" t="s">
        <v>1451</v>
      </c>
      <c r="B33" s="135" t="s">
        <v>1452</v>
      </c>
      <c r="C33" s="135" t="s">
        <v>1453</v>
      </c>
      <c r="D33" s="135" t="s">
        <v>1454</v>
      </c>
      <c r="E33" s="135" t="s">
        <v>1455</v>
      </c>
      <c r="F33" s="135" t="s">
        <v>1456</v>
      </c>
      <c r="G33" s="135" t="s">
        <v>1457</v>
      </c>
      <c r="H33" s="135" t="s">
        <v>1458</v>
      </c>
      <c r="I33" s="48"/>
    </row>
    <row r="34" spans="1:9">
      <c r="A34" s="135" t="s">
        <v>1459</v>
      </c>
      <c r="B34" s="135" t="s">
        <v>1452</v>
      </c>
      <c r="C34" s="135" t="s">
        <v>1453</v>
      </c>
      <c r="D34" s="135" t="s">
        <v>1454</v>
      </c>
      <c r="E34" s="135" t="s">
        <v>1455</v>
      </c>
      <c r="F34" s="135" t="s">
        <v>1456</v>
      </c>
      <c r="G34" s="135" t="s">
        <v>1457</v>
      </c>
      <c r="H34" s="135" t="s">
        <v>1458</v>
      </c>
      <c r="I34" s="48"/>
    </row>
    <row r="35" spans="1:9">
      <c r="A35" s="135" t="s">
        <v>1460</v>
      </c>
      <c r="B35" s="135" t="s">
        <v>1452</v>
      </c>
      <c r="C35" s="135" t="s">
        <v>1453</v>
      </c>
      <c r="D35" s="135" t="s">
        <v>1454</v>
      </c>
      <c r="E35" s="135" t="s">
        <v>1455</v>
      </c>
      <c r="F35" s="135" t="s">
        <v>1456</v>
      </c>
      <c r="G35" s="135" t="s">
        <v>1457</v>
      </c>
      <c r="H35" s="135" t="s">
        <v>1458</v>
      </c>
      <c r="I35" s="48"/>
    </row>
    <row r="36" spans="1:9">
      <c r="A36" s="135" t="s">
        <v>1461</v>
      </c>
      <c r="B36" s="135" t="s">
        <v>1452</v>
      </c>
      <c r="C36" s="135" t="s">
        <v>1453</v>
      </c>
      <c r="D36" s="135" t="s">
        <v>1454</v>
      </c>
      <c r="E36" s="135" t="s">
        <v>1455</v>
      </c>
      <c r="F36" s="135" t="s">
        <v>1456</v>
      </c>
      <c r="G36" s="135" t="s">
        <v>1457</v>
      </c>
      <c r="H36" s="135" t="s">
        <v>1458</v>
      </c>
      <c r="I36" s="48"/>
    </row>
    <row r="37" spans="1:9">
      <c r="A37" s="135" t="s">
        <v>1462</v>
      </c>
      <c r="B37" s="135" t="s">
        <v>1452</v>
      </c>
      <c r="C37" s="135" t="s">
        <v>1453</v>
      </c>
      <c r="D37" s="135" t="s">
        <v>1454</v>
      </c>
      <c r="E37" s="135" t="s">
        <v>1455</v>
      </c>
      <c r="F37" s="135" t="s">
        <v>1456</v>
      </c>
      <c r="G37" s="135" t="s">
        <v>1457</v>
      </c>
      <c r="H37" s="135" t="s">
        <v>1458</v>
      </c>
      <c r="I37" s="48"/>
    </row>
    <row r="38" spans="1:9">
      <c r="A38" s="135" t="s">
        <v>1463</v>
      </c>
      <c r="B38" s="135" t="s">
        <v>1452</v>
      </c>
      <c r="C38" s="135" t="s">
        <v>1453</v>
      </c>
      <c r="D38" s="135" t="s">
        <v>1454</v>
      </c>
      <c r="E38" s="135" t="s">
        <v>1455</v>
      </c>
      <c r="F38" s="135" t="s">
        <v>1456</v>
      </c>
      <c r="G38" s="135" t="s">
        <v>1457</v>
      </c>
      <c r="H38" s="135" t="s">
        <v>1458</v>
      </c>
      <c r="I38" s="48"/>
    </row>
    <row r="39" spans="1:9">
      <c r="A39" s="48"/>
      <c r="B39" s="48"/>
      <c r="C39" s="48"/>
      <c r="D39" s="48"/>
      <c r="E39" s="48"/>
      <c r="F39" s="48"/>
      <c r="G39" s="48"/>
      <c r="H39" s="48"/>
      <c r="I39" s="48"/>
    </row>
    <row r="40" spans="1:9" ht="15.75">
      <c r="A40" s="196" t="s">
        <v>1464</v>
      </c>
      <c r="B40" s="196"/>
      <c r="C40" s="196"/>
      <c r="D40" s="196"/>
      <c r="E40" s="196"/>
      <c r="F40" s="196"/>
      <c r="G40" s="196"/>
      <c r="H40" s="196"/>
      <c r="I40" s="48"/>
    </row>
    <row r="41" spans="1:9">
      <c r="A41" s="142" t="s">
        <v>1465</v>
      </c>
      <c r="B41" s="161" t="s">
        <v>1466</v>
      </c>
      <c r="C41" s="161"/>
      <c r="D41" s="161"/>
      <c r="E41" s="161"/>
      <c r="F41" s="161"/>
      <c r="G41" s="161"/>
      <c r="H41" s="161"/>
      <c r="I41" s="48"/>
    </row>
    <row r="42" spans="1:9" ht="27">
      <c r="A42" s="142" t="s">
        <v>1467</v>
      </c>
      <c r="B42" s="161" t="s">
        <v>1468</v>
      </c>
      <c r="C42" s="161"/>
      <c r="D42" s="161"/>
      <c r="E42" s="161"/>
      <c r="F42" s="161"/>
      <c r="G42" s="161"/>
      <c r="H42" s="161"/>
      <c r="I42" s="48"/>
    </row>
    <row r="43" spans="1:9" ht="27">
      <c r="A43" s="142" t="s">
        <v>1469</v>
      </c>
      <c r="B43" s="161" t="s">
        <v>1470</v>
      </c>
      <c r="C43" s="161"/>
      <c r="D43" s="161"/>
      <c r="E43" s="161"/>
      <c r="F43" s="161"/>
      <c r="G43" s="161"/>
      <c r="H43" s="161"/>
      <c r="I43" s="48"/>
    </row>
  </sheetData>
  <mergeCells count="10">
    <mergeCell ref="A40:H40"/>
    <mergeCell ref="B41:H41"/>
    <mergeCell ref="B42:H42"/>
    <mergeCell ref="B43:H43"/>
    <mergeCell ref="A1:H1"/>
    <mergeCell ref="A2:H2"/>
    <mergeCell ref="A4:H4"/>
    <mergeCell ref="A13:H13"/>
    <mergeCell ref="A22:H22"/>
    <mergeCell ref="A31:H3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2FA3-8DD4-4DB4-B68F-542C36896A60}">
  <sheetPr>
    <tabColor theme="2" tint="-0.249977111117893"/>
  </sheetPr>
  <dimension ref="A1:G27"/>
  <sheetViews>
    <sheetView workbookViewId="0">
      <selection sqref="A1:F1"/>
    </sheetView>
  </sheetViews>
  <sheetFormatPr defaultRowHeight="15"/>
  <cols>
    <col min="1" max="1" width="43.85546875" customWidth="1"/>
    <col min="2" max="2" width="41.85546875" customWidth="1"/>
    <col min="3" max="5" width="32.42578125" customWidth="1"/>
    <col min="6" max="6" width="38.140625" customWidth="1"/>
  </cols>
  <sheetData>
    <row r="1" spans="1:7" ht="27.75" customHeight="1">
      <c r="A1" s="159" t="s">
        <v>1471</v>
      </c>
      <c r="B1" s="159"/>
      <c r="C1" s="159"/>
      <c r="D1" s="159"/>
      <c r="E1" s="159"/>
      <c r="F1" s="159"/>
      <c r="G1" s="48"/>
    </row>
    <row r="2" spans="1:7" ht="39.75" customHeight="1">
      <c r="A2" s="160" t="s">
        <v>1472</v>
      </c>
      <c r="B2" s="160"/>
      <c r="C2" s="160"/>
      <c r="D2" s="160"/>
      <c r="E2" s="160"/>
      <c r="F2" s="160"/>
      <c r="G2" s="48"/>
    </row>
    <row r="4" spans="1:7" ht="21.75" customHeight="1">
      <c r="A4" s="163" t="s">
        <v>1473</v>
      </c>
      <c r="B4" s="163"/>
      <c r="C4" s="163"/>
      <c r="D4" s="163"/>
      <c r="E4" s="163"/>
      <c r="F4" s="163"/>
      <c r="G4" s="48"/>
    </row>
    <row r="5" spans="1:7" ht="39.75" customHeight="1">
      <c r="A5" s="139" t="s">
        <v>1474</v>
      </c>
      <c r="B5" s="139" t="s">
        <v>1475</v>
      </c>
      <c r="C5" s="139" t="s">
        <v>1476</v>
      </c>
      <c r="D5" s="139" t="s">
        <v>1477</v>
      </c>
      <c r="E5" s="139" t="s">
        <v>1478</v>
      </c>
      <c r="F5" s="139" t="s">
        <v>1479</v>
      </c>
      <c r="G5" s="48"/>
    </row>
    <row r="6" spans="1:7" ht="30.75">
      <c r="A6" s="140" t="s">
        <v>1480</v>
      </c>
      <c r="B6" s="141" t="s">
        <v>1481</v>
      </c>
      <c r="C6" s="141" t="s">
        <v>1482</v>
      </c>
      <c r="D6" s="141" t="s">
        <v>1483</v>
      </c>
      <c r="E6" s="141" t="s">
        <v>1484</v>
      </c>
      <c r="F6" s="141" t="s">
        <v>1485</v>
      </c>
      <c r="G6" s="48"/>
    </row>
    <row r="7" spans="1:7">
      <c r="A7" s="140" t="s">
        <v>1486</v>
      </c>
      <c r="B7" s="141" t="s">
        <v>1487</v>
      </c>
      <c r="C7" s="141" t="s">
        <v>1488</v>
      </c>
      <c r="D7" s="141" t="s">
        <v>1489</v>
      </c>
      <c r="E7" s="141" t="s">
        <v>1490</v>
      </c>
      <c r="F7" s="141" t="s">
        <v>1491</v>
      </c>
      <c r="G7" s="48"/>
    </row>
    <row r="8" spans="1:7" ht="30.75">
      <c r="A8" s="140" t="s">
        <v>1492</v>
      </c>
      <c r="B8" s="141" t="s">
        <v>1493</v>
      </c>
      <c r="C8" s="141" t="s">
        <v>1494</v>
      </c>
      <c r="D8" s="141" t="s">
        <v>1495</v>
      </c>
      <c r="E8" s="141" t="s">
        <v>1496</v>
      </c>
      <c r="F8" s="141" t="s">
        <v>1497</v>
      </c>
      <c r="G8" s="48"/>
    </row>
    <row r="9" spans="1:7">
      <c r="A9" s="140" t="s">
        <v>1498</v>
      </c>
      <c r="B9" s="141" t="s">
        <v>1499</v>
      </c>
      <c r="C9" s="141" t="s">
        <v>1500</v>
      </c>
      <c r="D9" s="141" t="s">
        <v>1501</v>
      </c>
      <c r="E9" s="141" t="s">
        <v>1502</v>
      </c>
      <c r="F9" s="141" t="s">
        <v>1503</v>
      </c>
      <c r="G9" s="48"/>
    </row>
    <row r="10" spans="1:7">
      <c r="A10" s="140" t="s">
        <v>1504</v>
      </c>
      <c r="B10" s="141" t="s">
        <v>1505</v>
      </c>
      <c r="C10" s="141" t="s">
        <v>1506</v>
      </c>
      <c r="D10" s="141" t="s">
        <v>1507</v>
      </c>
      <c r="E10" s="141" t="s">
        <v>1508</v>
      </c>
      <c r="F10" s="141" t="s">
        <v>1509</v>
      </c>
      <c r="G10" s="48"/>
    </row>
    <row r="11" spans="1:7">
      <c r="A11" s="140" t="s">
        <v>1510</v>
      </c>
      <c r="B11" s="141" t="s">
        <v>1511</v>
      </c>
      <c r="C11" s="141" t="s">
        <v>1512</v>
      </c>
      <c r="D11" s="141" t="s">
        <v>1513</v>
      </c>
      <c r="E11" s="141" t="s">
        <v>1514</v>
      </c>
      <c r="F11" s="141" t="s">
        <v>1515</v>
      </c>
      <c r="G11" s="48"/>
    </row>
    <row r="12" spans="1:7">
      <c r="A12" s="140" t="s">
        <v>1516</v>
      </c>
      <c r="B12" s="141" t="s">
        <v>1517</v>
      </c>
      <c r="C12" s="141" t="s">
        <v>1518</v>
      </c>
      <c r="D12" s="141" t="s">
        <v>1519</v>
      </c>
      <c r="E12" s="141" t="s">
        <v>1520</v>
      </c>
      <c r="F12" s="141" t="s">
        <v>1521</v>
      </c>
      <c r="G12" s="48"/>
    </row>
    <row r="13" spans="1:7">
      <c r="A13" s="48"/>
      <c r="B13" s="48"/>
      <c r="C13" s="48"/>
      <c r="D13" s="48"/>
      <c r="E13" s="48"/>
      <c r="F13" s="48"/>
      <c r="G13" s="48"/>
    </row>
    <row r="14" spans="1:7" ht="21.75" customHeight="1">
      <c r="A14" s="163" t="s">
        <v>1522</v>
      </c>
      <c r="B14" s="163"/>
      <c r="C14" s="163"/>
      <c r="D14" s="163"/>
      <c r="E14" s="163"/>
      <c r="F14" s="163"/>
      <c r="G14" s="48"/>
    </row>
    <row r="15" spans="1:7" ht="30" customHeight="1">
      <c r="A15" s="139" t="s">
        <v>1523</v>
      </c>
      <c r="B15" s="164" t="s">
        <v>1524</v>
      </c>
      <c r="C15" s="164"/>
      <c r="D15" s="164"/>
      <c r="E15" s="164"/>
      <c r="F15" s="139" t="s">
        <v>1525</v>
      </c>
      <c r="G15" s="48"/>
    </row>
    <row r="16" spans="1:7">
      <c r="A16" s="140" t="s">
        <v>1526</v>
      </c>
      <c r="B16" s="162" t="s">
        <v>1527</v>
      </c>
      <c r="C16" s="162"/>
      <c r="D16" s="162"/>
      <c r="E16" s="162"/>
      <c r="F16" s="141" t="s">
        <v>1528</v>
      </c>
      <c r="G16" s="48"/>
    </row>
    <row r="17" spans="1:7">
      <c r="A17" s="140" t="s">
        <v>1529</v>
      </c>
      <c r="B17" s="162" t="s">
        <v>1530</v>
      </c>
      <c r="C17" s="162"/>
      <c r="D17" s="162"/>
      <c r="E17" s="162"/>
      <c r="F17" s="141" t="s">
        <v>1528</v>
      </c>
      <c r="G17" s="48"/>
    </row>
    <row r="18" spans="1:7">
      <c r="A18" s="140" t="s">
        <v>1531</v>
      </c>
      <c r="B18" s="162" t="s">
        <v>1532</v>
      </c>
      <c r="C18" s="162"/>
      <c r="D18" s="162"/>
      <c r="E18" s="162"/>
      <c r="F18" s="141" t="s">
        <v>1528</v>
      </c>
      <c r="G18" s="48"/>
    </row>
    <row r="19" spans="1:7">
      <c r="A19" s="140" t="s">
        <v>1533</v>
      </c>
      <c r="B19" s="162" t="s">
        <v>1534</v>
      </c>
      <c r="C19" s="162"/>
      <c r="D19" s="162"/>
      <c r="E19" s="162"/>
      <c r="F19" s="141" t="s">
        <v>1528</v>
      </c>
      <c r="G19" s="48"/>
    </row>
    <row r="20" spans="1:7">
      <c r="A20" s="140" t="s">
        <v>1535</v>
      </c>
      <c r="B20" s="162" t="s">
        <v>1536</v>
      </c>
      <c r="C20" s="162"/>
      <c r="D20" s="162"/>
      <c r="E20" s="162"/>
      <c r="F20" s="141" t="s">
        <v>1528</v>
      </c>
      <c r="G20" s="48"/>
    </row>
    <row r="21" spans="1:7">
      <c r="A21" s="140" t="s">
        <v>1537</v>
      </c>
      <c r="B21" s="162" t="s">
        <v>1538</v>
      </c>
      <c r="C21" s="162"/>
      <c r="D21" s="162"/>
      <c r="E21" s="162"/>
      <c r="F21" s="141" t="s">
        <v>1528</v>
      </c>
      <c r="G21" s="48"/>
    </row>
    <row r="22" spans="1:7">
      <c r="A22" s="140" t="s">
        <v>1539</v>
      </c>
      <c r="B22" s="162" t="s">
        <v>1540</v>
      </c>
      <c r="C22" s="162"/>
      <c r="D22" s="162"/>
      <c r="E22" s="162"/>
      <c r="F22" s="141" t="s">
        <v>1528</v>
      </c>
      <c r="G22" s="48"/>
    </row>
    <row r="23" spans="1:7">
      <c r="A23" s="140" t="s">
        <v>1541</v>
      </c>
      <c r="B23" s="162" t="s">
        <v>1542</v>
      </c>
      <c r="C23" s="162"/>
      <c r="D23" s="162"/>
      <c r="E23" s="162"/>
      <c r="F23" s="141" t="s">
        <v>1528</v>
      </c>
      <c r="G23" s="48"/>
    </row>
    <row r="24" spans="1:7">
      <c r="A24" s="140" t="s">
        <v>1543</v>
      </c>
      <c r="B24" s="162" t="s">
        <v>1544</v>
      </c>
      <c r="C24" s="162"/>
      <c r="D24" s="162"/>
      <c r="E24" s="162"/>
      <c r="F24" s="141" t="s">
        <v>1528</v>
      </c>
      <c r="G24" s="48"/>
    </row>
    <row r="25" spans="1:7">
      <c r="A25" s="48"/>
      <c r="B25" s="48"/>
      <c r="C25" s="48"/>
      <c r="D25" s="48"/>
      <c r="E25" s="48"/>
      <c r="F25" s="48"/>
      <c r="G25" s="48"/>
    </row>
    <row r="26" spans="1:7" ht="21.75" customHeight="1">
      <c r="A26" s="197" t="s">
        <v>1545</v>
      </c>
      <c r="B26" s="197"/>
      <c r="C26" s="197"/>
      <c r="D26" s="197"/>
      <c r="E26" s="197"/>
      <c r="F26" s="197"/>
      <c r="G26" s="48"/>
    </row>
    <row r="27" spans="1:7" ht="30" customHeight="1">
      <c r="A27" s="160" t="s">
        <v>1546</v>
      </c>
      <c r="B27" s="160"/>
      <c r="C27" s="160"/>
      <c r="D27" s="160"/>
      <c r="E27" s="160"/>
      <c r="F27" s="160"/>
      <c r="G27" s="48"/>
    </row>
  </sheetData>
  <mergeCells count="16">
    <mergeCell ref="B16:E16"/>
    <mergeCell ref="A1:F1"/>
    <mergeCell ref="A2:F2"/>
    <mergeCell ref="A4:F4"/>
    <mergeCell ref="A14:F14"/>
    <mergeCell ref="B15:E15"/>
    <mergeCell ref="B23:E23"/>
    <mergeCell ref="B24:E24"/>
    <mergeCell ref="A26:F26"/>
    <mergeCell ref="A27:F27"/>
    <mergeCell ref="B17:E17"/>
    <mergeCell ref="B18:E18"/>
    <mergeCell ref="B19:E19"/>
    <mergeCell ref="B20:E20"/>
    <mergeCell ref="B21:E21"/>
    <mergeCell ref="B22:E2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2C275-D252-46CB-9F2E-F4E85F18C502}">
  <sheetPr>
    <tabColor theme="2" tint="-0.249977111117893"/>
  </sheetPr>
  <dimension ref="A1:H24"/>
  <sheetViews>
    <sheetView workbookViewId="0"/>
  </sheetViews>
  <sheetFormatPr defaultRowHeight="15"/>
  <cols>
    <col min="1" max="1" width="13.28515625" customWidth="1"/>
    <col min="2" max="2" width="43.85546875" customWidth="1"/>
    <col min="3" max="5" width="38.140625" customWidth="1"/>
    <col min="6" max="6" width="34.28515625" customWidth="1"/>
    <col min="7" max="7" width="28.5703125" customWidth="1"/>
  </cols>
  <sheetData>
    <row r="1" spans="1:8" ht="27.75" customHeight="1">
      <c r="A1" s="159" t="s">
        <v>1547</v>
      </c>
      <c r="B1" s="159"/>
      <c r="C1" s="159"/>
      <c r="D1" s="159"/>
      <c r="E1" s="159"/>
      <c r="F1" s="159"/>
      <c r="G1" s="159"/>
      <c r="H1" s="48"/>
    </row>
    <row r="2" spans="1:8" ht="39.75" customHeight="1">
      <c r="A2" s="160" t="s">
        <v>1548</v>
      </c>
      <c r="B2" s="160"/>
      <c r="C2" s="160"/>
      <c r="D2" s="160"/>
      <c r="E2" s="160"/>
      <c r="F2" s="160"/>
      <c r="G2" s="160"/>
      <c r="H2" s="48"/>
    </row>
    <row r="4" spans="1:8" ht="21.75" customHeight="1">
      <c r="A4" s="163" t="s">
        <v>1549</v>
      </c>
      <c r="B4" s="163"/>
      <c r="C4" s="163"/>
      <c r="D4" s="163"/>
      <c r="E4" s="163"/>
      <c r="F4" s="163"/>
      <c r="G4" s="163"/>
      <c r="H4" s="48"/>
    </row>
    <row r="5" spans="1:8" ht="39.75" customHeight="1">
      <c r="A5" s="139" t="s">
        <v>1217</v>
      </c>
      <c r="B5" s="139" t="s">
        <v>1550</v>
      </c>
      <c r="C5" s="139" t="s">
        <v>1551</v>
      </c>
      <c r="D5" s="139" t="s">
        <v>1552</v>
      </c>
      <c r="E5" s="139" t="s">
        <v>1553</v>
      </c>
      <c r="F5" s="139" t="s">
        <v>1554</v>
      </c>
      <c r="G5" s="139" t="s">
        <v>1555</v>
      </c>
      <c r="H5" s="48"/>
    </row>
    <row r="6" spans="1:8">
      <c r="A6" s="144">
        <v>1</v>
      </c>
      <c r="B6" s="141" t="s">
        <v>1556</v>
      </c>
      <c r="C6" s="141" t="s">
        <v>1557</v>
      </c>
      <c r="D6" s="141" t="s">
        <v>1558</v>
      </c>
      <c r="E6" s="141" t="s">
        <v>1559</v>
      </c>
      <c r="F6" s="141" t="s">
        <v>1560</v>
      </c>
      <c r="G6" s="141" t="s">
        <v>1561</v>
      </c>
      <c r="H6" s="48"/>
    </row>
    <row r="7" spans="1:8">
      <c r="A7" s="144">
        <v>2</v>
      </c>
      <c r="B7" s="141" t="s">
        <v>1556</v>
      </c>
      <c r="C7" s="141" t="s">
        <v>1557</v>
      </c>
      <c r="D7" s="141" t="s">
        <v>1562</v>
      </c>
      <c r="E7" s="141" t="s">
        <v>1433</v>
      </c>
      <c r="F7" s="141" t="s">
        <v>1563</v>
      </c>
      <c r="G7" s="141" t="s">
        <v>1564</v>
      </c>
      <c r="H7" s="48"/>
    </row>
    <row r="8" spans="1:8">
      <c r="A8" s="144">
        <v>3</v>
      </c>
      <c r="B8" s="141" t="s">
        <v>1556</v>
      </c>
      <c r="C8" s="141" t="s">
        <v>1557</v>
      </c>
      <c r="D8" s="141" t="s">
        <v>1562</v>
      </c>
      <c r="E8" s="141" t="s">
        <v>1433</v>
      </c>
      <c r="F8" s="141" t="s">
        <v>1563</v>
      </c>
      <c r="G8" s="141" t="s">
        <v>1564</v>
      </c>
      <c r="H8" s="48"/>
    </row>
    <row r="9" spans="1:8">
      <c r="A9" s="144">
        <v>4</v>
      </c>
      <c r="B9" s="141" t="s">
        <v>1565</v>
      </c>
      <c r="C9" s="141"/>
      <c r="D9" s="141"/>
      <c r="E9" s="141"/>
      <c r="F9" s="141"/>
      <c r="G9" s="141"/>
      <c r="H9" s="48"/>
    </row>
    <row r="10" spans="1:8">
      <c r="A10" s="48"/>
      <c r="B10" s="48"/>
      <c r="C10" s="48"/>
      <c r="D10" s="48"/>
      <c r="E10" s="48"/>
      <c r="F10" s="48"/>
      <c r="G10" s="48"/>
      <c r="H10" s="48"/>
    </row>
    <row r="11" spans="1:8" ht="21.75" customHeight="1">
      <c r="A11" s="163" t="s">
        <v>1566</v>
      </c>
      <c r="B11" s="163"/>
      <c r="C11" s="163"/>
      <c r="D11" s="163"/>
      <c r="E11" s="163"/>
      <c r="F11" s="163"/>
      <c r="G11" s="163"/>
      <c r="H11" s="48"/>
    </row>
    <row r="12" spans="1:8" ht="39.75" customHeight="1">
      <c r="A12" s="139" t="s">
        <v>1217</v>
      </c>
      <c r="B12" s="139" t="s">
        <v>1567</v>
      </c>
      <c r="C12" s="139" t="s">
        <v>1568</v>
      </c>
      <c r="D12" s="139" t="s">
        <v>1569</v>
      </c>
      <c r="E12" s="139" t="s">
        <v>1570</v>
      </c>
      <c r="F12" s="139" t="s">
        <v>1571</v>
      </c>
      <c r="G12" s="139" t="s">
        <v>144</v>
      </c>
      <c r="H12" s="48"/>
    </row>
    <row r="13" spans="1:8">
      <c r="A13" s="144">
        <v>1</v>
      </c>
      <c r="B13" s="141" t="s">
        <v>1572</v>
      </c>
      <c r="C13" s="141" t="s">
        <v>1573</v>
      </c>
      <c r="D13" s="141" t="s">
        <v>1574</v>
      </c>
      <c r="E13" s="141" t="s">
        <v>1575</v>
      </c>
      <c r="F13" s="141" t="s">
        <v>1576</v>
      </c>
      <c r="G13" s="141" t="s">
        <v>1577</v>
      </c>
      <c r="H13" s="48"/>
    </row>
    <row r="14" spans="1:8">
      <c r="A14" s="144">
        <v>2</v>
      </c>
      <c r="B14" s="141" t="s">
        <v>1572</v>
      </c>
      <c r="C14" s="141" t="s">
        <v>1528</v>
      </c>
      <c r="D14" s="141" t="s">
        <v>1574</v>
      </c>
      <c r="E14" s="141" t="s">
        <v>1575</v>
      </c>
      <c r="F14" s="141" t="s">
        <v>1578</v>
      </c>
      <c r="G14" s="141" t="s">
        <v>1577</v>
      </c>
      <c r="H14" s="48"/>
    </row>
    <row r="15" spans="1:8">
      <c r="A15" s="144">
        <v>3</v>
      </c>
      <c r="B15" s="141" t="s">
        <v>1565</v>
      </c>
      <c r="C15" s="141"/>
      <c r="D15" s="141"/>
      <c r="E15" s="141"/>
      <c r="F15" s="141"/>
      <c r="G15" s="141"/>
      <c r="H15" s="48"/>
    </row>
    <row r="16" spans="1:8">
      <c r="A16" s="48"/>
      <c r="B16" s="48"/>
      <c r="C16" s="48"/>
      <c r="D16" s="48"/>
      <c r="E16" s="48"/>
      <c r="F16" s="48"/>
      <c r="G16" s="48"/>
      <c r="H16" s="48"/>
    </row>
    <row r="17" spans="1:8" ht="21.75" customHeight="1">
      <c r="A17" s="163" t="s">
        <v>1579</v>
      </c>
      <c r="B17" s="163"/>
      <c r="C17" s="163"/>
      <c r="D17" s="163"/>
      <c r="E17" s="163"/>
      <c r="F17" s="163"/>
      <c r="G17" s="163"/>
      <c r="H17" s="48"/>
    </row>
    <row r="18" spans="1:8" ht="39.75" customHeight="1">
      <c r="A18" s="139" t="s">
        <v>1580</v>
      </c>
      <c r="B18" s="139" t="s">
        <v>1581</v>
      </c>
      <c r="C18" s="139" t="s">
        <v>1582</v>
      </c>
      <c r="D18" s="139" t="s">
        <v>1583</v>
      </c>
      <c r="E18" s="139" t="s">
        <v>1584</v>
      </c>
      <c r="F18" s="139" t="s">
        <v>1585</v>
      </c>
      <c r="G18" s="139" t="s">
        <v>1586</v>
      </c>
      <c r="H18" s="48"/>
    </row>
    <row r="19" spans="1:8">
      <c r="A19" s="144" t="s">
        <v>1587</v>
      </c>
      <c r="B19" s="141" t="s">
        <v>1588</v>
      </c>
      <c r="C19" s="141" t="s">
        <v>1589</v>
      </c>
      <c r="D19" s="141" t="s">
        <v>1590</v>
      </c>
      <c r="E19" s="141" t="s">
        <v>1591</v>
      </c>
      <c r="F19" s="141" t="s">
        <v>1592</v>
      </c>
      <c r="G19" s="141" t="s">
        <v>1593</v>
      </c>
      <c r="H19" s="48"/>
    </row>
    <row r="20" spans="1:8">
      <c r="A20" s="144" t="s">
        <v>1594</v>
      </c>
      <c r="B20" s="141" t="s">
        <v>1595</v>
      </c>
      <c r="C20" s="141" t="s">
        <v>1596</v>
      </c>
      <c r="D20" s="141" t="s">
        <v>1597</v>
      </c>
      <c r="E20" s="141" t="s">
        <v>1598</v>
      </c>
      <c r="F20" s="141" t="s">
        <v>1592</v>
      </c>
      <c r="G20" s="141" t="s">
        <v>1593</v>
      </c>
      <c r="H20" s="48"/>
    </row>
    <row r="21" spans="1:8">
      <c r="A21" s="144" t="s">
        <v>1599</v>
      </c>
      <c r="B21" s="141" t="s">
        <v>1565</v>
      </c>
      <c r="C21" s="141"/>
      <c r="D21" s="141"/>
      <c r="E21" s="141"/>
      <c r="F21" s="141"/>
      <c r="G21" s="141"/>
      <c r="H21" s="48"/>
    </row>
    <row r="22" spans="1:8">
      <c r="A22" s="48"/>
      <c r="B22" s="48"/>
      <c r="C22" s="48"/>
      <c r="D22" s="48"/>
      <c r="E22" s="48"/>
      <c r="F22" s="48"/>
      <c r="G22" s="48"/>
      <c r="H22" s="48"/>
    </row>
    <row r="23" spans="1:8" ht="21.75" customHeight="1">
      <c r="A23" s="197" t="s">
        <v>1600</v>
      </c>
      <c r="B23" s="197"/>
      <c r="C23" s="197"/>
      <c r="D23" s="197"/>
      <c r="E23" s="197"/>
      <c r="F23" s="197"/>
      <c r="G23" s="197"/>
      <c r="H23" s="48"/>
    </row>
    <row r="24" spans="1:8" ht="30" customHeight="1">
      <c r="A24" s="160" t="s">
        <v>1601</v>
      </c>
      <c r="B24" s="160"/>
      <c r="C24" s="160"/>
      <c r="D24" s="160"/>
      <c r="E24" s="160"/>
      <c r="F24" s="160"/>
      <c r="G24" s="160"/>
      <c r="H24" s="48"/>
    </row>
  </sheetData>
  <mergeCells count="7">
    <mergeCell ref="A23:G23"/>
    <mergeCell ref="A24:G24"/>
    <mergeCell ref="A1:G1"/>
    <mergeCell ref="A2:G2"/>
    <mergeCell ref="A4:G4"/>
    <mergeCell ref="A11:G11"/>
    <mergeCell ref="A17:G1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AE640-B72A-4294-A095-16B42EEB4DD5}">
  <sheetPr>
    <tabColor theme="2" tint="-0.249977111117893"/>
  </sheetPr>
  <dimension ref="A1:E33"/>
  <sheetViews>
    <sheetView workbookViewId="0"/>
  </sheetViews>
  <sheetFormatPr defaultRowHeight="15"/>
  <cols>
    <col min="1" max="1" width="43.85546875" customWidth="1"/>
    <col min="2" max="2" width="68.5703125" customWidth="1"/>
    <col min="3" max="3" width="28.5703125" customWidth="1"/>
    <col min="4" max="4" width="49.5703125" customWidth="1"/>
  </cols>
  <sheetData>
    <row r="1" spans="1:5" ht="27.75" customHeight="1">
      <c r="A1" s="159" t="s">
        <v>1602</v>
      </c>
      <c r="B1" s="159"/>
      <c r="C1" s="159"/>
      <c r="D1" s="159"/>
      <c r="E1" s="48"/>
    </row>
    <row r="2" spans="1:5" ht="44.25" customHeight="1">
      <c r="A2" s="165" t="s">
        <v>1603</v>
      </c>
      <c r="B2" s="165"/>
      <c r="C2" s="165"/>
      <c r="D2" s="165"/>
      <c r="E2" s="48"/>
    </row>
    <row r="3" spans="1:5">
      <c r="A3" s="48"/>
      <c r="B3" s="48"/>
      <c r="C3" s="48"/>
      <c r="D3" s="48"/>
      <c r="E3" s="48"/>
    </row>
    <row r="4" spans="1:5" ht="21.75" customHeight="1">
      <c r="A4" s="163" t="s">
        <v>1604</v>
      </c>
      <c r="B4" s="163"/>
      <c r="C4" s="163"/>
      <c r="D4" s="163"/>
      <c r="E4" s="48"/>
    </row>
    <row r="5" spans="1:5" ht="20.25" customHeight="1">
      <c r="A5" s="139" t="s">
        <v>1605</v>
      </c>
      <c r="B5" s="164" t="s">
        <v>1606</v>
      </c>
      <c r="C5" s="164"/>
      <c r="D5" s="139" t="s">
        <v>1607</v>
      </c>
      <c r="E5" s="48"/>
    </row>
    <row r="6" spans="1:5">
      <c r="A6" s="145" t="s">
        <v>1608</v>
      </c>
      <c r="B6" s="162" t="s">
        <v>1609</v>
      </c>
      <c r="C6" s="162"/>
      <c r="D6" s="141" t="s">
        <v>1528</v>
      </c>
      <c r="E6" s="48"/>
    </row>
    <row r="7" spans="1:5">
      <c r="A7" s="145" t="s">
        <v>1610</v>
      </c>
      <c r="B7" s="162" t="s">
        <v>1611</v>
      </c>
      <c r="C7" s="162"/>
      <c r="D7" s="141" t="s">
        <v>1528</v>
      </c>
      <c r="E7" s="48"/>
    </row>
    <row r="8" spans="1:5">
      <c r="A8" s="145" t="s">
        <v>1612</v>
      </c>
      <c r="B8" s="162" t="s">
        <v>1613</v>
      </c>
      <c r="C8" s="162"/>
      <c r="D8" s="141" t="s">
        <v>1528</v>
      </c>
      <c r="E8" s="48"/>
    </row>
    <row r="9" spans="1:5">
      <c r="A9" s="145" t="s">
        <v>1614</v>
      </c>
      <c r="B9" s="162" t="s">
        <v>1615</v>
      </c>
      <c r="C9" s="162"/>
      <c r="D9" s="141" t="s">
        <v>1528</v>
      </c>
      <c r="E9" s="48"/>
    </row>
    <row r="10" spans="1:5">
      <c r="A10" s="48"/>
      <c r="B10" s="48"/>
      <c r="C10" s="48"/>
      <c r="D10" s="48"/>
      <c r="E10" s="48"/>
    </row>
    <row r="11" spans="1:5" ht="21.75" customHeight="1">
      <c r="A11" s="163" t="s">
        <v>1616</v>
      </c>
      <c r="B11" s="163"/>
      <c r="C11" s="163"/>
      <c r="D11" s="163"/>
      <c r="E11" s="48"/>
    </row>
    <row r="12" spans="1:5" ht="20.25" customHeight="1">
      <c r="A12" s="139" t="s">
        <v>1605</v>
      </c>
      <c r="B12" s="164" t="s">
        <v>1606</v>
      </c>
      <c r="C12" s="164"/>
      <c r="D12" s="139" t="s">
        <v>1607</v>
      </c>
      <c r="E12" s="48"/>
    </row>
    <row r="13" spans="1:5">
      <c r="A13" s="145" t="s">
        <v>1617</v>
      </c>
      <c r="B13" s="162" t="s">
        <v>1618</v>
      </c>
      <c r="C13" s="162"/>
      <c r="D13" s="141" t="s">
        <v>1528</v>
      </c>
      <c r="E13" s="48"/>
    </row>
    <row r="14" spans="1:5">
      <c r="A14" s="145" t="s">
        <v>1619</v>
      </c>
      <c r="B14" s="162" t="s">
        <v>1620</v>
      </c>
      <c r="C14" s="162"/>
      <c r="D14" s="141" t="s">
        <v>1528</v>
      </c>
      <c r="E14" s="48"/>
    </row>
    <row r="15" spans="1:5">
      <c r="A15" s="48"/>
      <c r="B15" s="48"/>
      <c r="C15" s="48"/>
      <c r="D15" s="48"/>
      <c r="E15" s="48"/>
    </row>
    <row r="16" spans="1:5" ht="21.75" customHeight="1">
      <c r="A16" s="163" t="s">
        <v>1621</v>
      </c>
      <c r="B16" s="163"/>
      <c r="C16" s="163"/>
      <c r="D16" s="163"/>
      <c r="E16" s="48"/>
    </row>
    <row r="17" spans="1:5" ht="20.25" customHeight="1">
      <c r="A17" s="139" t="s">
        <v>1605</v>
      </c>
      <c r="B17" s="164" t="s">
        <v>1606</v>
      </c>
      <c r="C17" s="164"/>
      <c r="D17" s="139" t="s">
        <v>1607</v>
      </c>
      <c r="E17" s="48"/>
    </row>
    <row r="18" spans="1:5">
      <c r="A18" s="145" t="s">
        <v>1622</v>
      </c>
      <c r="B18" s="162" t="s">
        <v>1623</v>
      </c>
      <c r="C18" s="162"/>
      <c r="D18" s="141" t="s">
        <v>1528</v>
      </c>
      <c r="E18" s="48"/>
    </row>
    <row r="19" spans="1:5">
      <c r="A19" s="145" t="s">
        <v>1624</v>
      </c>
      <c r="B19" s="162" t="s">
        <v>1625</v>
      </c>
      <c r="C19" s="162"/>
      <c r="D19" s="141" t="s">
        <v>1528</v>
      </c>
      <c r="E19" s="48"/>
    </row>
    <row r="20" spans="1:5">
      <c r="A20" s="145" t="s">
        <v>1626</v>
      </c>
      <c r="B20" s="162" t="s">
        <v>1627</v>
      </c>
      <c r="C20" s="162"/>
      <c r="D20" s="141" t="s">
        <v>1528</v>
      </c>
      <c r="E20" s="48"/>
    </row>
    <row r="21" spans="1:5">
      <c r="A21" s="48"/>
      <c r="B21" s="48"/>
      <c r="C21" s="48"/>
      <c r="D21" s="48"/>
      <c r="E21" s="48"/>
    </row>
    <row r="22" spans="1:5" ht="21.75" customHeight="1">
      <c r="A22" s="163" t="s">
        <v>1628</v>
      </c>
      <c r="B22" s="163"/>
      <c r="C22" s="163"/>
      <c r="D22" s="163"/>
      <c r="E22" s="48"/>
    </row>
    <row r="23" spans="1:5" ht="20.25" customHeight="1">
      <c r="A23" s="139" t="s">
        <v>1605</v>
      </c>
      <c r="B23" s="164" t="s">
        <v>1606</v>
      </c>
      <c r="C23" s="164"/>
      <c r="D23" s="139" t="s">
        <v>1607</v>
      </c>
      <c r="E23" s="48"/>
    </row>
    <row r="24" spans="1:5">
      <c r="A24" s="145" t="s">
        <v>1629</v>
      </c>
      <c r="B24" s="162" t="s">
        <v>1630</v>
      </c>
      <c r="C24" s="162"/>
      <c r="D24" s="141" t="s">
        <v>1528</v>
      </c>
      <c r="E24" s="48"/>
    </row>
    <row r="25" spans="1:5">
      <c r="A25" s="145" t="s">
        <v>1631</v>
      </c>
      <c r="B25" s="162" t="s">
        <v>1632</v>
      </c>
      <c r="C25" s="162"/>
      <c r="D25" s="141" t="s">
        <v>1528</v>
      </c>
      <c r="E25" s="48"/>
    </row>
    <row r="26" spans="1:5">
      <c r="A26" s="145" t="s">
        <v>1633</v>
      </c>
      <c r="B26" s="162" t="s">
        <v>1634</v>
      </c>
      <c r="C26" s="162"/>
      <c r="D26" s="141" t="s">
        <v>1528</v>
      </c>
      <c r="E26" s="48"/>
    </row>
    <row r="27" spans="1:5">
      <c r="A27" s="48"/>
      <c r="B27" s="48"/>
      <c r="C27" s="48"/>
      <c r="D27" s="48"/>
      <c r="E27" s="48"/>
    </row>
    <row r="28" spans="1:5" ht="21.75" customHeight="1">
      <c r="A28" s="163" t="s">
        <v>1635</v>
      </c>
      <c r="B28" s="163"/>
      <c r="C28" s="163"/>
      <c r="D28" s="163"/>
      <c r="E28" s="48"/>
    </row>
    <row r="29" spans="1:5" ht="20.25" customHeight="1">
      <c r="A29" s="139" t="s">
        <v>1605</v>
      </c>
      <c r="B29" s="164" t="s">
        <v>1606</v>
      </c>
      <c r="C29" s="164"/>
      <c r="D29" s="139" t="s">
        <v>1607</v>
      </c>
      <c r="E29" s="48"/>
    </row>
    <row r="30" spans="1:5">
      <c r="A30" s="145" t="s">
        <v>1636</v>
      </c>
      <c r="B30" s="162" t="s">
        <v>1637</v>
      </c>
      <c r="C30" s="162"/>
      <c r="D30" s="141" t="s">
        <v>1528</v>
      </c>
      <c r="E30" s="48"/>
    </row>
    <row r="31" spans="1:5">
      <c r="A31" s="145" t="s">
        <v>1638</v>
      </c>
      <c r="B31" s="162" t="s">
        <v>1639</v>
      </c>
      <c r="C31" s="162"/>
      <c r="D31" s="141" t="s">
        <v>1528</v>
      </c>
      <c r="E31" s="48"/>
    </row>
    <row r="32" spans="1:5">
      <c r="A32" s="145" t="s">
        <v>1640</v>
      </c>
      <c r="B32" s="162" t="s">
        <v>1641</v>
      </c>
      <c r="C32" s="162"/>
      <c r="D32" s="141" t="s">
        <v>1528</v>
      </c>
      <c r="E32" s="48"/>
    </row>
    <row r="33" spans="1:4">
      <c r="A33" s="48"/>
      <c r="B33" s="48"/>
      <c r="C33" s="48"/>
      <c r="D33" s="48"/>
    </row>
  </sheetData>
  <mergeCells count="27">
    <mergeCell ref="B30:C30"/>
    <mergeCell ref="B31:C31"/>
    <mergeCell ref="B32:C32"/>
    <mergeCell ref="B23:C23"/>
    <mergeCell ref="B24:C24"/>
    <mergeCell ref="B25:C25"/>
    <mergeCell ref="B26:C26"/>
    <mergeCell ref="A28:D28"/>
    <mergeCell ref="B29:C29"/>
    <mergeCell ref="A22:D22"/>
    <mergeCell ref="B8:C8"/>
    <mergeCell ref="B9:C9"/>
    <mergeCell ref="A11:D11"/>
    <mergeCell ref="B12:C12"/>
    <mergeCell ref="B13:C13"/>
    <mergeCell ref="B14:C14"/>
    <mergeCell ref="A16:D16"/>
    <mergeCell ref="B17:C17"/>
    <mergeCell ref="B18:C18"/>
    <mergeCell ref="B19:C19"/>
    <mergeCell ref="B20:C20"/>
    <mergeCell ref="B7:C7"/>
    <mergeCell ref="A1:D1"/>
    <mergeCell ref="A2:D2"/>
    <mergeCell ref="A4:D4"/>
    <mergeCell ref="B5:C5"/>
    <mergeCell ref="B6:C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B9EBB-F242-485E-BF42-D751489B5470}">
  <sheetPr>
    <tabColor theme="2" tint="-0.249977111117893"/>
  </sheetPr>
  <dimension ref="A1:E39"/>
  <sheetViews>
    <sheetView workbookViewId="0"/>
  </sheetViews>
  <sheetFormatPr defaultRowHeight="15"/>
  <cols>
    <col min="1" max="1" width="21" customWidth="1"/>
    <col min="2" max="2" width="47.5703125" customWidth="1"/>
    <col min="3" max="3" width="61" customWidth="1"/>
    <col min="4" max="4" width="57.140625" customWidth="1"/>
  </cols>
  <sheetData>
    <row r="1" spans="1:5" ht="27.75" customHeight="1">
      <c r="A1" s="198" t="s">
        <v>1642</v>
      </c>
      <c r="B1" s="198"/>
      <c r="C1" s="198"/>
      <c r="D1" s="198"/>
      <c r="E1" s="191"/>
    </row>
    <row r="2" spans="1:5" ht="39.75" customHeight="1">
      <c r="A2" s="199" t="s">
        <v>1643</v>
      </c>
      <c r="B2" s="199"/>
      <c r="C2" s="199"/>
      <c r="D2" s="199"/>
      <c r="E2" s="191"/>
    </row>
    <row r="4" spans="1:5">
      <c r="A4" s="200" t="s">
        <v>1644</v>
      </c>
      <c r="B4" s="200"/>
      <c r="C4" s="200"/>
      <c r="D4" s="200"/>
      <c r="E4" s="191"/>
    </row>
    <row r="5" spans="1:5">
      <c r="A5" s="132" t="s">
        <v>1645</v>
      </c>
      <c r="B5" s="132" t="s">
        <v>1646</v>
      </c>
      <c r="C5" s="132" t="s">
        <v>1647</v>
      </c>
      <c r="D5" s="132" t="s">
        <v>1648</v>
      </c>
      <c r="E5" s="191"/>
    </row>
    <row r="6" spans="1:5" ht="45.75">
      <c r="A6" s="192" t="s">
        <v>1649</v>
      </c>
      <c r="B6" s="192" t="s">
        <v>1650</v>
      </c>
      <c r="C6" s="192" t="s">
        <v>1651</v>
      </c>
      <c r="D6" s="192" t="s">
        <v>1652</v>
      </c>
      <c r="E6" s="191"/>
    </row>
    <row r="7" spans="1:5" ht="45.75">
      <c r="A7" s="192" t="s">
        <v>1653</v>
      </c>
      <c r="B7" s="192" t="s">
        <v>1654</v>
      </c>
      <c r="C7" s="192" t="s">
        <v>1655</v>
      </c>
      <c r="D7" s="192" t="s">
        <v>1656</v>
      </c>
      <c r="E7" s="191"/>
    </row>
    <row r="8" spans="1:5" ht="30.75">
      <c r="A8" s="192" t="s">
        <v>1657</v>
      </c>
      <c r="B8" s="192" t="s">
        <v>1658</v>
      </c>
      <c r="C8" s="192" t="s">
        <v>1659</v>
      </c>
      <c r="D8" s="192" t="s">
        <v>1660</v>
      </c>
      <c r="E8" s="191"/>
    </row>
    <row r="9" spans="1:5" ht="30.75">
      <c r="A9" s="192" t="s">
        <v>1661</v>
      </c>
      <c r="B9" s="192" t="s">
        <v>1662</v>
      </c>
      <c r="C9" s="192" t="s">
        <v>1663</v>
      </c>
      <c r="D9" s="192" t="s">
        <v>1664</v>
      </c>
      <c r="E9" s="191"/>
    </row>
    <row r="10" spans="1:5">
      <c r="A10" s="192" t="s">
        <v>1665</v>
      </c>
      <c r="B10" s="192" t="s">
        <v>1666</v>
      </c>
      <c r="C10" s="192" t="s">
        <v>1667</v>
      </c>
      <c r="D10" s="192" t="s">
        <v>1668</v>
      </c>
      <c r="E10" s="191"/>
    </row>
    <row r="11" spans="1:5">
      <c r="A11" s="192" t="s">
        <v>1669</v>
      </c>
      <c r="B11" s="192" t="s">
        <v>1670</v>
      </c>
      <c r="C11" s="192" t="s">
        <v>1671</v>
      </c>
      <c r="D11" s="192" t="s">
        <v>1672</v>
      </c>
      <c r="E11" s="191"/>
    </row>
    <row r="12" spans="1:5">
      <c r="A12" s="191"/>
      <c r="B12" s="191"/>
      <c r="C12" s="191"/>
      <c r="D12" s="191"/>
      <c r="E12" s="191"/>
    </row>
    <row r="13" spans="1:5">
      <c r="A13" s="200" t="s">
        <v>1673</v>
      </c>
      <c r="B13" s="200"/>
      <c r="C13" s="200"/>
      <c r="D13" s="200"/>
      <c r="E13" s="191"/>
    </row>
    <row r="14" spans="1:5">
      <c r="A14" s="132" t="s">
        <v>732</v>
      </c>
      <c r="B14" s="132" t="s">
        <v>1674</v>
      </c>
      <c r="C14" s="132" t="s">
        <v>1675</v>
      </c>
      <c r="D14" s="132" t="s">
        <v>1676</v>
      </c>
      <c r="E14" s="191"/>
    </row>
    <row r="15" spans="1:5" ht="30.75">
      <c r="A15" s="192" t="s">
        <v>1677</v>
      </c>
      <c r="B15" s="192" t="s">
        <v>1678</v>
      </c>
      <c r="C15" s="192" t="s">
        <v>1679</v>
      </c>
      <c r="D15" s="192" t="s">
        <v>1680</v>
      </c>
      <c r="E15" s="191"/>
    </row>
    <row r="16" spans="1:5" ht="30.75">
      <c r="A16" s="192" t="s">
        <v>1681</v>
      </c>
      <c r="B16" s="192" t="s">
        <v>1682</v>
      </c>
      <c r="C16" s="192" t="s">
        <v>1683</v>
      </c>
      <c r="D16" s="192" t="s">
        <v>1684</v>
      </c>
      <c r="E16" s="191"/>
    </row>
    <row r="17" spans="1:5" ht="30.75">
      <c r="A17" s="192" t="s">
        <v>1685</v>
      </c>
      <c r="B17" s="192" t="s">
        <v>1686</v>
      </c>
      <c r="C17" s="192" t="s">
        <v>1687</v>
      </c>
      <c r="D17" s="192" t="s">
        <v>1688</v>
      </c>
      <c r="E17" s="191"/>
    </row>
    <row r="18" spans="1:5" ht="30.75">
      <c r="A18" s="192" t="s">
        <v>1689</v>
      </c>
      <c r="B18" s="192" t="s">
        <v>1690</v>
      </c>
      <c r="C18" s="192" t="s">
        <v>1691</v>
      </c>
      <c r="D18" s="192" t="s">
        <v>1692</v>
      </c>
      <c r="E18" s="191"/>
    </row>
    <row r="19" spans="1:5" ht="30.75">
      <c r="A19" s="192" t="s">
        <v>1693</v>
      </c>
      <c r="B19" s="192" t="s">
        <v>1694</v>
      </c>
      <c r="C19" s="192" t="s">
        <v>1695</v>
      </c>
      <c r="D19" s="192" t="s">
        <v>1696</v>
      </c>
      <c r="E19" s="191"/>
    </row>
    <row r="20" spans="1:5">
      <c r="A20" s="192" t="s">
        <v>1697</v>
      </c>
      <c r="B20" s="192" t="s">
        <v>1698</v>
      </c>
      <c r="C20" s="192" t="s">
        <v>1699</v>
      </c>
      <c r="D20" s="192" t="s">
        <v>1700</v>
      </c>
      <c r="E20" s="191"/>
    </row>
    <row r="21" spans="1:5">
      <c r="A21" s="191"/>
      <c r="B21" s="191"/>
      <c r="C21" s="191"/>
      <c r="D21" s="191"/>
      <c r="E21" s="191"/>
    </row>
    <row r="22" spans="1:5" ht="44.25" customHeight="1">
      <c r="A22" s="199" t="s">
        <v>1701</v>
      </c>
      <c r="B22" s="199"/>
      <c r="C22" s="199"/>
      <c r="D22" s="199"/>
      <c r="E22" s="191"/>
    </row>
    <row r="24" spans="1:5">
      <c r="A24" s="200" t="s">
        <v>1702</v>
      </c>
      <c r="B24" s="200"/>
      <c r="C24" s="200"/>
      <c r="D24" s="200"/>
      <c r="E24" s="191"/>
    </row>
    <row r="25" spans="1:5">
      <c r="A25" s="132" t="s">
        <v>1703</v>
      </c>
      <c r="B25" s="132" t="s">
        <v>1704</v>
      </c>
      <c r="C25" s="132" t="s">
        <v>1705</v>
      </c>
      <c r="D25" s="132" t="s">
        <v>144</v>
      </c>
      <c r="E25" s="191"/>
    </row>
    <row r="26" spans="1:5" ht="60.75">
      <c r="A26" s="192" t="s">
        <v>1706</v>
      </c>
      <c r="B26" s="192" t="s">
        <v>1707</v>
      </c>
      <c r="C26" s="192" t="s">
        <v>1708</v>
      </c>
      <c r="D26" s="192" t="s">
        <v>186</v>
      </c>
      <c r="E26" s="191"/>
    </row>
    <row r="27" spans="1:5" ht="30.75">
      <c r="A27" s="192" t="s">
        <v>1709</v>
      </c>
      <c r="B27" s="192" t="s">
        <v>1710</v>
      </c>
      <c r="C27" s="192" t="s">
        <v>1711</v>
      </c>
      <c r="D27" s="192" t="s">
        <v>186</v>
      </c>
      <c r="E27" s="191"/>
    </row>
    <row r="28" spans="1:5" ht="30.75">
      <c r="A28" s="192" t="s">
        <v>1712</v>
      </c>
      <c r="B28" s="192" t="s">
        <v>1713</v>
      </c>
      <c r="C28" s="192" t="s">
        <v>1714</v>
      </c>
      <c r="D28" s="192" t="s">
        <v>186</v>
      </c>
      <c r="E28" s="191"/>
    </row>
    <row r="29" spans="1:5" ht="30.75">
      <c r="A29" s="192" t="s">
        <v>1715</v>
      </c>
      <c r="B29" s="192" t="s">
        <v>1716</v>
      </c>
      <c r="C29" s="192" t="s">
        <v>1717</v>
      </c>
      <c r="D29" s="192" t="s">
        <v>186</v>
      </c>
      <c r="E29" s="191"/>
    </row>
    <row r="30" spans="1:5" ht="30.75">
      <c r="A30" s="192" t="s">
        <v>1718</v>
      </c>
      <c r="B30" s="192" t="s">
        <v>1719</v>
      </c>
      <c r="C30" s="192" t="s">
        <v>1720</v>
      </c>
      <c r="D30" s="192" t="s">
        <v>186</v>
      </c>
      <c r="E30" s="191"/>
    </row>
    <row r="31" spans="1:5" ht="30.75">
      <c r="A31" s="192" t="s">
        <v>1721</v>
      </c>
      <c r="B31" s="192" t="s">
        <v>1722</v>
      </c>
      <c r="C31" s="192" t="s">
        <v>1723</v>
      </c>
      <c r="D31" s="192" t="s">
        <v>1724</v>
      </c>
      <c r="E31" s="191"/>
    </row>
    <row r="32" spans="1:5" ht="30.75">
      <c r="A32" s="192" t="s">
        <v>1725</v>
      </c>
      <c r="B32" s="192" t="s">
        <v>1726</v>
      </c>
      <c r="C32" s="192" t="s">
        <v>1727</v>
      </c>
      <c r="D32" s="192" t="s">
        <v>186</v>
      </c>
      <c r="E32" s="191"/>
    </row>
    <row r="33" spans="1:5" ht="45.75">
      <c r="A33" s="192" t="s">
        <v>1728</v>
      </c>
      <c r="B33" s="192" t="s">
        <v>1729</v>
      </c>
      <c r="C33" s="192" t="s">
        <v>1730</v>
      </c>
      <c r="D33" s="192" t="s">
        <v>1731</v>
      </c>
      <c r="E33" s="191"/>
    </row>
    <row r="34" spans="1:5">
      <c r="A34" s="191"/>
      <c r="B34" s="191"/>
      <c r="C34" s="191"/>
      <c r="D34" s="191"/>
      <c r="E34" s="191"/>
    </row>
    <row r="35" spans="1:5">
      <c r="A35" s="200" t="s">
        <v>1732</v>
      </c>
      <c r="B35" s="200"/>
      <c r="C35" s="200"/>
      <c r="D35" s="200"/>
      <c r="E35" s="191"/>
    </row>
    <row r="36" spans="1:5" ht="48" customHeight="1">
      <c r="A36" s="199" t="s">
        <v>1733</v>
      </c>
      <c r="B36" s="199"/>
      <c r="C36" s="199"/>
      <c r="D36" s="199"/>
      <c r="E36" s="191"/>
    </row>
    <row r="38" spans="1:5">
      <c r="A38" s="201" t="s">
        <v>1734</v>
      </c>
      <c r="B38" s="191"/>
      <c r="C38" s="191"/>
      <c r="D38" s="191"/>
      <c r="E38" s="191"/>
    </row>
    <row r="39" spans="1:5">
      <c r="A39" s="201" t="s">
        <v>1735</v>
      </c>
      <c r="B39" s="191"/>
      <c r="C39" s="191"/>
      <c r="D39" s="191"/>
      <c r="E39" s="191"/>
    </row>
  </sheetData>
  <mergeCells count="8">
    <mergeCell ref="A35:D35"/>
    <mergeCell ref="A36:D36"/>
    <mergeCell ref="A1:D1"/>
    <mergeCell ref="A2:D2"/>
    <mergeCell ref="A4:D4"/>
    <mergeCell ref="A13:D13"/>
    <mergeCell ref="A22:D22"/>
    <mergeCell ref="A24:D2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N110"/>
  <sheetViews>
    <sheetView showGridLines="0" workbookViewId="0">
      <selection activeCell="R12" sqref="R12"/>
    </sheetView>
  </sheetViews>
  <sheetFormatPr defaultRowHeight="15"/>
  <cols>
    <col min="1" max="1" width="10" customWidth="1"/>
    <col min="2" max="2" width="16" customWidth="1"/>
    <col min="3" max="3" width="28" customWidth="1"/>
    <col min="4" max="5" width="22" customWidth="1"/>
    <col min="6" max="8" width="12" customWidth="1"/>
    <col min="9" max="11" width="14" customWidth="1"/>
    <col min="12" max="12" width="28" customWidth="1"/>
    <col min="13" max="13" width="18" customWidth="1"/>
    <col min="14" max="14" width="28" customWidth="1"/>
  </cols>
  <sheetData>
    <row r="1" spans="1:14" s="48" customFormat="1">
      <c r="A1" s="166" t="s">
        <v>1736</v>
      </c>
      <c r="B1" s="166"/>
      <c r="C1" s="166"/>
      <c r="D1" s="166"/>
      <c r="E1" s="166"/>
      <c r="F1" s="166"/>
      <c r="G1" s="166"/>
      <c r="H1" s="166"/>
      <c r="I1" s="166"/>
      <c r="J1" s="166"/>
      <c r="K1" s="166"/>
      <c r="L1" s="166"/>
      <c r="M1" s="166"/>
      <c r="N1" s="166"/>
    </row>
    <row r="2" spans="1:14" ht="24" customHeight="1">
      <c r="A2" s="56" t="s">
        <v>0</v>
      </c>
      <c r="B2" s="56"/>
      <c r="C2" s="56"/>
      <c r="D2" s="56"/>
      <c r="E2" s="56"/>
      <c r="F2" s="56"/>
      <c r="G2" s="56"/>
      <c r="H2" s="56"/>
      <c r="I2" s="56"/>
      <c r="J2" s="56"/>
      <c r="K2" s="56"/>
      <c r="L2" s="56"/>
      <c r="M2" s="56"/>
      <c r="N2" s="56"/>
    </row>
    <row r="3" spans="1:14" ht="30" customHeight="1">
      <c r="A3" s="45" t="s">
        <v>1737</v>
      </c>
      <c r="B3" s="45"/>
      <c r="C3" s="45"/>
      <c r="D3" s="45"/>
      <c r="E3" s="45"/>
      <c r="F3" s="45"/>
      <c r="G3" s="45"/>
      <c r="H3" s="45"/>
      <c r="I3" s="45"/>
      <c r="J3" s="45"/>
      <c r="K3" s="45"/>
      <c r="L3" s="45"/>
      <c r="M3" s="45"/>
      <c r="N3" s="45"/>
    </row>
    <row r="4" spans="1:14" ht="30" customHeight="1">
      <c r="A4" s="44" t="s">
        <v>1738</v>
      </c>
      <c r="B4" s="44"/>
      <c r="C4" s="44"/>
      <c r="D4" s="44"/>
      <c r="E4" s="44"/>
      <c r="F4" s="44"/>
      <c r="G4" s="44"/>
      <c r="H4" s="44"/>
      <c r="I4" s="44"/>
      <c r="J4" s="44"/>
      <c r="K4" s="44"/>
      <c r="L4" s="44"/>
      <c r="M4" s="44"/>
      <c r="N4" s="44"/>
    </row>
    <row r="5" spans="1:14">
      <c r="A5" s="46"/>
      <c r="B5" s="46"/>
      <c r="C5" s="46"/>
      <c r="D5" s="46"/>
      <c r="E5" s="46"/>
      <c r="F5" s="46"/>
      <c r="G5" s="46"/>
      <c r="H5" s="46"/>
      <c r="I5" s="46"/>
      <c r="J5" s="46"/>
      <c r="K5" s="46"/>
      <c r="L5" s="46"/>
      <c r="M5" s="46"/>
      <c r="N5" s="46"/>
    </row>
    <row r="6" spans="1:14" ht="21.95" customHeight="1">
      <c r="A6" s="57" t="s">
        <v>1739</v>
      </c>
      <c r="B6" s="57"/>
      <c r="C6" s="57"/>
      <c r="D6" s="57"/>
      <c r="E6" s="57"/>
      <c r="F6" s="57"/>
      <c r="G6" s="57"/>
      <c r="H6" s="57"/>
      <c r="I6" s="57"/>
      <c r="J6" s="57"/>
      <c r="K6" s="57"/>
      <c r="L6" s="57"/>
      <c r="M6" s="57"/>
      <c r="N6" s="57"/>
    </row>
    <row r="7" spans="1:14" ht="33.950000000000003" customHeight="1">
      <c r="A7" s="36" t="s">
        <v>1740</v>
      </c>
      <c r="B7" s="36" t="s">
        <v>1741</v>
      </c>
      <c r="C7" s="36" t="s">
        <v>1742</v>
      </c>
      <c r="D7" s="36" t="s">
        <v>1743</v>
      </c>
      <c r="E7" s="36" t="s">
        <v>1744</v>
      </c>
      <c r="F7" s="36" t="s">
        <v>1745</v>
      </c>
      <c r="G7" s="36" t="s">
        <v>1746</v>
      </c>
      <c r="H7" s="36" t="s">
        <v>1747</v>
      </c>
      <c r="I7" s="36" t="s">
        <v>1748</v>
      </c>
      <c r="J7" s="36" t="s">
        <v>1749</v>
      </c>
      <c r="K7" s="36" t="s">
        <v>1750</v>
      </c>
      <c r="L7" s="36" t="s">
        <v>578</v>
      </c>
      <c r="M7" s="36" t="s">
        <v>1751</v>
      </c>
      <c r="N7" s="36" t="s">
        <v>70</v>
      </c>
    </row>
    <row r="8" spans="1:14">
      <c r="A8" s="37">
        <v>1</v>
      </c>
      <c r="B8" s="37"/>
      <c r="C8" s="37"/>
      <c r="D8" s="37"/>
      <c r="E8" s="37"/>
      <c r="F8" s="38"/>
      <c r="G8" s="39">
        <f>'Hannah-Costing_Calc'!$B$8</f>
        <v>100</v>
      </c>
      <c r="H8" s="39" t="str">
        <f>IFERROR(IF(OR(F8="",G8=""),"",F8*G8/100),"")</f>
        <v/>
      </c>
      <c r="I8" s="40"/>
      <c r="J8" s="40" t="str">
        <f>IFERROR(H8*I8,"")</f>
        <v/>
      </c>
      <c r="K8" s="40" t="str">
        <f>IFERROR(J8/'Hannah-Costing_Calc'!$B$10,"")</f>
        <v/>
      </c>
      <c r="L8" s="37"/>
      <c r="M8" s="37"/>
      <c r="N8" s="37"/>
    </row>
    <row r="9" spans="1:14">
      <c r="A9" s="37">
        <v>2</v>
      </c>
      <c r="B9" s="37"/>
      <c r="C9" s="37"/>
      <c r="D9" s="37"/>
      <c r="E9" s="37"/>
      <c r="F9" s="38"/>
      <c r="G9" s="39">
        <f>'Hannah-Costing_Calc'!$B$8</f>
        <v>100</v>
      </c>
      <c r="H9" s="39" t="str">
        <f>IFERROR(IF(OR(F9="",G9=""),"",F9*G9/100),"")</f>
        <v/>
      </c>
      <c r="I9" s="40"/>
      <c r="J9" s="40" t="str">
        <f>IFERROR(H9*I9,"")</f>
        <v/>
      </c>
      <c r="K9" s="40" t="str">
        <f>IFERROR(J9/'Hannah-Costing_Calc'!$B$10,"")</f>
        <v/>
      </c>
      <c r="L9" s="37"/>
      <c r="M9" s="37"/>
      <c r="N9" s="37"/>
    </row>
    <row r="10" spans="1:14">
      <c r="A10" s="37">
        <v>3</v>
      </c>
      <c r="B10" s="37"/>
      <c r="C10" s="37"/>
      <c r="D10" s="37"/>
      <c r="E10" s="37"/>
      <c r="F10" s="38"/>
      <c r="G10" s="39">
        <f>'Hannah-Costing_Calc'!$B$8</f>
        <v>100</v>
      </c>
      <c r="H10" s="39" t="str">
        <f>IFERROR(IF(OR(F10="",G10=""),"",F10*G10/100),"")</f>
        <v/>
      </c>
      <c r="I10" s="40"/>
      <c r="J10" s="40" t="str">
        <f>IFERROR(H10*I10,"")</f>
        <v/>
      </c>
      <c r="K10" s="40" t="str">
        <f>IFERROR(J10/'Hannah-Costing_Calc'!$B$10,"")</f>
        <v/>
      </c>
      <c r="L10" s="37"/>
      <c r="M10" s="37"/>
      <c r="N10" s="37"/>
    </row>
    <row r="11" spans="1:14">
      <c r="A11" s="37">
        <v>4</v>
      </c>
      <c r="B11" s="37"/>
      <c r="C11" s="37"/>
      <c r="D11" s="37"/>
      <c r="E11" s="37"/>
      <c r="F11" s="38"/>
      <c r="G11" s="39">
        <f>'Hannah-Costing_Calc'!$B$8</f>
        <v>100</v>
      </c>
      <c r="H11" s="39" t="str">
        <f>IFERROR(IF(OR(F11="",G11=""),"",F11*G11/100),"")</f>
        <v/>
      </c>
      <c r="I11" s="40"/>
      <c r="J11" s="40" t="str">
        <f>IFERROR(H11*I11,"")</f>
        <v/>
      </c>
      <c r="K11" s="40" t="str">
        <f>IFERROR(J11/'Hannah-Costing_Calc'!$B$10,"")</f>
        <v/>
      </c>
      <c r="L11" s="37"/>
      <c r="M11" s="37"/>
      <c r="N11" s="37"/>
    </row>
    <row r="12" spans="1:14">
      <c r="A12" s="37">
        <v>5</v>
      </c>
      <c r="B12" s="37"/>
      <c r="C12" s="37"/>
      <c r="D12" s="37"/>
      <c r="E12" s="37"/>
      <c r="F12" s="38"/>
      <c r="G12" s="39">
        <f>'Hannah-Costing_Calc'!$B$8</f>
        <v>100</v>
      </c>
      <c r="H12" s="39" t="str">
        <f>IFERROR(IF(OR(F12="",G12=""),"",F12*G12/100),"")</f>
        <v/>
      </c>
      <c r="I12" s="40"/>
      <c r="J12" s="40" t="str">
        <f>IFERROR(H12*I12,"")</f>
        <v/>
      </c>
      <c r="K12" s="40" t="str">
        <f>IFERROR(J12/'Hannah-Costing_Calc'!$B$10,"")</f>
        <v/>
      </c>
      <c r="L12" s="37"/>
      <c r="M12" s="37"/>
      <c r="N12" s="37"/>
    </row>
    <row r="13" spans="1:14">
      <c r="A13" s="37">
        <v>6</v>
      </c>
      <c r="B13" s="37"/>
      <c r="C13" s="37"/>
      <c r="D13" s="37"/>
      <c r="E13" s="37"/>
      <c r="F13" s="38"/>
      <c r="G13" s="39">
        <f>'Hannah-Costing_Calc'!$B$8</f>
        <v>100</v>
      </c>
      <c r="H13" s="39" t="str">
        <f>IFERROR(IF(OR(F13="",G13=""),"",F13*G13/100),"")</f>
        <v/>
      </c>
      <c r="I13" s="40"/>
      <c r="J13" s="40" t="str">
        <f>IFERROR(H13*I13,"")</f>
        <v/>
      </c>
      <c r="K13" s="40" t="str">
        <f>IFERROR(J13/'Hannah-Costing_Calc'!$B$10,"")</f>
        <v/>
      </c>
      <c r="L13" s="37"/>
      <c r="M13" s="37"/>
      <c r="N13" s="37"/>
    </row>
    <row r="14" spans="1:14">
      <c r="A14" s="37">
        <v>7</v>
      </c>
      <c r="B14" s="37"/>
      <c r="C14" s="37"/>
      <c r="D14" s="37"/>
      <c r="E14" s="37"/>
      <c r="F14" s="38"/>
      <c r="G14" s="39">
        <f>'Hannah-Costing_Calc'!$B$8</f>
        <v>100</v>
      </c>
      <c r="H14" s="39" t="str">
        <f>IFERROR(IF(OR(F14="",G14=""),"",F14*G14/100),"")</f>
        <v/>
      </c>
      <c r="I14" s="40"/>
      <c r="J14" s="40" t="str">
        <f>IFERROR(H14*I14,"")</f>
        <v/>
      </c>
      <c r="K14" s="40" t="str">
        <f>IFERROR(J14/'Hannah-Costing_Calc'!$B$10,"")</f>
        <v/>
      </c>
      <c r="L14" s="37"/>
      <c r="M14" s="37"/>
      <c r="N14" s="37"/>
    </row>
    <row r="15" spans="1:14">
      <c r="A15" s="37">
        <v>8</v>
      </c>
      <c r="B15" s="37"/>
      <c r="C15" s="37"/>
      <c r="D15" s="37"/>
      <c r="E15" s="37"/>
      <c r="F15" s="38"/>
      <c r="G15" s="39">
        <f>'Hannah-Costing_Calc'!$B$8</f>
        <v>100</v>
      </c>
      <c r="H15" s="39" t="str">
        <f>IFERROR(IF(OR(F15="",G15=""),"",F15*G15/100),"")</f>
        <v/>
      </c>
      <c r="I15" s="40"/>
      <c r="J15" s="40" t="str">
        <f>IFERROR(H15*I15,"")</f>
        <v/>
      </c>
      <c r="K15" s="40" t="str">
        <f>IFERROR(J15/'Hannah-Costing_Calc'!$B$10,"")</f>
        <v/>
      </c>
      <c r="L15" s="37"/>
      <c r="M15" s="37"/>
      <c r="N15" s="37"/>
    </row>
    <row r="16" spans="1:14">
      <c r="A16" s="37">
        <v>9</v>
      </c>
      <c r="B16" s="37"/>
      <c r="C16" s="37"/>
      <c r="D16" s="37"/>
      <c r="E16" s="37"/>
      <c r="F16" s="38"/>
      <c r="G16" s="39">
        <f>'Hannah-Costing_Calc'!$B$8</f>
        <v>100</v>
      </c>
      <c r="H16" s="39" t="str">
        <f>IFERROR(IF(OR(F16="",G16=""),"",F16*G16/100),"")</f>
        <v/>
      </c>
      <c r="I16" s="40"/>
      <c r="J16" s="40" t="str">
        <f>IFERROR(H16*I16,"")</f>
        <v/>
      </c>
      <c r="K16" s="40" t="str">
        <f>IFERROR(J16/'Hannah-Costing_Calc'!$B$10,"")</f>
        <v/>
      </c>
      <c r="L16" s="37"/>
      <c r="M16" s="37"/>
      <c r="N16" s="37"/>
    </row>
    <row r="17" spans="1:14">
      <c r="A17" s="37">
        <v>10</v>
      </c>
      <c r="B17" s="37"/>
      <c r="C17" s="37"/>
      <c r="D17" s="37"/>
      <c r="E17" s="37"/>
      <c r="F17" s="38"/>
      <c r="G17" s="39">
        <f>'Hannah-Costing_Calc'!$B$8</f>
        <v>100</v>
      </c>
      <c r="H17" s="39" t="str">
        <f>IFERROR(IF(OR(F17="",G17=""),"",F17*G17/100),"")</f>
        <v/>
      </c>
      <c r="I17" s="40"/>
      <c r="J17" s="40" t="str">
        <f>IFERROR(H17*I17,"")</f>
        <v/>
      </c>
      <c r="K17" s="40" t="str">
        <f>IFERROR(J17/'Hannah-Costing_Calc'!$B$10,"")</f>
        <v/>
      </c>
      <c r="L17" s="37"/>
      <c r="M17" s="37"/>
      <c r="N17" s="37"/>
    </row>
    <row r="18" spans="1:14">
      <c r="A18" s="37">
        <v>11</v>
      </c>
      <c r="B18" s="37"/>
      <c r="C18" s="37"/>
      <c r="D18" s="37"/>
      <c r="E18" s="37"/>
      <c r="F18" s="38"/>
      <c r="G18" s="39">
        <f>'Hannah-Costing_Calc'!$B$8</f>
        <v>100</v>
      </c>
      <c r="H18" s="39" t="str">
        <f>IFERROR(IF(OR(F18="",G18=""),"",F18*G18/100),"")</f>
        <v/>
      </c>
      <c r="I18" s="40"/>
      <c r="J18" s="40" t="str">
        <f>IFERROR(H18*I18,"")</f>
        <v/>
      </c>
      <c r="K18" s="40" t="str">
        <f>IFERROR(J18/'Hannah-Costing_Calc'!$B$10,"")</f>
        <v/>
      </c>
      <c r="L18" s="37"/>
      <c r="M18" s="37"/>
      <c r="N18" s="37"/>
    </row>
    <row r="19" spans="1:14">
      <c r="A19" s="37">
        <v>12</v>
      </c>
      <c r="B19" s="37"/>
      <c r="C19" s="37"/>
      <c r="D19" s="37"/>
      <c r="E19" s="37"/>
      <c r="F19" s="38"/>
      <c r="G19" s="39">
        <f>'Hannah-Costing_Calc'!$B$8</f>
        <v>100</v>
      </c>
      <c r="H19" s="39" t="str">
        <f>IFERROR(IF(OR(F19="",G19=""),"",F19*G19/100),"")</f>
        <v/>
      </c>
      <c r="I19" s="40"/>
      <c r="J19" s="40" t="str">
        <f>IFERROR(H19*I19,"")</f>
        <v/>
      </c>
      <c r="K19" s="40" t="str">
        <f>IFERROR(J19/'Hannah-Costing_Calc'!$B$10,"")</f>
        <v/>
      </c>
      <c r="L19" s="37"/>
      <c r="M19" s="37"/>
      <c r="N19" s="37"/>
    </row>
    <row r="20" spans="1:14">
      <c r="A20" s="37">
        <v>13</v>
      </c>
      <c r="B20" s="37"/>
      <c r="C20" s="37"/>
      <c r="D20" s="37"/>
      <c r="E20" s="37"/>
      <c r="F20" s="38"/>
      <c r="G20" s="39">
        <f>'Hannah-Costing_Calc'!$B$8</f>
        <v>100</v>
      </c>
      <c r="H20" s="39" t="str">
        <f>IFERROR(IF(OR(F20="",G20=""),"",F20*G20/100),"")</f>
        <v/>
      </c>
      <c r="I20" s="40"/>
      <c r="J20" s="40" t="str">
        <f>IFERROR(H20*I20,"")</f>
        <v/>
      </c>
      <c r="K20" s="40" t="str">
        <f>IFERROR(J20/'Hannah-Costing_Calc'!$B$10,"")</f>
        <v/>
      </c>
      <c r="L20" s="37"/>
      <c r="M20" s="37"/>
      <c r="N20" s="37"/>
    </row>
    <row r="21" spans="1:14">
      <c r="A21" s="37">
        <v>14</v>
      </c>
      <c r="B21" s="37"/>
      <c r="C21" s="37"/>
      <c r="D21" s="37"/>
      <c r="E21" s="37"/>
      <c r="F21" s="38"/>
      <c r="G21" s="39">
        <f>'Hannah-Costing_Calc'!$B$8</f>
        <v>100</v>
      </c>
      <c r="H21" s="39" t="str">
        <f>IFERROR(IF(OR(F21="",G21=""),"",F21*G21/100),"")</f>
        <v/>
      </c>
      <c r="I21" s="40"/>
      <c r="J21" s="40" t="str">
        <f>IFERROR(H21*I21,"")</f>
        <v/>
      </c>
      <c r="K21" s="40" t="str">
        <f>IFERROR(J21/'Hannah-Costing_Calc'!$B$10,"")</f>
        <v/>
      </c>
      <c r="L21" s="37"/>
      <c r="M21" s="37"/>
      <c r="N21" s="37"/>
    </row>
    <row r="22" spans="1:14">
      <c r="A22" s="37">
        <v>15</v>
      </c>
      <c r="B22" s="37"/>
      <c r="C22" s="37"/>
      <c r="D22" s="37"/>
      <c r="E22" s="37"/>
      <c r="F22" s="38"/>
      <c r="G22" s="39">
        <f>'Hannah-Costing_Calc'!$B$8</f>
        <v>100</v>
      </c>
      <c r="H22" s="39" t="str">
        <f>IFERROR(IF(OR(F22="",G22=""),"",F22*G22/100),"")</f>
        <v/>
      </c>
      <c r="I22" s="40"/>
      <c r="J22" s="40" t="str">
        <f>IFERROR(H22*I22,"")</f>
        <v/>
      </c>
      <c r="K22" s="40" t="str">
        <f>IFERROR(J22/'Hannah-Costing_Calc'!$B$10,"")</f>
        <v/>
      </c>
      <c r="L22" s="37"/>
      <c r="M22" s="37"/>
      <c r="N22" s="37"/>
    </row>
    <row r="23" spans="1:14">
      <c r="A23" s="37">
        <v>16</v>
      </c>
      <c r="B23" s="37"/>
      <c r="C23" s="37"/>
      <c r="D23" s="37"/>
      <c r="E23" s="37"/>
      <c r="F23" s="38"/>
      <c r="G23" s="39">
        <f>'Hannah-Costing_Calc'!$B$8</f>
        <v>100</v>
      </c>
      <c r="H23" s="39" t="str">
        <f>IFERROR(IF(OR(F23="",G23=""),"",F23*G23/100),"")</f>
        <v/>
      </c>
      <c r="I23" s="40"/>
      <c r="J23" s="40" t="str">
        <f>IFERROR(H23*I23,"")</f>
        <v/>
      </c>
      <c r="K23" s="40" t="str">
        <f>IFERROR(J23/'Hannah-Costing_Calc'!$B$10,"")</f>
        <v/>
      </c>
      <c r="L23" s="37"/>
      <c r="M23" s="37"/>
      <c r="N23" s="37"/>
    </row>
    <row r="24" spans="1:14">
      <c r="A24" s="37">
        <v>17</v>
      </c>
      <c r="B24" s="37"/>
      <c r="C24" s="37"/>
      <c r="D24" s="37"/>
      <c r="E24" s="37"/>
      <c r="F24" s="38"/>
      <c r="G24" s="39">
        <f>'Hannah-Costing_Calc'!$B$8</f>
        <v>100</v>
      </c>
      <c r="H24" s="39" t="str">
        <f>IFERROR(IF(OR(F24="",G24=""),"",F24*G24/100),"")</f>
        <v/>
      </c>
      <c r="I24" s="40"/>
      <c r="J24" s="40" t="str">
        <f>IFERROR(H24*I24,"")</f>
        <v/>
      </c>
      <c r="K24" s="40" t="str">
        <f>IFERROR(J24/'Hannah-Costing_Calc'!$B$10,"")</f>
        <v/>
      </c>
      <c r="L24" s="37"/>
      <c r="M24" s="37"/>
      <c r="N24" s="37"/>
    </row>
    <row r="25" spans="1:14">
      <c r="A25" s="37">
        <v>18</v>
      </c>
      <c r="B25" s="37"/>
      <c r="C25" s="37"/>
      <c r="D25" s="37"/>
      <c r="E25" s="37"/>
      <c r="F25" s="38"/>
      <c r="G25" s="39">
        <f>'Hannah-Costing_Calc'!$B$8</f>
        <v>100</v>
      </c>
      <c r="H25" s="39" t="str">
        <f>IFERROR(IF(OR(F25="",G25=""),"",F25*G25/100),"")</f>
        <v/>
      </c>
      <c r="I25" s="40"/>
      <c r="J25" s="40" t="str">
        <f>IFERROR(H25*I25,"")</f>
        <v/>
      </c>
      <c r="K25" s="40" t="str">
        <f>IFERROR(J25/'Hannah-Costing_Calc'!$B$10,"")</f>
        <v/>
      </c>
      <c r="L25" s="37"/>
      <c r="M25" s="37"/>
      <c r="N25" s="37"/>
    </row>
    <row r="26" spans="1:14">
      <c r="A26" s="37">
        <v>19</v>
      </c>
      <c r="B26" s="37"/>
      <c r="C26" s="37"/>
      <c r="D26" s="37"/>
      <c r="E26" s="37"/>
      <c r="F26" s="38"/>
      <c r="G26" s="39">
        <f>'Hannah-Costing_Calc'!$B$8</f>
        <v>100</v>
      </c>
      <c r="H26" s="39" t="str">
        <f>IFERROR(IF(OR(F26="",G26=""),"",F26*G26/100),"")</f>
        <v/>
      </c>
      <c r="I26" s="40"/>
      <c r="J26" s="40" t="str">
        <f>IFERROR(H26*I26,"")</f>
        <v/>
      </c>
      <c r="K26" s="40" t="str">
        <f>IFERROR(J26/'Hannah-Costing_Calc'!$B$10,"")</f>
        <v/>
      </c>
      <c r="L26" s="37"/>
      <c r="M26" s="37"/>
      <c r="N26" s="37"/>
    </row>
    <row r="27" spans="1:14">
      <c r="A27" s="37">
        <v>20</v>
      </c>
      <c r="B27" s="37"/>
      <c r="C27" s="37"/>
      <c r="D27" s="37"/>
      <c r="E27" s="37"/>
      <c r="F27" s="38"/>
      <c r="G27" s="39">
        <f>'Hannah-Costing_Calc'!$B$8</f>
        <v>100</v>
      </c>
      <c r="H27" s="39" t="str">
        <f>IFERROR(IF(OR(F27="",G27=""),"",F27*G27/100),"")</f>
        <v/>
      </c>
      <c r="I27" s="40"/>
      <c r="J27" s="40" t="str">
        <f>IFERROR(H27*I27,"")</f>
        <v/>
      </c>
      <c r="K27" s="40" t="str">
        <f>IFERROR(J27/'Hannah-Costing_Calc'!$B$10,"")</f>
        <v/>
      </c>
      <c r="L27" s="37"/>
      <c r="M27" s="37"/>
      <c r="N27" s="37"/>
    </row>
    <row r="28" spans="1:14">
      <c r="A28" s="37">
        <v>21</v>
      </c>
      <c r="B28" s="37"/>
      <c r="C28" s="37"/>
      <c r="D28" s="37"/>
      <c r="E28" s="37"/>
      <c r="F28" s="38"/>
      <c r="G28" s="39">
        <f>'Hannah-Costing_Calc'!$B$8</f>
        <v>100</v>
      </c>
      <c r="H28" s="39" t="str">
        <f>IFERROR(IF(OR(F28="",G28=""),"",F28*G28/100),"")</f>
        <v/>
      </c>
      <c r="I28" s="40"/>
      <c r="J28" s="40" t="str">
        <f>IFERROR(H28*I28,"")</f>
        <v/>
      </c>
      <c r="K28" s="40" t="str">
        <f>IFERROR(J28/'Hannah-Costing_Calc'!$B$10,"")</f>
        <v/>
      </c>
      <c r="L28" s="37"/>
      <c r="M28" s="37"/>
      <c r="N28" s="37"/>
    </row>
    <row r="29" spans="1:14">
      <c r="A29" s="37">
        <v>22</v>
      </c>
      <c r="B29" s="37"/>
      <c r="C29" s="37"/>
      <c r="D29" s="37"/>
      <c r="E29" s="37"/>
      <c r="F29" s="38"/>
      <c r="G29" s="39">
        <f>'Hannah-Costing_Calc'!$B$8</f>
        <v>100</v>
      </c>
      <c r="H29" s="39" t="str">
        <f>IFERROR(IF(OR(F29="",G29=""),"",F29*G29/100),"")</f>
        <v/>
      </c>
      <c r="I29" s="40"/>
      <c r="J29" s="40" t="str">
        <f>IFERROR(H29*I29,"")</f>
        <v/>
      </c>
      <c r="K29" s="40" t="str">
        <f>IFERROR(J29/'Hannah-Costing_Calc'!$B$10,"")</f>
        <v/>
      </c>
      <c r="L29" s="37"/>
      <c r="M29" s="37"/>
      <c r="N29" s="37"/>
    </row>
    <row r="30" spans="1:14">
      <c r="A30" s="37">
        <v>23</v>
      </c>
      <c r="B30" s="37"/>
      <c r="C30" s="37"/>
      <c r="D30" s="37"/>
      <c r="E30" s="37"/>
      <c r="F30" s="38"/>
      <c r="G30" s="39">
        <f>'Hannah-Costing_Calc'!$B$8</f>
        <v>100</v>
      </c>
      <c r="H30" s="39" t="str">
        <f>IFERROR(IF(OR(F30="",G30=""),"",F30*G30/100),"")</f>
        <v/>
      </c>
      <c r="I30" s="40"/>
      <c r="J30" s="40" t="str">
        <f>IFERROR(H30*I30,"")</f>
        <v/>
      </c>
      <c r="K30" s="40" t="str">
        <f>IFERROR(J30/'Hannah-Costing_Calc'!$B$10,"")</f>
        <v/>
      </c>
      <c r="L30" s="37"/>
      <c r="M30" s="37"/>
      <c r="N30" s="37"/>
    </row>
    <row r="31" spans="1:14">
      <c r="A31" s="37">
        <v>24</v>
      </c>
      <c r="B31" s="37"/>
      <c r="C31" s="37"/>
      <c r="D31" s="37"/>
      <c r="E31" s="37"/>
      <c r="F31" s="38"/>
      <c r="G31" s="39">
        <f>'Hannah-Costing_Calc'!$B$8</f>
        <v>100</v>
      </c>
      <c r="H31" s="39" t="str">
        <f>IFERROR(IF(OR(F31="",G31=""),"",F31*G31/100),"")</f>
        <v/>
      </c>
      <c r="I31" s="40"/>
      <c r="J31" s="40" t="str">
        <f>IFERROR(H31*I31,"")</f>
        <v/>
      </c>
      <c r="K31" s="40" t="str">
        <f>IFERROR(J31/'Hannah-Costing_Calc'!$B$10,"")</f>
        <v/>
      </c>
      <c r="L31" s="37"/>
      <c r="M31" s="37"/>
      <c r="N31" s="37"/>
    </row>
    <row r="32" spans="1:14">
      <c r="A32" s="37">
        <v>25</v>
      </c>
      <c r="B32" s="37"/>
      <c r="C32" s="37"/>
      <c r="D32" s="37"/>
      <c r="E32" s="37"/>
      <c r="F32" s="38"/>
      <c r="G32" s="39">
        <f>'Hannah-Costing_Calc'!$B$8</f>
        <v>100</v>
      </c>
      <c r="H32" s="39" t="str">
        <f>IFERROR(IF(OR(F32="",G32=""),"",F32*G32/100),"")</f>
        <v/>
      </c>
      <c r="I32" s="40"/>
      <c r="J32" s="40" t="str">
        <f>IFERROR(H32*I32,"")</f>
        <v/>
      </c>
      <c r="K32" s="40" t="str">
        <f>IFERROR(J32/'Hannah-Costing_Calc'!$B$10,"")</f>
        <v/>
      </c>
      <c r="L32" s="37"/>
      <c r="M32" s="37"/>
      <c r="N32" s="37"/>
    </row>
    <row r="33" spans="1:14">
      <c r="A33" s="37">
        <v>26</v>
      </c>
      <c r="B33" s="37"/>
      <c r="C33" s="37"/>
      <c r="D33" s="37"/>
      <c r="E33" s="37"/>
      <c r="F33" s="38"/>
      <c r="G33" s="39">
        <f>'Hannah-Costing_Calc'!$B$8</f>
        <v>100</v>
      </c>
      <c r="H33" s="39" t="str">
        <f>IFERROR(IF(OR(F33="",G33=""),"",F33*G33/100),"")</f>
        <v/>
      </c>
      <c r="I33" s="40"/>
      <c r="J33" s="40" t="str">
        <f>IFERROR(H33*I33,"")</f>
        <v/>
      </c>
      <c r="K33" s="40" t="str">
        <f>IFERROR(J33/'Hannah-Costing_Calc'!$B$10,"")</f>
        <v/>
      </c>
      <c r="L33" s="37"/>
      <c r="M33" s="37"/>
      <c r="N33" s="37"/>
    </row>
    <row r="34" spans="1:14">
      <c r="A34" s="37">
        <v>27</v>
      </c>
      <c r="B34" s="37"/>
      <c r="C34" s="37"/>
      <c r="D34" s="37"/>
      <c r="E34" s="37"/>
      <c r="F34" s="38"/>
      <c r="G34" s="39">
        <f>'Hannah-Costing_Calc'!$B$8</f>
        <v>100</v>
      </c>
      <c r="H34" s="39" t="str">
        <f>IFERROR(IF(OR(F34="",G34=""),"",F34*G34/100),"")</f>
        <v/>
      </c>
      <c r="I34" s="40"/>
      <c r="J34" s="40" t="str">
        <f>IFERROR(H34*I34,"")</f>
        <v/>
      </c>
      <c r="K34" s="40" t="str">
        <f>IFERROR(J34/'Hannah-Costing_Calc'!$B$10,"")</f>
        <v/>
      </c>
      <c r="L34" s="37"/>
      <c r="M34" s="37"/>
      <c r="N34" s="37"/>
    </row>
    <row r="35" spans="1:14">
      <c r="A35" s="37">
        <v>28</v>
      </c>
      <c r="B35" s="37"/>
      <c r="C35" s="37"/>
      <c r="D35" s="37"/>
      <c r="E35" s="37"/>
      <c r="F35" s="38"/>
      <c r="G35" s="39">
        <f>'Hannah-Costing_Calc'!$B$8</f>
        <v>100</v>
      </c>
      <c r="H35" s="39" t="str">
        <f>IFERROR(IF(OR(F35="",G35=""),"",F35*G35/100),"")</f>
        <v/>
      </c>
      <c r="I35" s="40"/>
      <c r="J35" s="40" t="str">
        <f>IFERROR(H35*I35,"")</f>
        <v/>
      </c>
      <c r="K35" s="40" t="str">
        <f>IFERROR(J35/'Hannah-Costing_Calc'!$B$10,"")</f>
        <v/>
      </c>
      <c r="L35" s="37"/>
      <c r="M35" s="37"/>
      <c r="N35" s="37"/>
    </row>
    <row r="36" spans="1:14">
      <c r="A36" s="37">
        <v>29</v>
      </c>
      <c r="B36" s="37"/>
      <c r="C36" s="37"/>
      <c r="D36" s="37"/>
      <c r="E36" s="37"/>
      <c r="F36" s="38"/>
      <c r="G36" s="39">
        <f>'Hannah-Costing_Calc'!$B$8</f>
        <v>100</v>
      </c>
      <c r="H36" s="39" t="str">
        <f>IFERROR(IF(OR(F36="",G36=""),"",F36*G36/100),"")</f>
        <v/>
      </c>
      <c r="I36" s="40"/>
      <c r="J36" s="40" t="str">
        <f>IFERROR(H36*I36,"")</f>
        <v/>
      </c>
      <c r="K36" s="40" t="str">
        <f>IFERROR(J36/'Hannah-Costing_Calc'!$B$10,"")</f>
        <v/>
      </c>
      <c r="L36" s="37"/>
      <c r="M36" s="37"/>
      <c r="N36" s="37"/>
    </row>
    <row r="37" spans="1:14">
      <c r="A37" s="37">
        <v>30</v>
      </c>
      <c r="B37" s="37"/>
      <c r="C37" s="37"/>
      <c r="D37" s="37"/>
      <c r="E37" s="37"/>
      <c r="F37" s="38"/>
      <c r="G37" s="39">
        <f>'Hannah-Costing_Calc'!$B$8</f>
        <v>100</v>
      </c>
      <c r="H37" s="39" t="str">
        <f>IFERROR(IF(OR(F37="",G37=""),"",F37*G37/100),"")</f>
        <v/>
      </c>
      <c r="I37" s="40"/>
      <c r="J37" s="40" t="str">
        <f>IFERROR(H37*I37,"")</f>
        <v/>
      </c>
      <c r="K37" s="40" t="str">
        <f>IFERROR(J37/'Hannah-Costing_Calc'!$B$10,"")</f>
        <v/>
      </c>
      <c r="L37" s="37"/>
      <c r="M37" s="37"/>
      <c r="N37" s="37"/>
    </row>
    <row r="38" spans="1:14">
      <c r="A38" s="37">
        <v>31</v>
      </c>
      <c r="B38" s="37"/>
      <c r="C38" s="37"/>
      <c r="D38" s="37"/>
      <c r="E38" s="37"/>
      <c r="F38" s="38"/>
      <c r="G38" s="39">
        <f>'Hannah-Costing_Calc'!$B$8</f>
        <v>100</v>
      </c>
      <c r="H38" s="39" t="str">
        <f>IFERROR(IF(OR(F38="",G38=""),"",F38*G38/100),"")</f>
        <v/>
      </c>
      <c r="I38" s="40"/>
      <c r="J38" s="40" t="str">
        <f>IFERROR(H38*I38,"")</f>
        <v/>
      </c>
      <c r="K38" s="40" t="str">
        <f>IFERROR(J38/'Hannah-Costing_Calc'!$B$10,"")</f>
        <v/>
      </c>
      <c r="L38" s="37"/>
      <c r="M38" s="37"/>
      <c r="N38" s="37"/>
    </row>
    <row r="39" spans="1:14">
      <c r="A39" s="37">
        <v>32</v>
      </c>
      <c r="B39" s="37"/>
      <c r="C39" s="37"/>
      <c r="D39" s="37"/>
      <c r="E39" s="37"/>
      <c r="F39" s="38"/>
      <c r="G39" s="39">
        <f>'Hannah-Costing_Calc'!$B$8</f>
        <v>100</v>
      </c>
      <c r="H39" s="39" t="str">
        <f>IFERROR(IF(OR(F39="",G39=""),"",F39*G39/100),"")</f>
        <v/>
      </c>
      <c r="I39" s="40"/>
      <c r="J39" s="40" t="str">
        <f>IFERROR(H39*I39,"")</f>
        <v/>
      </c>
      <c r="K39" s="40" t="str">
        <f>IFERROR(J39/'Hannah-Costing_Calc'!$B$10,"")</f>
        <v/>
      </c>
      <c r="L39" s="37"/>
      <c r="M39" s="37"/>
      <c r="N39" s="37"/>
    </row>
    <row r="40" spans="1:14">
      <c r="A40" s="37">
        <v>33</v>
      </c>
      <c r="B40" s="37"/>
      <c r="C40" s="37"/>
      <c r="D40" s="37"/>
      <c r="E40" s="37"/>
      <c r="F40" s="38"/>
      <c r="G40" s="39">
        <f>'Hannah-Costing_Calc'!$B$8</f>
        <v>100</v>
      </c>
      <c r="H40" s="39" t="str">
        <f>IFERROR(IF(OR(F40="",G40=""),"",F40*G40/100),"")</f>
        <v/>
      </c>
      <c r="I40" s="40"/>
      <c r="J40" s="40" t="str">
        <f>IFERROR(H40*I40,"")</f>
        <v/>
      </c>
      <c r="K40" s="40" t="str">
        <f>IFERROR(J40/'Hannah-Costing_Calc'!$B$10,"")</f>
        <v/>
      </c>
      <c r="L40" s="37"/>
      <c r="M40" s="37"/>
      <c r="N40" s="37"/>
    </row>
    <row r="41" spans="1:14">
      <c r="A41" s="37">
        <v>34</v>
      </c>
      <c r="B41" s="37"/>
      <c r="C41" s="37"/>
      <c r="D41" s="37"/>
      <c r="E41" s="37"/>
      <c r="F41" s="38"/>
      <c r="G41" s="39">
        <f>'Hannah-Costing_Calc'!$B$8</f>
        <v>100</v>
      </c>
      <c r="H41" s="39" t="str">
        <f>IFERROR(IF(OR(F41="",G41=""),"",F41*G41/100),"")</f>
        <v/>
      </c>
      <c r="I41" s="40"/>
      <c r="J41" s="40" t="str">
        <f>IFERROR(H41*I41,"")</f>
        <v/>
      </c>
      <c r="K41" s="40" t="str">
        <f>IFERROR(J41/'Hannah-Costing_Calc'!$B$10,"")</f>
        <v/>
      </c>
      <c r="L41" s="37"/>
      <c r="M41" s="37"/>
      <c r="N41" s="37"/>
    </row>
    <row r="42" spans="1:14">
      <c r="A42" s="37">
        <v>35</v>
      </c>
      <c r="B42" s="37"/>
      <c r="C42" s="37"/>
      <c r="D42" s="37"/>
      <c r="E42" s="37"/>
      <c r="F42" s="38"/>
      <c r="G42" s="39">
        <f>'Hannah-Costing_Calc'!$B$8</f>
        <v>100</v>
      </c>
      <c r="H42" s="39" t="str">
        <f>IFERROR(IF(OR(F42="",G42=""),"",F42*G42/100),"")</f>
        <v/>
      </c>
      <c r="I42" s="40"/>
      <c r="J42" s="40" t="str">
        <f>IFERROR(H42*I42,"")</f>
        <v/>
      </c>
      <c r="K42" s="40" t="str">
        <f>IFERROR(J42/'Hannah-Costing_Calc'!$B$10,"")</f>
        <v/>
      </c>
      <c r="L42" s="37"/>
      <c r="M42" s="37"/>
      <c r="N42" s="37"/>
    </row>
    <row r="43" spans="1:14">
      <c r="A43" s="37">
        <v>36</v>
      </c>
      <c r="B43" s="37"/>
      <c r="C43" s="37"/>
      <c r="D43" s="37"/>
      <c r="E43" s="37"/>
      <c r="F43" s="38"/>
      <c r="G43" s="39">
        <f>'Hannah-Costing_Calc'!$B$8</f>
        <v>100</v>
      </c>
      <c r="H43" s="39" t="str">
        <f>IFERROR(IF(OR(F43="",G43=""),"",F43*G43/100),"")</f>
        <v/>
      </c>
      <c r="I43" s="40"/>
      <c r="J43" s="40" t="str">
        <f>IFERROR(H43*I43,"")</f>
        <v/>
      </c>
      <c r="K43" s="40" t="str">
        <f>IFERROR(J43/'Hannah-Costing_Calc'!$B$10,"")</f>
        <v/>
      </c>
      <c r="L43" s="37"/>
      <c r="M43" s="37"/>
      <c r="N43" s="37"/>
    </row>
    <row r="44" spans="1:14">
      <c r="A44" s="37">
        <v>37</v>
      </c>
      <c r="B44" s="37"/>
      <c r="C44" s="37"/>
      <c r="D44" s="37"/>
      <c r="E44" s="37"/>
      <c r="F44" s="38"/>
      <c r="G44" s="39">
        <f>'Hannah-Costing_Calc'!$B$8</f>
        <v>100</v>
      </c>
      <c r="H44" s="39" t="str">
        <f>IFERROR(IF(OR(F44="",G44=""),"",F44*G44/100),"")</f>
        <v/>
      </c>
      <c r="I44" s="40"/>
      <c r="J44" s="40" t="str">
        <f>IFERROR(H44*I44,"")</f>
        <v/>
      </c>
      <c r="K44" s="40" t="str">
        <f>IFERROR(J44/'Hannah-Costing_Calc'!$B$10,"")</f>
        <v/>
      </c>
      <c r="L44" s="37"/>
      <c r="M44" s="37"/>
      <c r="N44" s="37"/>
    </row>
    <row r="45" spans="1:14">
      <c r="A45" s="37">
        <v>38</v>
      </c>
      <c r="B45" s="37"/>
      <c r="C45" s="37"/>
      <c r="D45" s="37"/>
      <c r="E45" s="37"/>
      <c r="F45" s="38"/>
      <c r="G45" s="39">
        <f>'Hannah-Costing_Calc'!$B$8</f>
        <v>100</v>
      </c>
      <c r="H45" s="39" t="str">
        <f>IFERROR(IF(OR(F45="",G45=""),"",F45*G45/100),"")</f>
        <v/>
      </c>
      <c r="I45" s="40"/>
      <c r="J45" s="40" t="str">
        <f>IFERROR(H45*I45,"")</f>
        <v/>
      </c>
      <c r="K45" s="40" t="str">
        <f>IFERROR(J45/'Hannah-Costing_Calc'!$B$10,"")</f>
        <v/>
      </c>
      <c r="L45" s="37"/>
      <c r="M45" s="37"/>
      <c r="N45" s="37"/>
    </row>
    <row r="46" spans="1:14">
      <c r="A46" s="37">
        <v>39</v>
      </c>
      <c r="B46" s="37"/>
      <c r="C46" s="37"/>
      <c r="D46" s="37"/>
      <c r="E46" s="37"/>
      <c r="F46" s="38"/>
      <c r="G46" s="39">
        <f>'Hannah-Costing_Calc'!$B$8</f>
        <v>100</v>
      </c>
      <c r="H46" s="39" t="str">
        <f>IFERROR(IF(OR(F46="",G46=""),"",F46*G46/100),"")</f>
        <v/>
      </c>
      <c r="I46" s="40"/>
      <c r="J46" s="40" t="str">
        <f>IFERROR(H46*I46,"")</f>
        <v/>
      </c>
      <c r="K46" s="40" t="str">
        <f>IFERROR(J46/'Hannah-Costing_Calc'!$B$10,"")</f>
        <v/>
      </c>
      <c r="L46" s="37"/>
      <c r="M46" s="37"/>
      <c r="N46" s="37"/>
    </row>
    <row r="47" spans="1:14">
      <c r="A47" s="37">
        <v>40</v>
      </c>
      <c r="B47" s="37"/>
      <c r="C47" s="37"/>
      <c r="D47" s="37"/>
      <c r="E47" s="37"/>
      <c r="F47" s="38"/>
      <c r="G47" s="39">
        <f>'Hannah-Costing_Calc'!$B$8</f>
        <v>100</v>
      </c>
      <c r="H47" s="39" t="str">
        <f>IFERROR(IF(OR(F47="",G47=""),"",F47*G47/100),"")</f>
        <v/>
      </c>
      <c r="I47" s="40"/>
      <c r="J47" s="40" t="str">
        <f>IFERROR(H47*I47,"")</f>
        <v/>
      </c>
      <c r="K47" s="40" t="str">
        <f>IFERROR(J47/'Hannah-Costing_Calc'!$B$10,"")</f>
        <v/>
      </c>
      <c r="L47" s="37"/>
      <c r="M47" s="37"/>
      <c r="N47" s="37"/>
    </row>
    <row r="48" spans="1:14">
      <c r="A48" s="37">
        <v>41</v>
      </c>
      <c r="B48" s="37"/>
      <c r="C48" s="37"/>
      <c r="D48" s="37"/>
      <c r="E48" s="37"/>
      <c r="F48" s="38"/>
      <c r="G48" s="39">
        <f>'Hannah-Costing_Calc'!$B$8</f>
        <v>100</v>
      </c>
      <c r="H48" s="39" t="str">
        <f>IFERROR(IF(OR(F48="",G48=""),"",F48*G48/100),"")</f>
        <v/>
      </c>
      <c r="I48" s="40"/>
      <c r="J48" s="40" t="str">
        <f>IFERROR(H48*I48,"")</f>
        <v/>
      </c>
      <c r="K48" s="40" t="str">
        <f>IFERROR(J48/'Hannah-Costing_Calc'!$B$10,"")</f>
        <v/>
      </c>
      <c r="L48" s="37"/>
      <c r="M48" s="37"/>
      <c r="N48" s="37"/>
    </row>
    <row r="49" spans="1:14">
      <c r="A49" s="37">
        <v>42</v>
      </c>
      <c r="B49" s="37"/>
      <c r="C49" s="37"/>
      <c r="D49" s="37"/>
      <c r="E49" s="37"/>
      <c r="F49" s="38"/>
      <c r="G49" s="39">
        <f>'Hannah-Costing_Calc'!$B$8</f>
        <v>100</v>
      </c>
      <c r="H49" s="39" t="str">
        <f>IFERROR(IF(OR(F49="",G49=""),"",F49*G49/100),"")</f>
        <v/>
      </c>
      <c r="I49" s="40"/>
      <c r="J49" s="40" t="str">
        <f>IFERROR(H49*I49,"")</f>
        <v/>
      </c>
      <c r="K49" s="40" t="str">
        <f>IFERROR(J49/'Hannah-Costing_Calc'!$B$10,"")</f>
        <v/>
      </c>
      <c r="L49" s="37"/>
      <c r="M49" s="37"/>
      <c r="N49" s="37"/>
    </row>
    <row r="50" spans="1:14">
      <c r="A50" s="37">
        <v>43</v>
      </c>
      <c r="B50" s="37"/>
      <c r="C50" s="37"/>
      <c r="D50" s="37"/>
      <c r="E50" s="37"/>
      <c r="F50" s="38"/>
      <c r="G50" s="39">
        <f>'Hannah-Costing_Calc'!$B$8</f>
        <v>100</v>
      </c>
      <c r="H50" s="39" t="str">
        <f>IFERROR(IF(OR(F50="",G50=""),"",F50*G50/100),"")</f>
        <v/>
      </c>
      <c r="I50" s="40"/>
      <c r="J50" s="40" t="str">
        <f>IFERROR(H50*I50,"")</f>
        <v/>
      </c>
      <c r="K50" s="40" t="str">
        <f>IFERROR(J50/'Hannah-Costing_Calc'!$B$10,"")</f>
        <v/>
      </c>
      <c r="L50" s="37"/>
      <c r="M50" s="37"/>
      <c r="N50" s="37"/>
    </row>
    <row r="51" spans="1:14">
      <c r="A51" s="37">
        <v>44</v>
      </c>
      <c r="B51" s="37"/>
      <c r="C51" s="37"/>
      <c r="D51" s="37"/>
      <c r="E51" s="37"/>
      <c r="F51" s="38"/>
      <c r="G51" s="39">
        <f>'Hannah-Costing_Calc'!$B$8</f>
        <v>100</v>
      </c>
      <c r="H51" s="39" t="str">
        <f>IFERROR(IF(OR(F51="",G51=""),"",F51*G51/100),"")</f>
        <v/>
      </c>
      <c r="I51" s="40"/>
      <c r="J51" s="40" t="str">
        <f>IFERROR(H51*I51,"")</f>
        <v/>
      </c>
      <c r="K51" s="40" t="str">
        <f>IFERROR(J51/'Hannah-Costing_Calc'!$B$10,"")</f>
        <v/>
      </c>
      <c r="L51" s="37"/>
      <c r="M51" s="37"/>
      <c r="N51" s="37"/>
    </row>
    <row r="52" spans="1:14">
      <c r="A52" s="37">
        <v>45</v>
      </c>
      <c r="B52" s="37"/>
      <c r="C52" s="37"/>
      <c r="D52" s="37"/>
      <c r="E52" s="37"/>
      <c r="F52" s="38"/>
      <c r="G52" s="39">
        <f>'Hannah-Costing_Calc'!$B$8</f>
        <v>100</v>
      </c>
      <c r="H52" s="39" t="str">
        <f>IFERROR(IF(OR(F52="",G52=""),"",F52*G52/100),"")</f>
        <v/>
      </c>
      <c r="I52" s="40"/>
      <c r="J52" s="40" t="str">
        <f>IFERROR(H52*I52,"")</f>
        <v/>
      </c>
      <c r="K52" s="40" t="str">
        <f>IFERROR(J52/'Hannah-Costing_Calc'!$B$10,"")</f>
        <v/>
      </c>
      <c r="L52" s="37"/>
      <c r="M52" s="37"/>
      <c r="N52" s="37"/>
    </row>
    <row r="53" spans="1:14">
      <c r="A53" s="37">
        <v>46</v>
      </c>
      <c r="B53" s="37"/>
      <c r="C53" s="37"/>
      <c r="D53" s="37"/>
      <c r="E53" s="37"/>
      <c r="F53" s="38"/>
      <c r="G53" s="39">
        <f>'Hannah-Costing_Calc'!$B$8</f>
        <v>100</v>
      </c>
      <c r="H53" s="39" t="str">
        <f>IFERROR(IF(OR(F53="",G53=""),"",F53*G53/100),"")</f>
        <v/>
      </c>
      <c r="I53" s="40"/>
      <c r="J53" s="40" t="str">
        <f>IFERROR(H53*I53,"")</f>
        <v/>
      </c>
      <c r="K53" s="40" t="str">
        <f>IFERROR(J53/'Hannah-Costing_Calc'!$B$10,"")</f>
        <v/>
      </c>
      <c r="L53" s="37"/>
      <c r="M53" s="37"/>
      <c r="N53" s="37"/>
    </row>
    <row r="54" spans="1:14">
      <c r="A54" s="37">
        <v>47</v>
      </c>
      <c r="B54" s="37"/>
      <c r="C54" s="37"/>
      <c r="D54" s="37"/>
      <c r="E54" s="37"/>
      <c r="F54" s="38"/>
      <c r="G54" s="39">
        <f>'Hannah-Costing_Calc'!$B$8</f>
        <v>100</v>
      </c>
      <c r="H54" s="39" t="str">
        <f>IFERROR(IF(OR(F54="",G54=""),"",F54*G54/100),"")</f>
        <v/>
      </c>
      <c r="I54" s="40"/>
      <c r="J54" s="40" t="str">
        <f>IFERROR(H54*I54,"")</f>
        <v/>
      </c>
      <c r="K54" s="40" t="str">
        <f>IFERROR(J54/'Hannah-Costing_Calc'!$B$10,"")</f>
        <v/>
      </c>
      <c r="L54" s="37"/>
      <c r="M54" s="37"/>
      <c r="N54" s="37"/>
    </row>
    <row r="55" spans="1:14">
      <c r="A55" s="37">
        <v>48</v>
      </c>
      <c r="B55" s="37"/>
      <c r="C55" s="37"/>
      <c r="D55" s="37"/>
      <c r="E55" s="37"/>
      <c r="F55" s="38"/>
      <c r="G55" s="39">
        <f>'Hannah-Costing_Calc'!$B$8</f>
        <v>100</v>
      </c>
      <c r="H55" s="39" t="str">
        <f>IFERROR(IF(OR(F55="",G55=""),"",F55*G55/100),"")</f>
        <v/>
      </c>
      <c r="I55" s="40"/>
      <c r="J55" s="40" t="str">
        <f>IFERROR(H55*I55,"")</f>
        <v/>
      </c>
      <c r="K55" s="40" t="str">
        <f>IFERROR(J55/'Hannah-Costing_Calc'!$B$10,"")</f>
        <v/>
      </c>
      <c r="L55" s="37"/>
      <c r="M55" s="37"/>
      <c r="N55" s="37"/>
    </row>
    <row r="56" spans="1:14">
      <c r="A56" s="37">
        <v>49</v>
      </c>
      <c r="B56" s="37"/>
      <c r="C56" s="37"/>
      <c r="D56" s="37"/>
      <c r="E56" s="37"/>
      <c r="F56" s="38"/>
      <c r="G56" s="39">
        <f>'Hannah-Costing_Calc'!$B$8</f>
        <v>100</v>
      </c>
      <c r="H56" s="39" t="str">
        <f>IFERROR(IF(OR(F56="",G56=""),"",F56*G56/100),"")</f>
        <v/>
      </c>
      <c r="I56" s="40"/>
      <c r="J56" s="40" t="str">
        <f>IFERROR(H56*I56,"")</f>
        <v/>
      </c>
      <c r="K56" s="40" t="str">
        <f>IFERROR(J56/'Hannah-Costing_Calc'!$B$10,"")</f>
        <v/>
      </c>
      <c r="L56" s="37"/>
      <c r="M56" s="37"/>
      <c r="N56" s="37"/>
    </row>
    <row r="57" spans="1:14">
      <c r="A57" s="37">
        <v>50</v>
      </c>
      <c r="B57" s="37"/>
      <c r="C57" s="37"/>
      <c r="D57" s="37"/>
      <c r="E57" s="37"/>
      <c r="F57" s="38"/>
      <c r="G57" s="39">
        <f>'Hannah-Costing_Calc'!$B$8</f>
        <v>100</v>
      </c>
      <c r="H57" s="39" t="str">
        <f>IFERROR(IF(OR(F57="",G57=""),"",F57*G57/100),"")</f>
        <v/>
      </c>
      <c r="I57" s="40"/>
      <c r="J57" s="40" t="str">
        <f>IFERROR(H57*I57,"")</f>
        <v/>
      </c>
      <c r="K57" s="40" t="str">
        <f>IFERROR(J57/'Hannah-Costing_Calc'!$B$10,"")</f>
        <v/>
      </c>
      <c r="L57" s="37"/>
      <c r="M57" s="37"/>
      <c r="N57" s="37"/>
    </row>
    <row r="58" spans="1:14">
      <c r="A58" s="37">
        <v>51</v>
      </c>
      <c r="B58" s="37"/>
      <c r="C58" s="37"/>
      <c r="D58" s="37"/>
      <c r="E58" s="37"/>
      <c r="F58" s="38"/>
      <c r="G58" s="39">
        <f>'Hannah-Costing_Calc'!$B$8</f>
        <v>100</v>
      </c>
      <c r="H58" s="39" t="str">
        <f>IFERROR(IF(OR(F58="",G58=""),"",F58*G58/100),"")</f>
        <v/>
      </c>
      <c r="I58" s="40"/>
      <c r="J58" s="40" t="str">
        <f>IFERROR(H58*I58,"")</f>
        <v/>
      </c>
      <c r="K58" s="40" t="str">
        <f>IFERROR(J58/'Hannah-Costing_Calc'!$B$10,"")</f>
        <v/>
      </c>
      <c r="L58" s="37"/>
      <c r="M58" s="37"/>
      <c r="N58" s="37"/>
    </row>
    <row r="59" spans="1:14">
      <c r="A59" s="37">
        <v>52</v>
      </c>
      <c r="B59" s="37"/>
      <c r="C59" s="37"/>
      <c r="D59" s="37"/>
      <c r="E59" s="37"/>
      <c r="F59" s="38"/>
      <c r="G59" s="39">
        <f>'Hannah-Costing_Calc'!$B$8</f>
        <v>100</v>
      </c>
      <c r="H59" s="39" t="str">
        <f>IFERROR(IF(OR(F59="",G59=""),"",F59*G59/100),"")</f>
        <v/>
      </c>
      <c r="I59" s="40"/>
      <c r="J59" s="40" t="str">
        <f>IFERROR(H59*I59,"")</f>
        <v/>
      </c>
      <c r="K59" s="40" t="str">
        <f>IFERROR(J59/'Hannah-Costing_Calc'!$B$10,"")</f>
        <v/>
      </c>
      <c r="L59" s="37"/>
      <c r="M59" s="37"/>
      <c r="N59" s="37"/>
    </row>
    <row r="60" spans="1:14">
      <c r="A60" s="37">
        <v>53</v>
      </c>
      <c r="B60" s="37"/>
      <c r="C60" s="37"/>
      <c r="D60" s="37"/>
      <c r="E60" s="37"/>
      <c r="F60" s="38"/>
      <c r="G60" s="39">
        <f>'Hannah-Costing_Calc'!$B$8</f>
        <v>100</v>
      </c>
      <c r="H60" s="39" t="str">
        <f>IFERROR(IF(OR(F60="",G60=""),"",F60*G60/100),"")</f>
        <v/>
      </c>
      <c r="I60" s="40"/>
      <c r="J60" s="40" t="str">
        <f>IFERROR(H60*I60,"")</f>
        <v/>
      </c>
      <c r="K60" s="40" t="str">
        <f>IFERROR(J60/'Hannah-Costing_Calc'!$B$10,"")</f>
        <v/>
      </c>
      <c r="L60" s="37"/>
      <c r="M60" s="37"/>
      <c r="N60" s="37"/>
    </row>
    <row r="61" spans="1:14">
      <c r="A61" s="37">
        <v>54</v>
      </c>
      <c r="B61" s="37"/>
      <c r="C61" s="37"/>
      <c r="D61" s="37"/>
      <c r="E61" s="37"/>
      <c r="F61" s="38"/>
      <c r="G61" s="39">
        <f>'Hannah-Costing_Calc'!$B$8</f>
        <v>100</v>
      </c>
      <c r="H61" s="39" t="str">
        <f>IFERROR(IF(OR(F61="",G61=""),"",F61*G61/100),"")</f>
        <v/>
      </c>
      <c r="I61" s="40"/>
      <c r="J61" s="40" t="str">
        <f>IFERROR(H61*I61,"")</f>
        <v/>
      </c>
      <c r="K61" s="40" t="str">
        <f>IFERROR(J61/'Hannah-Costing_Calc'!$B$10,"")</f>
        <v/>
      </c>
      <c r="L61" s="37"/>
      <c r="M61" s="37"/>
      <c r="N61" s="37"/>
    </row>
    <row r="62" spans="1:14">
      <c r="A62" s="37">
        <v>55</v>
      </c>
      <c r="B62" s="37"/>
      <c r="C62" s="37"/>
      <c r="D62" s="37"/>
      <c r="E62" s="37"/>
      <c r="F62" s="38"/>
      <c r="G62" s="39">
        <f>'Hannah-Costing_Calc'!$B$8</f>
        <v>100</v>
      </c>
      <c r="H62" s="39" t="str">
        <f>IFERROR(IF(OR(F62="",G62=""),"",F62*G62/100),"")</f>
        <v/>
      </c>
      <c r="I62" s="40"/>
      <c r="J62" s="40" t="str">
        <f>IFERROR(H62*I62,"")</f>
        <v/>
      </c>
      <c r="K62" s="40" t="str">
        <f>IFERROR(J62/'Hannah-Costing_Calc'!$B$10,"")</f>
        <v/>
      </c>
      <c r="L62" s="37"/>
      <c r="M62" s="37"/>
      <c r="N62" s="37"/>
    </row>
    <row r="63" spans="1:14">
      <c r="A63" s="37">
        <v>56</v>
      </c>
      <c r="B63" s="37"/>
      <c r="C63" s="37"/>
      <c r="D63" s="37"/>
      <c r="E63" s="37"/>
      <c r="F63" s="38"/>
      <c r="G63" s="39">
        <f>'Hannah-Costing_Calc'!$B$8</f>
        <v>100</v>
      </c>
      <c r="H63" s="39" t="str">
        <f>IFERROR(IF(OR(F63="",G63=""),"",F63*G63/100),"")</f>
        <v/>
      </c>
      <c r="I63" s="40"/>
      <c r="J63" s="40" t="str">
        <f>IFERROR(H63*I63,"")</f>
        <v/>
      </c>
      <c r="K63" s="40" t="str">
        <f>IFERROR(J63/'Hannah-Costing_Calc'!$B$10,"")</f>
        <v/>
      </c>
      <c r="L63" s="37"/>
      <c r="M63" s="37"/>
      <c r="N63" s="37"/>
    </row>
    <row r="64" spans="1:14">
      <c r="A64" s="37">
        <v>57</v>
      </c>
      <c r="B64" s="37"/>
      <c r="C64" s="37"/>
      <c r="D64" s="37"/>
      <c r="E64" s="37"/>
      <c r="F64" s="38"/>
      <c r="G64" s="39">
        <f>'Hannah-Costing_Calc'!$B$8</f>
        <v>100</v>
      </c>
      <c r="H64" s="39" t="str">
        <f>IFERROR(IF(OR(F64="",G64=""),"",F64*G64/100),"")</f>
        <v/>
      </c>
      <c r="I64" s="40"/>
      <c r="J64" s="40" t="str">
        <f>IFERROR(H64*I64,"")</f>
        <v/>
      </c>
      <c r="K64" s="40" t="str">
        <f>IFERROR(J64/'Hannah-Costing_Calc'!$B$10,"")</f>
        <v/>
      </c>
      <c r="L64" s="37"/>
      <c r="M64" s="37"/>
      <c r="N64" s="37"/>
    </row>
    <row r="65" spans="1:14">
      <c r="A65" s="37">
        <v>58</v>
      </c>
      <c r="B65" s="37"/>
      <c r="C65" s="37"/>
      <c r="D65" s="37"/>
      <c r="E65" s="37"/>
      <c r="F65" s="38"/>
      <c r="G65" s="39">
        <f>'Hannah-Costing_Calc'!$B$8</f>
        <v>100</v>
      </c>
      <c r="H65" s="39" t="str">
        <f>IFERROR(IF(OR(F65="",G65=""),"",F65*G65/100),"")</f>
        <v/>
      </c>
      <c r="I65" s="40"/>
      <c r="J65" s="40" t="str">
        <f>IFERROR(H65*I65,"")</f>
        <v/>
      </c>
      <c r="K65" s="40" t="str">
        <f>IFERROR(J65/'Hannah-Costing_Calc'!$B$10,"")</f>
        <v/>
      </c>
      <c r="L65" s="37"/>
      <c r="M65" s="37"/>
      <c r="N65" s="37"/>
    </row>
    <row r="66" spans="1:14">
      <c r="A66" s="37">
        <v>59</v>
      </c>
      <c r="B66" s="37"/>
      <c r="C66" s="37"/>
      <c r="D66" s="37"/>
      <c r="E66" s="37"/>
      <c r="F66" s="38"/>
      <c r="G66" s="39">
        <f>'Hannah-Costing_Calc'!$B$8</f>
        <v>100</v>
      </c>
      <c r="H66" s="39" t="str">
        <f>IFERROR(IF(OR(F66="",G66=""),"",F66*G66/100),"")</f>
        <v/>
      </c>
      <c r="I66" s="40"/>
      <c r="J66" s="40" t="str">
        <f>IFERROR(H66*I66,"")</f>
        <v/>
      </c>
      <c r="K66" s="40" t="str">
        <f>IFERROR(J66/'Hannah-Costing_Calc'!$B$10,"")</f>
        <v/>
      </c>
      <c r="L66" s="37"/>
      <c r="M66" s="37"/>
      <c r="N66" s="37"/>
    </row>
    <row r="67" spans="1:14">
      <c r="A67" s="37">
        <v>60</v>
      </c>
      <c r="B67" s="37"/>
      <c r="C67" s="37"/>
      <c r="D67" s="37"/>
      <c r="E67" s="37"/>
      <c r="F67" s="38"/>
      <c r="G67" s="39">
        <f>'Hannah-Costing_Calc'!$B$8</f>
        <v>100</v>
      </c>
      <c r="H67" s="39" t="str">
        <f>IFERROR(IF(OR(F67="",G67=""),"",F67*G67/100),"")</f>
        <v/>
      </c>
      <c r="I67" s="40"/>
      <c r="J67" s="40" t="str">
        <f>IFERROR(H67*I67,"")</f>
        <v/>
      </c>
      <c r="K67" s="40" t="str">
        <f>IFERROR(J67/'Hannah-Costing_Calc'!$B$10,"")</f>
        <v/>
      </c>
      <c r="L67" s="37"/>
      <c r="M67" s="37"/>
      <c r="N67" s="37"/>
    </row>
    <row r="68" spans="1:14">
      <c r="A68" s="37">
        <v>61</v>
      </c>
      <c r="B68" s="37"/>
      <c r="C68" s="37"/>
      <c r="D68" s="37"/>
      <c r="E68" s="37"/>
      <c r="F68" s="38"/>
      <c r="G68" s="39">
        <f>'Hannah-Costing_Calc'!$B$8</f>
        <v>100</v>
      </c>
      <c r="H68" s="39" t="str">
        <f>IFERROR(IF(OR(F68="",G68=""),"",F68*G68/100),"")</f>
        <v/>
      </c>
      <c r="I68" s="40"/>
      <c r="J68" s="40" t="str">
        <f>IFERROR(H68*I68,"")</f>
        <v/>
      </c>
      <c r="K68" s="40" t="str">
        <f>IFERROR(J68/'Hannah-Costing_Calc'!$B$10,"")</f>
        <v/>
      </c>
      <c r="L68" s="37"/>
      <c r="M68" s="37"/>
      <c r="N68" s="37"/>
    </row>
    <row r="69" spans="1:14">
      <c r="A69" s="37">
        <v>62</v>
      </c>
      <c r="B69" s="37"/>
      <c r="C69" s="37"/>
      <c r="D69" s="37"/>
      <c r="E69" s="37"/>
      <c r="F69" s="38"/>
      <c r="G69" s="39">
        <f>'Hannah-Costing_Calc'!$B$8</f>
        <v>100</v>
      </c>
      <c r="H69" s="39" t="str">
        <f>IFERROR(IF(OR(F69="",G69=""),"",F69*G69/100),"")</f>
        <v/>
      </c>
      <c r="I69" s="40"/>
      <c r="J69" s="40" t="str">
        <f>IFERROR(H69*I69,"")</f>
        <v/>
      </c>
      <c r="K69" s="40" t="str">
        <f>IFERROR(J69/'Hannah-Costing_Calc'!$B$10,"")</f>
        <v/>
      </c>
      <c r="L69" s="37"/>
      <c r="M69" s="37"/>
      <c r="N69" s="37"/>
    </row>
    <row r="70" spans="1:14">
      <c r="A70" s="37">
        <v>63</v>
      </c>
      <c r="B70" s="37"/>
      <c r="C70" s="37"/>
      <c r="D70" s="37"/>
      <c r="E70" s="37"/>
      <c r="F70" s="38"/>
      <c r="G70" s="39">
        <f>'Hannah-Costing_Calc'!$B$8</f>
        <v>100</v>
      </c>
      <c r="H70" s="39" t="str">
        <f>IFERROR(IF(OR(F70="",G70=""),"",F70*G70/100),"")</f>
        <v/>
      </c>
      <c r="I70" s="40"/>
      <c r="J70" s="40" t="str">
        <f>IFERROR(H70*I70,"")</f>
        <v/>
      </c>
      <c r="K70" s="40" t="str">
        <f>IFERROR(J70/'Hannah-Costing_Calc'!$B$10,"")</f>
        <v/>
      </c>
      <c r="L70" s="37"/>
      <c r="M70" s="37"/>
      <c r="N70" s="37"/>
    </row>
    <row r="71" spans="1:14">
      <c r="A71" s="37">
        <v>64</v>
      </c>
      <c r="B71" s="37"/>
      <c r="C71" s="37"/>
      <c r="D71" s="37"/>
      <c r="E71" s="37"/>
      <c r="F71" s="38"/>
      <c r="G71" s="39">
        <f>'Hannah-Costing_Calc'!$B$8</f>
        <v>100</v>
      </c>
      <c r="H71" s="39" t="str">
        <f>IFERROR(IF(OR(F71="",G71=""),"",F71*G71/100),"")</f>
        <v/>
      </c>
      <c r="I71" s="40"/>
      <c r="J71" s="40" t="str">
        <f>IFERROR(H71*I71,"")</f>
        <v/>
      </c>
      <c r="K71" s="40" t="str">
        <f>IFERROR(J71/'Hannah-Costing_Calc'!$B$10,"")</f>
        <v/>
      </c>
      <c r="L71" s="37"/>
      <c r="M71" s="37"/>
      <c r="N71" s="37"/>
    </row>
    <row r="72" spans="1:14">
      <c r="A72" s="37">
        <v>65</v>
      </c>
      <c r="B72" s="37"/>
      <c r="C72" s="37"/>
      <c r="D72" s="37"/>
      <c r="E72" s="37"/>
      <c r="F72" s="38"/>
      <c r="G72" s="39">
        <f>'Hannah-Costing_Calc'!$B$8</f>
        <v>100</v>
      </c>
      <c r="H72" s="39" t="str">
        <f>IFERROR(IF(OR(F72="",G72=""),"",F72*G72/100),"")</f>
        <v/>
      </c>
      <c r="I72" s="40"/>
      <c r="J72" s="40" t="str">
        <f>IFERROR(H72*I72,"")</f>
        <v/>
      </c>
      <c r="K72" s="40" t="str">
        <f>IFERROR(J72/'Hannah-Costing_Calc'!$B$10,"")</f>
        <v/>
      </c>
      <c r="L72" s="37"/>
      <c r="M72" s="37"/>
      <c r="N72" s="37"/>
    </row>
    <row r="73" spans="1:14">
      <c r="A73" s="37">
        <v>66</v>
      </c>
      <c r="B73" s="37"/>
      <c r="C73" s="37"/>
      <c r="D73" s="37"/>
      <c r="E73" s="37"/>
      <c r="F73" s="38"/>
      <c r="G73" s="39">
        <f>'Hannah-Costing_Calc'!$B$8</f>
        <v>100</v>
      </c>
      <c r="H73" s="39" t="str">
        <f>IFERROR(IF(OR(F73="",G73=""),"",F73*G73/100),"")</f>
        <v/>
      </c>
      <c r="I73" s="40"/>
      <c r="J73" s="40" t="str">
        <f>IFERROR(H73*I73,"")</f>
        <v/>
      </c>
      <c r="K73" s="40" t="str">
        <f>IFERROR(J73/'Hannah-Costing_Calc'!$B$10,"")</f>
        <v/>
      </c>
      <c r="L73" s="37"/>
      <c r="M73" s="37"/>
      <c r="N73" s="37"/>
    </row>
    <row r="74" spans="1:14">
      <c r="A74" s="37">
        <v>67</v>
      </c>
      <c r="B74" s="37"/>
      <c r="C74" s="37"/>
      <c r="D74" s="37"/>
      <c r="E74" s="37"/>
      <c r="F74" s="38"/>
      <c r="G74" s="39">
        <f>'Hannah-Costing_Calc'!$B$8</f>
        <v>100</v>
      </c>
      <c r="H74" s="39" t="str">
        <f>IFERROR(IF(OR(F74="",G74=""),"",F74*G74/100),"")</f>
        <v/>
      </c>
      <c r="I74" s="40"/>
      <c r="J74" s="40" t="str">
        <f>IFERROR(H74*I74,"")</f>
        <v/>
      </c>
      <c r="K74" s="40" t="str">
        <f>IFERROR(J74/'Hannah-Costing_Calc'!$B$10,"")</f>
        <v/>
      </c>
      <c r="L74" s="37"/>
      <c r="M74" s="37"/>
      <c r="N74" s="37"/>
    </row>
    <row r="75" spans="1:14">
      <c r="A75" s="37">
        <v>68</v>
      </c>
      <c r="B75" s="37"/>
      <c r="C75" s="37"/>
      <c r="D75" s="37"/>
      <c r="E75" s="37"/>
      <c r="F75" s="38"/>
      <c r="G75" s="39">
        <f>'Hannah-Costing_Calc'!$B$8</f>
        <v>100</v>
      </c>
      <c r="H75" s="39" t="str">
        <f>IFERROR(IF(OR(F75="",G75=""),"",F75*G75/100),"")</f>
        <v/>
      </c>
      <c r="I75" s="40"/>
      <c r="J75" s="40" t="str">
        <f>IFERROR(H75*I75,"")</f>
        <v/>
      </c>
      <c r="K75" s="40" t="str">
        <f>IFERROR(J75/'Hannah-Costing_Calc'!$B$10,"")</f>
        <v/>
      </c>
      <c r="L75" s="37"/>
      <c r="M75" s="37"/>
      <c r="N75" s="37"/>
    </row>
    <row r="76" spans="1:14">
      <c r="A76" s="37">
        <v>69</v>
      </c>
      <c r="B76" s="37"/>
      <c r="C76" s="37"/>
      <c r="D76" s="37"/>
      <c r="E76" s="37"/>
      <c r="F76" s="38"/>
      <c r="G76" s="39">
        <f>'Hannah-Costing_Calc'!$B$8</f>
        <v>100</v>
      </c>
      <c r="H76" s="39" t="str">
        <f>IFERROR(IF(OR(F76="",G76=""),"",F76*G76/100),"")</f>
        <v/>
      </c>
      <c r="I76" s="40"/>
      <c r="J76" s="40" t="str">
        <f>IFERROR(H76*I76,"")</f>
        <v/>
      </c>
      <c r="K76" s="40" t="str">
        <f>IFERROR(J76/'Hannah-Costing_Calc'!$B$10,"")</f>
        <v/>
      </c>
      <c r="L76" s="37"/>
      <c r="M76" s="37"/>
      <c r="N76" s="37"/>
    </row>
    <row r="77" spans="1:14">
      <c r="A77" s="37">
        <v>70</v>
      </c>
      <c r="B77" s="37"/>
      <c r="C77" s="37"/>
      <c r="D77" s="37"/>
      <c r="E77" s="37"/>
      <c r="F77" s="38"/>
      <c r="G77" s="39">
        <f>'Hannah-Costing_Calc'!$B$8</f>
        <v>100</v>
      </c>
      <c r="H77" s="39" t="str">
        <f>IFERROR(IF(OR(F77="",G77=""),"",F77*G77/100),"")</f>
        <v/>
      </c>
      <c r="I77" s="40"/>
      <c r="J77" s="40" t="str">
        <f>IFERROR(H77*I77,"")</f>
        <v/>
      </c>
      <c r="K77" s="40" t="str">
        <f>IFERROR(J77/'Hannah-Costing_Calc'!$B$10,"")</f>
        <v/>
      </c>
      <c r="L77" s="37"/>
      <c r="M77" s="37"/>
      <c r="N77" s="37"/>
    </row>
    <row r="78" spans="1:14">
      <c r="A78" s="37">
        <v>71</v>
      </c>
      <c r="B78" s="37"/>
      <c r="C78" s="37"/>
      <c r="D78" s="37"/>
      <c r="E78" s="37"/>
      <c r="F78" s="38"/>
      <c r="G78" s="39">
        <f>'Hannah-Costing_Calc'!$B$8</f>
        <v>100</v>
      </c>
      <c r="H78" s="39" t="str">
        <f>IFERROR(IF(OR(F78="",G78=""),"",F78*G78/100),"")</f>
        <v/>
      </c>
      <c r="I78" s="40"/>
      <c r="J78" s="40" t="str">
        <f>IFERROR(H78*I78,"")</f>
        <v/>
      </c>
      <c r="K78" s="40" t="str">
        <f>IFERROR(J78/'Hannah-Costing_Calc'!$B$10,"")</f>
        <v/>
      </c>
      <c r="L78" s="37"/>
      <c r="M78" s="37"/>
      <c r="N78" s="37"/>
    </row>
    <row r="79" spans="1:14">
      <c r="A79" s="37">
        <v>72</v>
      </c>
      <c r="B79" s="37"/>
      <c r="C79" s="37"/>
      <c r="D79" s="37"/>
      <c r="E79" s="37"/>
      <c r="F79" s="38"/>
      <c r="G79" s="39">
        <f>'Hannah-Costing_Calc'!$B$8</f>
        <v>100</v>
      </c>
      <c r="H79" s="39" t="str">
        <f>IFERROR(IF(OR(F79="",G79=""),"",F79*G79/100),"")</f>
        <v/>
      </c>
      <c r="I79" s="40"/>
      <c r="J79" s="40" t="str">
        <f>IFERROR(H79*I79,"")</f>
        <v/>
      </c>
      <c r="K79" s="40" t="str">
        <f>IFERROR(J79/'Hannah-Costing_Calc'!$B$10,"")</f>
        <v/>
      </c>
      <c r="L79" s="37"/>
      <c r="M79" s="37"/>
      <c r="N79" s="37"/>
    </row>
    <row r="80" spans="1:14">
      <c r="A80" s="37">
        <v>73</v>
      </c>
      <c r="B80" s="37"/>
      <c r="C80" s="37"/>
      <c r="D80" s="37"/>
      <c r="E80" s="37"/>
      <c r="F80" s="38"/>
      <c r="G80" s="39">
        <f>'Hannah-Costing_Calc'!$B$8</f>
        <v>100</v>
      </c>
      <c r="H80" s="39" t="str">
        <f>IFERROR(IF(OR(F80="",G80=""),"",F80*G80/100),"")</f>
        <v/>
      </c>
      <c r="I80" s="40"/>
      <c r="J80" s="40" t="str">
        <f>IFERROR(H80*I80,"")</f>
        <v/>
      </c>
      <c r="K80" s="40" t="str">
        <f>IFERROR(J80/'Hannah-Costing_Calc'!$B$10,"")</f>
        <v/>
      </c>
      <c r="L80" s="37"/>
      <c r="M80" s="37"/>
      <c r="N80" s="37"/>
    </row>
    <row r="81" spans="1:14">
      <c r="A81" s="37">
        <v>74</v>
      </c>
      <c r="B81" s="37"/>
      <c r="C81" s="37"/>
      <c r="D81" s="37"/>
      <c r="E81" s="37"/>
      <c r="F81" s="38"/>
      <c r="G81" s="39">
        <f>'Hannah-Costing_Calc'!$B$8</f>
        <v>100</v>
      </c>
      <c r="H81" s="39" t="str">
        <f>IFERROR(IF(OR(F81="",G81=""),"",F81*G81/100),"")</f>
        <v/>
      </c>
      <c r="I81" s="40"/>
      <c r="J81" s="40" t="str">
        <f>IFERROR(H81*I81,"")</f>
        <v/>
      </c>
      <c r="K81" s="40" t="str">
        <f>IFERROR(J81/'Hannah-Costing_Calc'!$B$10,"")</f>
        <v/>
      </c>
      <c r="L81" s="37"/>
      <c r="M81" s="37"/>
      <c r="N81" s="37"/>
    </row>
    <row r="82" spans="1:14">
      <c r="A82" s="37">
        <v>75</v>
      </c>
      <c r="B82" s="37"/>
      <c r="C82" s="37"/>
      <c r="D82" s="37"/>
      <c r="E82" s="37"/>
      <c r="F82" s="38"/>
      <c r="G82" s="39">
        <f>'Hannah-Costing_Calc'!$B$8</f>
        <v>100</v>
      </c>
      <c r="H82" s="39" t="str">
        <f>IFERROR(IF(OR(F82="",G82=""),"",F82*G82/100),"")</f>
        <v/>
      </c>
      <c r="I82" s="40"/>
      <c r="J82" s="40" t="str">
        <f>IFERROR(H82*I82,"")</f>
        <v/>
      </c>
      <c r="K82" s="40" t="str">
        <f>IFERROR(J82/'Hannah-Costing_Calc'!$B$10,"")</f>
        <v/>
      </c>
      <c r="L82" s="37"/>
      <c r="M82" s="37"/>
      <c r="N82" s="37"/>
    </row>
    <row r="83" spans="1:14">
      <c r="A83" s="37">
        <v>76</v>
      </c>
      <c r="B83" s="37"/>
      <c r="C83" s="37"/>
      <c r="D83" s="37"/>
      <c r="E83" s="37"/>
      <c r="F83" s="38"/>
      <c r="G83" s="39">
        <f>'Hannah-Costing_Calc'!$B$8</f>
        <v>100</v>
      </c>
      <c r="H83" s="39" t="str">
        <f>IFERROR(IF(OR(F83="",G83=""),"",F83*G83/100),"")</f>
        <v/>
      </c>
      <c r="I83" s="40"/>
      <c r="J83" s="40" t="str">
        <f>IFERROR(H83*I83,"")</f>
        <v/>
      </c>
      <c r="K83" s="40" t="str">
        <f>IFERROR(J83/'Hannah-Costing_Calc'!$B$10,"")</f>
        <v/>
      </c>
      <c r="L83" s="37"/>
      <c r="M83" s="37"/>
      <c r="N83" s="37"/>
    </row>
    <row r="84" spans="1:14">
      <c r="A84" s="37">
        <v>77</v>
      </c>
      <c r="B84" s="37"/>
      <c r="C84" s="37"/>
      <c r="D84" s="37"/>
      <c r="E84" s="37"/>
      <c r="F84" s="38"/>
      <c r="G84" s="39">
        <f>'Hannah-Costing_Calc'!$B$8</f>
        <v>100</v>
      </c>
      <c r="H84" s="39" t="str">
        <f>IFERROR(IF(OR(F84="",G84=""),"",F84*G84/100),"")</f>
        <v/>
      </c>
      <c r="I84" s="40"/>
      <c r="J84" s="40" t="str">
        <f>IFERROR(H84*I84,"")</f>
        <v/>
      </c>
      <c r="K84" s="40" t="str">
        <f>IFERROR(J84/'Hannah-Costing_Calc'!$B$10,"")</f>
        <v/>
      </c>
      <c r="L84" s="37"/>
      <c r="M84" s="37"/>
      <c r="N84" s="37"/>
    </row>
    <row r="85" spans="1:14">
      <c r="A85" s="37">
        <v>78</v>
      </c>
      <c r="B85" s="37"/>
      <c r="C85" s="37"/>
      <c r="D85" s="37"/>
      <c r="E85" s="37"/>
      <c r="F85" s="38"/>
      <c r="G85" s="39">
        <f>'Hannah-Costing_Calc'!$B$8</f>
        <v>100</v>
      </c>
      <c r="H85" s="39" t="str">
        <f>IFERROR(IF(OR(F85="",G85=""),"",F85*G85/100),"")</f>
        <v/>
      </c>
      <c r="I85" s="40"/>
      <c r="J85" s="40" t="str">
        <f>IFERROR(H85*I85,"")</f>
        <v/>
      </c>
      <c r="K85" s="40" t="str">
        <f>IFERROR(J85/'Hannah-Costing_Calc'!$B$10,"")</f>
        <v/>
      </c>
      <c r="L85" s="37"/>
      <c r="M85" s="37"/>
      <c r="N85" s="37"/>
    </row>
    <row r="86" spans="1:14">
      <c r="A86" s="37">
        <v>79</v>
      </c>
      <c r="B86" s="37"/>
      <c r="C86" s="37"/>
      <c r="D86" s="37"/>
      <c r="E86" s="37"/>
      <c r="F86" s="38"/>
      <c r="G86" s="39">
        <f>'Hannah-Costing_Calc'!$B$8</f>
        <v>100</v>
      </c>
      <c r="H86" s="39" t="str">
        <f>IFERROR(IF(OR(F86="",G86=""),"",F86*G86/100),"")</f>
        <v/>
      </c>
      <c r="I86" s="40"/>
      <c r="J86" s="40" t="str">
        <f>IFERROR(H86*I86,"")</f>
        <v/>
      </c>
      <c r="K86" s="40" t="str">
        <f>IFERROR(J86/'Hannah-Costing_Calc'!$B$10,"")</f>
        <v/>
      </c>
      <c r="L86" s="37"/>
      <c r="M86" s="37"/>
      <c r="N86" s="37"/>
    </row>
    <row r="87" spans="1:14">
      <c r="A87" s="37">
        <v>80</v>
      </c>
      <c r="B87" s="37"/>
      <c r="C87" s="37"/>
      <c r="D87" s="37"/>
      <c r="E87" s="37"/>
      <c r="F87" s="38"/>
      <c r="G87" s="39">
        <f>'Hannah-Costing_Calc'!$B$8</f>
        <v>100</v>
      </c>
      <c r="H87" s="39" t="str">
        <f>IFERROR(IF(OR(F87="",G87=""),"",F87*G87/100),"")</f>
        <v/>
      </c>
      <c r="I87" s="40"/>
      <c r="J87" s="40" t="str">
        <f>IFERROR(H87*I87,"")</f>
        <v/>
      </c>
      <c r="K87" s="40" t="str">
        <f>IFERROR(J87/'Hannah-Costing_Calc'!$B$10,"")</f>
        <v/>
      </c>
      <c r="L87" s="37"/>
      <c r="M87" s="37"/>
      <c r="N87" s="37"/>
    </row>
    <row r="88" spans="1:14">
      <c r="A88" s="37">
        <v>81</v>
      </c>
      <c r="B88" s="37"/>
      <c r="C88" s="37"/>
      <c r="D88" s="37"/>
      <c r="E88" s="37"/>
      <c r="F88" s="38"/>
      <c r="G88" s="39">
        <f>'Hannah-Costing_Calc'!$B$8</f>
        <v>100</v>
      </c>
      <c r="H88" s="39" t="str">
        <f>IFERROR(IF(OR(F88="",G88=""),"",F88*G88/100),"")</f>
        <v/>
      </c>
      <c r="I88" s="40"/>
      <c r="J88" s="40" t="str">
        <f>IFERROR(H88*I88,"")</f>
        <v/>
      </c>
      <c r="K88" s="40" t="str">
        <f>IFERROR(J88/'Hannah-Costing_Calc'!$B$10,"")</f>
        <v/>
      </c>
      <c r="L88" s="37"/>
      <c r="M88" s="37"/>
      <c r="N88" s="37"/>
    </row>
    <row r="89" spans="1:14">
      <c r="A89" s="37">
        <v>82</v>
      </c>
      <c r="B89" s="37"/>
      <c r="C89" s="37"/>
      <c r="D89" s="37"/>
      <c r="E89" s="37"/>
      <c r="F89" s="38"/>
      <c r="G89" s="39">
        <f>'Hannah-Costing_Calc'!$B$8</f>
        <v>100</v>
      </c>
      <c r="H89" s="39" t="str">
        <f>IFERROR(IF(OR(F89="",G89=""),"",F89*G89/100),"")</f>
        <v/>
      </c>
      <c r="I89" s="40"/>
      <c r="J89" s="40" t="str">
        <f>IFERROR(H89*I89,"")</f>
        <v/>
      </c>
      <c r="K89" s="40" t="str">
        <f>IFERROR(J89/'Hannah-Costing_Calc'!$B$10,"")</f>
        <v/>
      </c>
      <c r="L89" s="37"/>
      <c r="M89" s="37"/>
      <c r="N89" s="37"/>
    </row>
    <row r="90" spans="1:14">
      <c r="A90" s="37">
        <v>83</v>
      </c>
      <c r="B90" s="37"/>
      <c r="C90" s="37"/>
      <c r="D90" s="37"/>
      <c r="E90" s="37"/>
      <c r="F90" s="38"/>
      <c r="G90" s="39">
        <f>'Hannah-Costing_Calc'!$B$8</f>
        <v>100</v>
      </c>
      <c r="H90" s="39" t="str">
        <f>IFERROR(IF(OR(F90="",G90=""),"",F90*G90/100),"")</f>
        <v/>
      </c>
      <c r="I90" s="40"/>
      <c r="J90" s="40" t="str">
        <f>IFERROR(H90*I90,"")</f>
        <v/>
      </c>
      <c r="K90" s="40" t="str">
        <f>IFERROR(J90/'Hannah-Costing_Calc'!$B$10,"")</f>
        <v/>
      </c>
      <c r="L90" s="37"/>
      <c r="M90" s="37"/>
      <c r="N90" s="37"/>
    </row>
    <row r="91" spans="1:14">
      <c r="A91" s="37">
        <v>84</v>
      </c>
      <c r="B91" s="37"/>
      <c r="C91" s="37"/>
      <c r="D91" s="37"/>
      <c r="E91" s="37"/>
      <c r="F91" s="38"/>
      <c r="G91" s="39">
        <f>'Hannah-Costing_Calc'!$B$8</f>
        <v>100</v>
      </c>
      <c r="H91" s="39" t="str">
        <f>IFERROR(IF(OR(F91="",G91=""),"",F91*G91/100),"")</f>
        <v/>
      </c>
      <c r="I91" s="40"/>
      <c r="J91" s="40" t="str">
        <f>IFERROR(H91*I91,"")</f>
        <v/>
      </c>
      <c r="K91" s="40" t="str">
        <f>IFERROR(J91/'Hannah-Costing_Calc'!$B$10,"")</f>
        <v/>
      </c>
      <c r="L91" s="37"/>
      <c r="M91" s="37"/>
      <c r="N91" s="37"/>
    </row>
    <row r="92" spans="1:14">
      <c r="A92" s="37">
        <v>85</v>
      </c>
      <c r="B92" s="37"/>
      <c r="C92" s="37"/>
      <c r="D92" s="37"/>
      <c r="E92" s="37"/>
      <c r="F92" s="38"/>
      <c r="G92" s="39">
        <f>'Hannah-Costing_Calc'!$B$8</f>
        <v>100</v>
      </c>
      <c r="H92" s="39" t="str">
        <f>IFERROR(IF(OR(F92="",G92=""),"",F92*G92/100),"")</f>
        <v/>
      </c>
      <c r="I92" s="40"/>
      <c r="J92" s="40" t="str">
        <f>IFERROR(H92*I92,"")</f>
        <v/>
      </c>
      <c r="K92" s="40" t="str">
        <f>IFERROR(J92/'Hannah-Costing_Calc'!$B$10,"")</f>
        <v/>
      </c>
      <c r="L92" s="37"/>
      <c r="M92" s="37"/>
      <c r="N92" s="37"/>
    </row>
    <row r="93" spans="1:14">
      <c r="A93" s="37">
        <v>86</v>
      </c>
      <c r="B93" s="37"/>
      <c r="C93" s="37"/>
      <c r="D93" s="37"/>
      <c r="E93" s="37"/>
      <c r="F93" s="38"/>
      <c r="G93" s="39">
        <f>'Hannah-Costing_Calc'!$B$8</f>
        <v>100</v>
      </c>
      <c r="H93" s="39" t="str">
        <f>IFERROR(IF(OR(F93="",G93=""),"",F93*G93/100),"")</f>
        <v/>
      </c>
      <c r="I93" s="40"/>
      <c r="J93" s="40" t="str">
        <f>IFERROR(H93*I93,"")</f>
        <v/>
      </c>
      <c r="K93" s="40" t="str">
        <f>IFERROR(J93/'Hannah-Costing_Calc'!$B$10,"")</f>
        <v/>
      </c>
      <c r="L93" s="37"/>
      <c r="M93" s="37"/>
      <c r="N93" s="37"/>
    </row>
    <row r="94" spans="1:14">
      <c r="A94" s="37">
        <v>87</v>
      </c>
      <c r="B94" s="37"/>
      <c r="C94" s="37"/>
      <c r="D94" s="37"/>
      <c r="E94" s="37"/>
      <c r="F94" s="38"/>
      <c r="G94" s="39">
        <f>'Hannah-Costing_Calc'!$B$8</f>
        <v>100</v>
      </c>
      <c r="H94" s="39" t="str">
        <f>IFERROR(IF(OR(F94="",G94=""),"",F94*G94/100),"")</f>
        <v/>
      </c>
      <c r="I94" s="40"/>
      <c r="J94" s="40" t="str">
        <f>IFERROR(H94*I94,"")</f>
        <v/>
      </c>
      <c r="K94" s="40" t="str">
        <f>IFERROR(J94/'Hannah-Costing_Calc'!$B$10,"")</f>
        <v/>
      </c>
      <c r="L94" s="37"/>
      <c r="M94" s="37"/>
      <c r="N94" s="37"/>
    </row>
    <row r="95" spans="1:14">
      <c r="A95" s="37">
        <v>88</v>
      </c>
      <c r="B95" s="37"/>
      <c r="C95" s="37"/>
      <c r="D95" s="37"/>
      <c r="E95" s="37"/>
      <c r="F95" s="38"/>
      <c r="G95" s="39">
        <f>'Hannah-Costing_Calc'!$B$8</f>
        <v>100</v>
      </c>
      <c r="H95" s="39" t="str">
        <f>IFERROR(IF(OR(F95="",G95=""),"",F95*G95/100),"")</f>
        <v/>
      </c>
      <c r="I95" s="40"/>
      <c r="J95" s="40" t="str">
        <f>IFERROR(H95*I95,"")</f>
        <v/>
      </c>
      <c r="K95" s="40" t="str">
        <f>IFERROR(J95/'Hannah-Costing_Calc'!$B$10,"")</f>
        <v/>
      </c>
      <c r="L95" s="37"/>
      <c r="M95" s="37"/>
      <c r="N95" s="37"/>
    </row>
    <row r="96" spans="1:14">
      <c r="A96" s="37">
        <v>89</v>
      </c>
      <c r="B96" s="37"/>
      <c r="C96" s="37"/>
      <c r="D96" s="37"/>
      <c r="E96" s="37"/>
      <c r="F96" s="38"/>
      <c r="G96" s="39">
        <f>'Hannah-Costing_Calc'!$B$8</f>
        <v>100</v>
      </c>
      <c r="H96" s="39" t="str">
        <f>IFERROR(IF(OR(F96="",G96=""),"",F96*G96/100),"")</f>
        <v/>
      </c>
      <c r="I96" s="40"/>
      <c r="J96" s="40" t="str">
        <f>IFERROR(H96*I96,"")</f>
        <v/>
      </c>
      <c r="K96" s="40" t="str">
        <f>IFERROR(J96/'Hannah-Costing_Calc'!$B$10,"")</f>
        <v/>
      </c>
      <c r="L96" s="37"/>
      <c r="M96" s="37"/>
      <c r="N96" s="37"/>
    </row>
    <row r="97" spans="1:14">
      <c r="A97" s="37">
        <v>90</v>
      </c>
      <c r="B97" s="37"/>
      <c r="C97" s="37"/>
      <c r="D97" s="37"/>
      <c r="E97" s="37"/>
      <c r="F97" s="38"/>
      <c r="G97" s="39">
        <f>'Hannah-Costing_Calc'!$B$8</f>
        <v>100</v>
      </c>
      <c r="H97" s="39" t="str">
        <f>IFERROR(IF(OR(F97="",G97=""),"",F97*G97/100),"")</f>
        <v/>
      </c>
      <c r="I97" s="40"/>
      <c r="J97" s="40" t="str">
        <f>IFERROR(H97*I97,"")</f>
        <v/>
      </c>
      <c r="K97" s="40" t="str">
        <f>IFERROR(J97/'Hannah-Costing_Calc'!$B$10,"")</f>
        <v/>
      </c>
      <c r="L97" s="37"/>
      <c r="M97" s="37"/>
      <c r="N97" s="37"/>
    </row>
    <row r="98" spans="1:14">
      <c r="A98" s="37">
        <v>91</v>
      </c>
      <c r="B98" s="37"/>
      <c r="C98" s="37"/>
      <c r="D98" s="37"/>
      <c r="E98" s="37"/>
      <c r="F98" s="38"/>
      <c r="G98" s="39">
        <f>'Hannah-Costing_Calc'!$B$8</f>
        <v>100</v>
      </c>
      <c r="H98" s="39" t="str">
        <f>IFERROR(IF(OR(F98="",G98=""),"",F98*G98/100),"")</f>
        <v/>
      </c>
      <c r="I98" s="40"/>
      <c r="J98" s="40" t="str">
        <f>IFERROR(H98*I98,"")</f>
        <v/>
      </c>
      <c r="K98" s="40" t="str">
        <f>IFERROR(J98/'Hannah-Costing_Calc'!$B$10,"")</f>
        <v/>
      </c>
      <c r="L98" s="37"/>
      <c r="M98" s="37"/>
      <c r="N98" s="37"/>
    </row>
    <row r="99" spans="1:14">
      <c r="A99" s="37">
        <v>92</v>
      </c>
      <c r="B99" s="37"/>
      <c r="C99" s="37"/>
      <c r="D99" s="37"/>
      <c r="E99" s="37"/>
      <c r="F99" s="38"/>
      <c r="G99" s="39">
        <f>'Hannah-Costing_Calc'!$B$8</f>
        <v>100</v>
      </c>
      <c r="H99" s="39" t="str">
        <f>IFERROR(IF(OR(F99="",G99=""),"",F99*G99/100),"")</f>
        <v/>
      </c>
      <c r="I99" s="40"/>
      <c r="J99" s="40" t="str">
        <f>IFERROR(H99*I99,"")</f>
        <v/>
      </c>
      <c r="K99" s="40" t="str">
        <f>IFERROR(J99/'Hannah-Costing_Calc'!$B$10,"")</f>
        <v/>
      </c>
      <c r="L99" s="37"/>
      <c r="M99" s="37"/>
      <c r="N99" s="37"/>
    </row>
    <row r="100" spans="1:14">
      <c r="A100" s="37">
        <v>93</v>
      </c>
      <c r="B100" s="37"/>
      <c r="C100" s="37"/>
      <c r="D100" s="37"/>
      <c r="E100" s="37"/>
      <c r="F100" s="38"/>
      <c r="G100" s="39">
        <f>'Hannah-Costing_Calc'!$B$8</f>
        <v>100</v>
      </c>
      <c r="H100" s="39" t="str">
        <f>IFERROR(IF(OR(F100="",G100=""),"",F100*G100/100),"")</f>
        <v/>
      </c>
      <c r="I100" s="40"/>
      <c r="J100" s="40" t="str">
        <f>IFERROR(H100*I100,"")</f>
        <v/>
      </c>
      <c r="K100" s="40" t="str">
        <f>IFERROR(J100/'Hannah-Costing_Calc'!$B$10,"")</f>
        <v/>
      </c>
      <c r="L100" s="37"/>
      <c r="M100" s="37"/>
      <c r="N100" s="37"/>
    </row>
    <row r="101" spans="1:14">
      <c r="A101" s="37">
        <v>94</v>
      </c>
      <c r="B101" s="37"/>
      <c r="C101" s="37"/>
      <c r="D101" s="37"/>
      <c r="E101" s="37"/>
      <c r="F101" s="38"/>
      <c r="G101" s="39">
        <f>'Hannah-Costing_Calc'!$B$8</f>
        <v>100</v>
      </c>
      <c r="H101" s="39" t="str">
        <f>IFERROR(IF(OR(F101="",G101=""),"",F101*G101/100),"")</f>
        <v/>
      </c>
      <c r="I101" s="40"/>
      <c r="J101" s="40" t="str">
        <f>IFERROR(H101*I101,"")</f>
        <v/>
      </c>
      <c r="K101" s="40" t="str">
        <f>IFERROR(J101/'Hannah-Costing_Calc'!$B$10,"")</f>
        <v/>
      </c>
      <c r="L101" s="37"/>
      <c r="M101" s="37"/>
      <c r="N101" s="37"/>
    </row>
    <row r="102" spans="1:14">
      <c r="A102" s="37">
        <v>95</v>
      </c>
      <c r="B102" s="37"/>
      <c r="C102" s="37"/>
      <c r="D102" s="37"/>
      <c r="E102" s="37"/>
      <c r="F102" s="38"/>
      <c r="G102" s="39">
        <f>'Hannah-Costing_Calc'!$B$8</f>
        <v>100</v>
      </c>
      <c r="H102" s="39" t="str">
        <f>IFERROR(IF(OR(F102="",G102=""),"",F102*G102/100),"")</f>
        <v/>
      </c>
      <c r="I102" s="40"/>
      <c r="J102" s="40" t="str">
        <f>IFERROR(H102*I102,"")</f>
        <v/>
      </c>
      <c r="K102" s="40" t="str">
        <f>IFERROR(J102/'Hannah-Costing_Calc'!$B$10,"")</f>
        <v/>
      </c>
      <c r="L102" s="37"/>
      <c r="M102" s="37"/>
      <c r="N102" s="37"/>
    </row>
    <row r="103" spans="1:14">
      <c r="A103" s="37">
        <v>96</v>
      </c>
      <c r="B103" s="37"/>
      <c r="C103" s="37"/>
      <c r="D103" s="37"/>
      <c r="E103" s="37"/>
      <c r="F103" s="38"/>
      <c r="G103" s="39">
        <f>'Hannah-Costing_Calc'!$B$8</f>
        <v>100</v>
      </c>
      <c r="H103" s="39" t="str">
        <f>IFERROR(IF(OR(F103="",G103=""),"",F103*G103/100),"")</f>
        <v/>
      </c>
      <c r="I103" s="40"/>
      <c r="J103" s="40" t="str">
        <f>IFERROR(H103*I103,"")</f>
        <v/>
      </c>
      <c r="K103" s="40" t="str">
        <f>IFERROR(J103/'Hannah-Costing_Calc'!$B$10,"")</f>
        <v/>
      </c>
      <c r="L103" s="37"/>
      <c r="M103" s="37"/>
      <c r="N103" s="37"/>
    </row>
    <row r="104" spans="1:14">
      <c r="A104" s="37">
        <v>97</v>
      </c>
      <c r="B104" s="37"/>
      <c r="C104" s="37"/>
      <c r="D104" s="37"/>
      <c r="E104" s="37"/>
      <c r="F104" s="38"/>
      <c r="G104" s="39">
        <f>'Hannah-Costing_Calc'!$B$8</f>
        <v>100</v>
      </c>
      <c r="H104" s="39" t="str">
        <f>IFERROR(IF(OR(F104="",G104=""),"",F104*G104/100),"")</f>
        <v/>
      </c>
      <c r="I104" s="40"/>
      <c r="J104" s="40" t="str">
        <f>IFERROR(H104*I104,"")</f>
        <v/>
      </c>
      <c r="K104" s="40" t="str">
        <f>IFERROR(J104/'Hannah-Costing_Calc'!$B$10,"")</f>
        <v/>
      </c>
      <c r="L104" s="37"/>
      <c r="M104" s="37"/>
      <c r="N104" s="37"/>
    </row>
    <row r="105" spans="1:14">
      <c r="A105" s="37">
        <v>98</v>
      </c>
      <c r="B105" s="37"/>
      <c r="C105" s="37"/>
      <c r="D105" s="37"/>
      <c r="E105" s="37"/>
      <c r="F105" s="38"/>
      <c r="G105" s="39">
        <f>'Hannah-Costing_Calc'!$B$8</f>
        <v>100</v>
      </c>
      <c r="H105" s="39" t="str">
        <f>IFERROR(IF(OR(F105="",G105=""),"",F105*G105/100),"")</f>
        <v/>
      </c>
      <c r="I105" s="40"/>
      <c r="J105" s="40" t="str">
        <f>IFERROR(H105*I105,"")</f>
        <v/>
      </c>
      <c r="K105" s="40" t="str">
        <f>IFERROR(J105/'Hannah-Costing_Calc'!$B$10,"")</f>
        <v/>
      </c>
      <c r="L105" s="37"/>
      <c r="M105" s="37"/>
      <c r="N105" s="37"/>
    </row>
    <row r="106" spans="1:14">
      <c r="A106" s="37">
        <v>99</v>
      </c>
      <c r="B106" s="37"/>
      <c r="C106" s="37"/>
      <c r="D106" s="37"/>
      <c r="E106" s="37"/>
      <c r="F106" s="38"/>
      <c r="G106" s="39">
        <f>'Hannah-Costing_Calc'!$B$8</f>
        <v>100</v>
      </c>
      <c r="H106" s="39" t="str">
        <f>IFERROR(IF(OR(F106="",G106=""),"",F106*G106/100),"")</f>
        <v/>
      </c>
      <c r="I106" s="40"/>
      <c r="J106" s="40" t="str">
        <f>IFERROR(H106*I106,"")</f>
        <v/>
      </c>
      <c r="K106" s="40" t="str">
        <f>IFERROR(J106/'Hannah-Costing_Calc'!$B$10,"")</f>
        <v/>
      </c>
      <c r="L106" s="37"/>
      <c r="M106" s="37"/>
      <c r="N106" s="37"/>
    </row>
    <row r="107" spans="1:14" ht="30" customHeight="1">
      <c r="A107" s="37">
        <v>100</v>
      </c>
      <c r="B107" s="37"/>
      <c r="C107" s="37"/>
      <c r="D107" s="37"/>
      <c r="E107" s="37"/>
      <c r="F107" s="38"/>
      <c r="G107" s="39">
        <f>'Hannah-Costing_Calc'!$B$8</f>
        <v>100</v>
      </c>
      <c r="H107" s="39" t="str">
        <f>IFERROR(IF(OR(F107="",G107=""),"",F107*G107/100),"")</f>
        <v/>
      </c>
      <c r="I107" s="40"/>
      <c r="J107" s="40" t="str">
        <f>IFERROR(H107*I107,"")</f>
        <v/>
      </c>
      <c r="K107" s="40" t="str">
        <f>IFERROR(J107/'Hannah-Costing_Calc'!$B$10,"")</f>
        <v/>
      </c>
      <c r="L107" s="37"/>
      <c r="M107" s="37"/>
      <c r="N107" s="37"/>
    </row>
    <row r="108" spans="1:14" ht="30" customHeight="1">
      <c r="A108" s="37"/>
      <c r="B108" s="37"/>
      <c r="C108" s="37"/>
      <c r="D108" s="37"/>
      <c r="E108" s="37"/>
      <c r="F108" s="37"/>
      <c r="G108" s="39"/>
      <c r="H108" s="39"/>
      <c r="I108" s="40"/>
      <c r="J108" s="40"/>
      <c r="K108" s="40"/>
      <c r="L108" s="37"/>
      <c r="M108" s="37"/>
      <c r="N108" s="37"/>
    </row>
    <row r="109" spans="1:14">
      <c r="A109" s="37" t="s">
        <v>1752</v>
      </c>
      <c r="B109" s="37"/>
      <c r="C109" s="37"/>
      <c r="D109" s="37"/>
      <c r="E109" s="37"/>
      <c r="F109" s="37"/>
      <c r="G109" s="39"/>
      <c r="H109" s="39"/>
      <c r="I109" s="40"/>
      <c r="J109" s="40"/>
      <c r="K109" s="40">
        <f>IFERROR(SUM(K8:K107),0)</f>
        <v>0</v>
      </c>
      <c r="L109" s="37"/>
      <c r="M109" s="37"/>
      <c r="N109" s="37"/>
    </row>
    <row r="110" spans="1:14">
      <c r="A110" s="46"/>
      <c r="B110" s="46"/>
      <c r="C110" s="46"/>
      <c r="D110" s="46"/>
      <c r="E110" s="46"/>
      <c r="F110" s="46"/>
      <c r="G110" s="46"/>
      <c r="H110" s="46"/>
      <c r="I110" s="46"/>
      <c r="J110" s="46"/>
      <c r="K110" s="46"/>
      <c r="L110" s="46"/>
      <c r="M110" s="46"/>
      <c r="N110" s="46"/>
    </row>
  </sheetData>
  <mergeCells count="1">
    <mergeCell ref="A1:N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C00000"/>
  </sheetPr>
  <dimension ref="A1:W121"/>
  <sheetViews>
    <sheetView showGridLines="0" topLeftCell="F7" workbookViewId="0"/>
  </sheetViews>
  <sheetFormatPr defaultRowHeight="15"/>
  <cols>
    <col min="1" max="4" width="18" customWidth="1"/>
    <col min="5" max="5" width="26" customWidth="1"/>
    <col min="6" max="10" width="30" customWidth="1"/>
    <col min="11" max="11" width="18" customWidth="1"/>
    <col min="12" max="12" width="20" customWidth="1"/>
    <col min="13" max="13" width="34" customWidth="1"/>
    <col min="14" max="16" width="28" customWidth="1"/>
    <col min="17" max="17" width="30" customWidth="1"/>
    <col min="18" max="18" width="26" customWidth="1"/>
    <col min="19" max="19" width="20" customWidth="1"/>
    <col min="20" max="20" width="18" customWidth="1"/>
    <col min="21" max="21" width="16" customWidth="1"/>
    <col min="22" max="22" width="18" customWidth="1"/>
    <col min="23" max="23" width="34" customWidth="1"/>
  </cols>
  <sheetData>
    <row r="1" spans="1:23" s="48" customFormat="1">
      <c r="A1" s="166" t="s">
        <v>1753</v>
      </c>
      <c r="B1" s="166"/>
      <c r="C1" s="166"/>
      <c r="D1" s="166"/>
      <c r="E1" s="166"/>
      <c r="F1" s="166"/>
      <c r="G1" s="166"/>
      <c r="H1" s="166"/>
      <c r="I1" s="166"/>
      <c r="J1" s="166"/>
      <c r="K1" s="166"/>
      <c r="L1" s="166"/>
      <c r="M1" s="166"/>
      <c r="N1" s="166"/>
      <c r="O1" s="166"/>
      <c r="P1" s="166"/>
      <c r="Q1" s="166"/>
      <c r="R1" s="166"/>
      <c r="S1" s="166"/>
      <c r="T1" s="166"/>
      <c r="U1" s="166"/>
      <c r="V1" s="166"/>
      <c r="W1" s="166"/>
    </row>
    <row r="2" spans="1:23" ht="24" customHeight="1">
      <c r="A2" s="56" t="s">
        <v>0</v>
      </c>
      <c r="B2" s="56"/>
      <c r="C2" s="56"/>
      <c r="D2" s="56"/>
      <c r="E2" s="56"/>
      <c r="F2" s="56"/>
      <c r="G2" s="56"/>
      <c r="H2" s="56"/>
      <c r="I2" s="56"/>
      <c r="J2" s="56"/>
      <c r="K2" s="56"/>
      <c r="L2" s="56"/>
      <c r="M2" s="56"/>
      <c r="N2" s="48"/>
      <c r="O2" s="48"/>
      <c r="P2" s="48"/>
      <c r="Q2" s="48"/>
      <c r="R2" s="48"/>
      <c r="S2" s="48"/>
      <c r="T2" s="48"/>
      <c r="U2" s="48"/>
      <c r="V2" s="48"/>
      <c r="W2" s="48"/>
    </row>
    <row r="3" spans="1:23" ht="30" customHeight="1">
      <c r="A3" s="168" t="s">
        <v>1754</v>
      </c>
      <c r="B3" s="193"/>
      <c r="C3" s="193"/>
      <c r="D3" s="193"/>
      <c r="E3" s="193"/>
      <c r="F3" s="193"/>
      <c r="G3" s="193"/>
      <c r="H3" s="193"/>
      <c r="I3" s="193"/>
      <c r="J3" s="193"/>
      <c r="K3" s="193"/>
      <c r="L3" s="193"/>
      <c r="M3" s="193"/>
      <c r="N3" s="193"/>
      <c r="O3" s="193"/>
      <c r="P3" s="193"/>
      <c r="Q3" s="193"/>
      <c r="R3" s="193"/>
      <c r="S3" s="193"/>
      <c r="T3" s="193"/>
      <c r="U3" s="193"/>
      <c r="V3" s="193"/>
      <c r="W3" s="193"/>
    </row>
    <row r="4" spans="1:23" ht="30" customHeight="1">
      <c r="A4" s="167" t="s">
        <v>1755</v>
      </c>
      <c r="B4" s="193"/>
      <c r="C4" s="193"/>
      <c r="D4" s="193"/>
      <c r="E4" s="193"/>
      <c r="F4" s="193"/>
      <c r="G4" s="193"/>
      <c r="H4" s="193"/>
      <c r="I4" s="193"/>
      <c r="J4" s="193"/>
      <c r="K4" s="193"/>
      <c r="L4" s="193"/>
      <c r="M4" s="193"/>
      <c r="N4" s="193"/>
      <c r="O4" s="193"/>
      <c r="P4" s="193"/>
      <c r="Q4" s="193"/>
      <c r="R4" s="193"/>
      <c r="S4" s="193"/>
      <c r="T4" s="193"/>
      <c r="U4" s="193"/>
      <c r="V4" s="193"/>
      <c r="W4" s="193"/>
    </row>
    <row r="5" spans="1:23">
      <c r="A5" s="46"/>
      <c r="B5" s="46"/>
      <c r="C5" s="46"/>
      <c r="D5" s="46"/>
      <c r="E5" s="46"/>
      <c r="F5" s="46"/>
      <c r="G5" s="46"/>
      <c r="H5" s="46"/>
      <c r="I5" s="46"/>
      <c r="J5" s="46"/>
      <c r="K5" s="46"/>
      <c r="L5" s="46"/>
      <c r="M5" s="46"/>
      <c r="N5" s="48"/>
      <c r="O5" s="48"/>
      <c r="P5" s="48"/>
      <c r="Q5" s="48"/>
      <c r="R5" s="48"/>
      <c r="S5" s="48"/>
      <c r="T5" s="48"/>
      <c r="U5" s="48"/>
      <c r="V5" s="48"/>
      <c r="W5" s="48"/>
    </row>
    <row r="6" spans="1:23" ht="21.95" customHeight="1">
      <c r="A6" s="57" t="s">
        <v>1756</v>
      </c>
      <c r="B6" s="57"/>
      <c r="C6" s="57"/>
      <c r="D6" s="57"/>
      <c r="E6" s="57"/>
      <c r="F6" s="57"/>
      <c r="G6" s="57"/>
      <c r="H6" s="57"/>
      <c r="I6" s="57"/>
      <c r="J6" s="57"/>
      <c r="K6" s="57"/>
      <c r="L6" s="57"/>
      <c r="M6" s="57"/>
      <c r="N6" s="48"/>
      <c r="O6" s="48"/>
      <c r="P6" s="48"/>
      <c r="Q6" s="48"/>
      <c r="R6" s="48"/>
      <c r="S6" s="48"/>
      <c r="T6" s="48"/>
      <c r="U6" s="48"/>
      <c r="V6" s="48"/>
      <c r="W6" s="48"/>
    </row>
    <row r="7" spans="1:23" ht="33.950000000000003" customHeight="1">
      <c r="A7" s="36" t="s">
        <v>1757</v>
      </c>
      <c r="B7" s="36" t="s">
        <v>1019</v>
      </c>
      <c r="C7" s="36" t="s">
        <v>1758</v>
      </c>
      <c r="D7" s="36" t="s">
        <v>1759</v>
      </c>
      <c r="E7" s="36" t="s">
        <v>1760</v>
      </c>
      <c r="F7" s="36" t="s">
        <v>1761</v>
      </c>
      <c r="G7" s="36" t="s">
        <v>1762</v>
      </c>
      <c r="H7" s="36" t="s">
        <v>1763</v>
      </c>
      <c r="I7" s="36" t="s">
        <v>1764</v>
      </c>
      <c r="J7" s="36" t="s">
        <v>1765</v>
      </c>
      <c r="K7" s="36" t="s">
        <v>145</v>
      </c>
      <c r="L7" s="36" t="s">
        <v>144</v>
      </c>
      <c r="M7" s="36" t="s">
        <v>70</v>
      </c>
      <c r="N7" s="48"/>
      <c r="O7" s="48"/>
      <c r="P7" s="48"/>
      <c r="Q7" s="48"/>
      <c r="R7" s="48"/>
      <c r="S7" s="48"/>
      <c r="T7" s="48"/>
      <c r="U7" s="48"/>
      <c r="V7" s="48"/>
      <c r="W7" s="48"/>
    </row>
    <row r="8" spans="1:23" ht="30" customHeight="1">
      <c r="A8" s="113" t="s">
        <v>1766</v>
      </c>
      <c r="B8" s="113"/>
      <c r="C8" s="113"/>
      <c r="D8" s="114"/>
      <c r="E8" s="113"/>
      <c r="F8" s="113"/>
      <c r="G8" s="113"/>
      <c r="H8" s="113"/>
      <c r="I8" s="113"/>
      <c r="J8" s="113"/>
      <c r="K8" s="113" t="s">
        <v>152</v>
      </c>
      <c r="L8" s="113" t="s">
        <v>1767</v>
      </c>
      <c r="M8" s="113" t="s">
        <v>1768</v>
      </c>
      <c r="N8" s="48"/>
      <c r="O8" s="48"/>
      <c r="P8" s="48"/>
      <c r="Q8" s="48"/>
      <c r="R8" s="48"/>
      <c r="S8" s="48"/>
      <c r="T8" s="48"/>
      <c r="U8" s="48"/>
      <c r="V8" s="48"/>
      <c r="W8" s="48"/>
    </row>
    <row r="9" spans="1:23" ht="30" customHeight="1">
      <c r="A9" s="37"/>
      <c r="B9" s="37"/>
      <c r="C9" s="37"/>
      <c r="D9" s="42"/>
      <c r="E9" s="37"/>
      <c r="F9" s="37"/>
      <c r="G9" s="37"/>
      <c r="H9" s="37"/>
      <c r="I9" s="37"/>
      <c r="J9" s="37"/>
      <c r="K9" s="37" t="s">
        <v>152</v>
      </c>
      <c r="L9" s="37"/>
      <c r="M9" s="37"/>
      <c r="N9" s="48"/>
      <c r="O9" s="48"/>
      <c r="P9" s="48"/>
      <c r="Q9" s="48"/>
      <c r="R9" s="48"/>
      <c r="S9" s="48"/>
      <c r="T9" s="48"/>
      <c r="U9" s="48"/>
      <c r="V9" s="48"/>
      <c r="W9" s="48"/>
    </row>
    <row r="10" spans="1:23" ht="30" customHeight="1">
      <c r="A10" s="37"/>
      <c r="B10" s="37"/>
      <c r="C10" s="37"/>
      <c r="D10" s="42"/>
      <c r="E10" s="37"/>
      <c r="F10" s="37"/>
      <c r="G10" s="37"/>
      <c r="H10" s="37"/>
      <c r="I10" s="37"/>
      <c r="J10" s="37"/>
      <c r="K10" s="37" t="s">
        <v>152</v>
      </c>
      <c r="L10" s="37"/>
      <c r="M10" s="37"/>
      <c r="N10" s="48"/>
      <c r="O10" s="48"/>
      <c r="P10" s="48"/>
      <c r="Q10" s="48"/>
      <c r="R10" s="48"/>
      <c r="S10" s="48"/>
      <c r="T10" s="48"/>
      <c r="U10" s="48"/>
      <c r="V10" s="48"/>
      <c r="W10" s="48"/>
    </row>
    <row r="11" spans="1:23" ht="30" customHeight="1">
      <c r="A11" s="37"/>
      <c r="B11" s="37"/>
      <c r="C11" s="37"/>
      <c r="D11" s="42"/>
      <c r="E11" s="37"/>
      <c r="F11" s="37"/>
      <c r="G11" s="37"/>
      <c r="H11" s="37"/>
      <c r="I11" s="37"/>
      <c r="J11" s="37"/>
      <c r="K11" s="37" t="s">
        <v>152</v>
      </c>
      <c r="L11" s="37"/>
      <c r="M11" s="37"/>
      <c r="N11" s="48"/>
      <c r="O11" s="48"/>
      <c r="P11" s="48"/>
      <c r="Q11" s="48"/>
      <c r="R11" s="48"/>
      <c r="S11" s="48"/>
      <c r="T11" s="48"/>
      <c r="U11" s="48"/>
      <c r="V11" s="48"/>
      <c r="W11" s="48"/>
    </row>
    <row r="12" spans="1:23" ht="30" customHeight="1">
      <c r="A12" s="37"/>
      <c r="B12" s="37"/>
      <c r="C12" s="37"/>
      <c r="D12" s="42"/>
      <c r="E12" s="37"/>
      <c r="F12" s="37"/>
      <c r="G12" s="37"/>
      <c r="H12" s="37"/>
      <c r="I12" s="37"/>
      <c r="J12" s="37"/>
      <c r="K12" s="37" t="s">
        <v>152</v>
      </c>
      <c r="L12" s="37"/>
      <c r="M12" s="37"/>
      <c r="N12" s="48"/>
      <c r="O12" s="48"/>
      <c r="P12" s="48"/>
      <c r="Q12" s="48"/>
      <c r="R12" s="48"/>
      <c r="S12" s="48"/>
      <c r="T12" s="48"/>
      <c r="U12" s="48"/>
      <c r="V12" s="48"/>
      <c r="W12" s="48"/>
    </row>
    <row r="13" spans="1:23" ht="30" customHeight="1">
      <c r="A13" s="37"/>
      <c r="B13" s="37"/>
      <c r="C13" s="37"/>
      <c r="D13" s="42"/>
      <c r="E13" s="37"/>
      <c r="F13" s="37"/>
      <c r="G13" s="37"/>
      <c r="H13" s="37"/>
      <c r="I13" s="37"/>
      <c r="J13" s="37"/>
      <c r="K13" s="37" t="s">
        <v>152</v>
      </c>
      <c r="L13" s="37"/>
      <c r="M13" s="37"/>
      <c r="N13" s="48"/>
      <c r="O13" s="48"/>
      <c r="P13" s="48"/>
      <c r="Q13" s="48"/>
      <c r="R13" s="48"/>
      <c r="S13" s="48"/>
      <c r="T13" s="48"/>
      <c r="U13" s="48"/>
      <c r="V13" s="48"/>
      <c r="W13" s="48"/>
    </row>
    <row r="14" spans="1:23" ht="30" customHeight="1">
      <c r="A14" s="37"/>
      <c r="B14" s="37"/>
      <c r="C14" s="37"/>
      <c r="D14" s="42"/>
      <c r="E14" s="37"/>
      <c r="F14" s="37"/>
      <c r="G14" s="37"/>
      <c r="H14" s="37"/>
      <c r="I14" s="37"/>
      <c r="J14" s="37"/>
      <c r="K14" s="37" t="s">
        <v>152</v>
      </c>
      <c r="L14" s="37"/>
      <c r="M14" s="37"/>
      <c r="N14" s="48"/>
      <c r="O14" s="48"/>
      <c r="P14" s="48"/>
      <c r="Q14" s="48"/>
      <c r="R14" s="48"/>
      <c r="S14" s="48"/>
      <c r="T14" s="48"/>
      <c r="U14" s="48"/>
      <c r="V14" s="48"/>
      <c r="W14" s="48"/>
    </row>
    <row r="15" spans="1:23" ht="30" customHeight="1">
      <c r="A15" s="37"/>
      <c r="B15" s="37"/>
      <c r="C15" s="37"/>
      <c r="D15" s="42"/>
      <c r="E15" s="37"/>
      <c r="F15" s="37"/>
      <c r="G15" s="37"/>
      <c r="H15" s="37"/>
      <c r="I15" s="37"/>
      <c r="J15" s="37"/>
      <c r="K15" s="37" t="s">
        <v>152</v>
      </c>
      <c r="L15" s="37"/>
      <c r="M15" s="37"/>
      <c r="N15" s="48"/>
      <c r="O15" s="48"/>
      <c r="P15" s="48"/>
      <c r="Q15" s="48"/>
      <c r="R15" s="48"/>
      <c r="S15" s="48"/>
      <c r="T15" s="48"/>
      <c r="U15" s="48"/>
      <c r="V15" s="48"/>
      <c r="W15" s="48"/>
    </row>
    <row r="16" spans="1:23" ht="30" customHeight="1">
      <c r="A16" s="37"/>
      <c r="B16" s="37"/>
      <c r="C16" s="37"/>
      <c r="D16" s="42"/>
      <c r="E16" s="37"/>
      <c r="F16" s="37"/>
      <c r="G16" s="37"/>
      <c r="H16" s="37"/>
      <c r="I16" s="37"/>
      <c r="J16" s="37"/>
      <c r="K16" s="37" t="s">
        <v>152</v>
      </c>
      <c r="L16" s="37"/>
      <c r="M16" s="37"/>
      <c r="N16" s="48"/>
      <c r="O16" s="48"/>
      <c r="P16" s="48"/>
      <c r="Q16" s="48"/>
      <c r="R16" s="48"/>
      <c r="S16" s="48"/>
      <c r="T16" s="48"/>
      <c r="U16" s="48"/>
      <c r="V16" s="48"/>
      <c r="W16" s="48"/>
    </row>
    <row r="17" spans="1:23" ht="30" customHeight="1">
      <c r="A17" s="37"/>
      <c r="B17" s="37"/>
      <c r="C17" s="37"/>
      <c r="D17" s="42"/>
      <c r="E17" s="37"/>
      <c r="F17" s="37"/>
      <c r="G17" s="37"/>
      <c r="H17" s="37"/>
      <c r="I17" s="37"/>
      <c r="J17" s="37"/>
      <c r="K17" s="37" t="s">
        <v>152</v>
      </c>
      <c r="L17" s="37"/>
      <c r="M17" s="37"/>
      <c r="N17" s="48"/>
      <c r="O17" s="48"/>
      <c r="P17" s="48"/>
      <c r="Q17" s="48"/>
      <c r="R17" s="48"/>
      <c r="S17" s="48"/>
      <c r="T17" s="48"/>
      <c r="U17" s="48"/>
      <c r="V17" s="48"/>
      <c r="W17" s="48"/>
    </row>
    <row r="18" spans="1:23" ht="30" customHeight="1">
      <c r="A18" s="37"/>
      <c r="B18" s="37"/>
      <c r="C18" s="37"/>
      <c r="D18" s="42"/>
      <c r="E18" s="37"/>
      <c r="F18" s="37"/>
      <c r="G18" s="37"/>
      <c r="H18" s="37"/>
      <c r="I18" s="37"/>
      <c r="J18" s="37"/>
      <c r="K18" s="37" t="s">
        <v>152</v>
      </c>
      <c r="L18" s="37"/>
      <c r="M18" s="37"/>
      <c r="N18" s="48"/>
      <c r="O18" s="48"/>
      <c r="P18" s="48"/>
      <c r="Q18" s="48"/>
      <c r="R18" s="48"/>
      <c r="S18" s="48"/>
      <c r="T18" s="48"/>
      <c r="U18" s="48"/>
      <c r="V18" s="48"/>
      <c r="W18" s="48"/>
    </row>
    <row r="19" spans="1:23" ht="30" customHeight="1">
      <c r="A19" s="37"/>
      <c r="B19" s="37"/>
      <c r="C19" s="37"/>
      <c r="D19" s="42"/>
      <c r="E19" s="37"/>
      <c r="F19" s="37"/>
      <c r="G19" s="37"/>
      <c r="H19" s="37"/>
      <c r="I19" s="37"/>
      <c r="J19" s="37"/>
      <c r="K19" s="37" t="s">
        <v>152</v>
      </c>
      <c r="L19" s="37"/>
      <c r="M19" s="37"/>
      <c r="N19" s="48"/>
      <c r="O19" s="48"/>
      <c r="P19" s="48"/>
      <c r="Q19" s="48"/>
      <c r="R19" s="48"/>
      <c r="S19" s="48"/>
      <c r="T19" s="48"/>
      <c r="U19" s="48"/>
      <c r="V19" s="48"/>
      <c r="W19" s="48"/>
    </row>
    <row r="20" spans="1:23" ht="30" customHeight="1">
      <c r="A20" s="37"/>
      <c r="B20" s="37"/>
      <c r="C20" s="37"/>
      <c r="D20" s="42"/>
      <c r="E20" s="37"/>
      <c r="F20" s="37"/>
      <c r="G20" s="37"/>
      <c r="H20" s="37"/>
      <c r="I20" s="37"/>
      <c r="J20" s="37"/>
      <c r="K20" s="37" t="s">
        <v>152</v>
      </c>
      <c r="L20" s="37"/>
      <c r="M20" s="37"/>
      <c r="N20" s="48"/>
      <c r="O20" s="48"/>
      <c r="P20" s="48"/>
      <c r="Q20" s="48"/>
      <c r="R20" s="48"/>
      <c r="S20" s="48"/>
      <c r="T20" s="48"/>
      <c r="U20" s="48"/>
      <c r="V20" s="48"/>
      <c r="W20" s="48"/>
    </row>
    <row r="21" spans="1:23" ht="30" customHeight="1">
      <c r="A21" s="37"/>
      <c r="B21" s="37"/>
      <c r="C21" s="37"/>
      <c r="D21" s="42"/>
      <c r="E21" s="37"/>
      <c r="F21" s="37"/>
      <c r="G21" s="37"/>
      <c r="H21" s="37"/>
      <c r="I21" s="37"/>
      <c r="J21" s="37"/>
      <c r="K21" s="37" t="s">
        <v>152</v>
      </c>
      <c r="L21" s="37"/>
      <c r="M21" s="37"/>
      <c r="N21" s="48"/>
      <c r="O21" s="48"/>
      <c r="P21" s="48"/>
      <c r="Q21" s="48"/>
      <c r="R21" s="48"/>
      <c r="S21" s="48"/>
      <c r="T21" s="48"/>
      <c r="U21" s="48"/>
      <c r="V21" s="48"/>
      <c r="W21" s="48"/>
    </row>
    <row r="22" spans="1:23" ht="30" customHeight="1">
      <c r="A22" s="46"/>
      <c r="B22" s="46"/>
      <c r="C22" s="46"/>
      <c r="D22" s="46"/>
      <c r="E22" s="46"/>
      <c r="F22" s="46"/>
      <c r="G22" s="46"/>
      <c r="H22" s="46"/>
      <c r="I22" s="46"/>
      <c r="J22" s="46"/>
      <c r="K22" s="46"/>
      <c r="L22" s="46"/>
      <c r="M22" s="46"/>
      <c r="N22" s="48"/>
      <c r="O22" s="48"/>
      <c r="P22" s="48"/>
      <c r="Q22" s="48"/>
      <c r="R22" s="48"/>
      <c r="S22" s="48"/>
      <c r="T22" s="48"/>
      <c r="U22" s="48"/>
      <c r="V22" s="48"/>
      <c r="W22" s="48"/>
    </row>
    <row r="23" spans="1:23" ht="30" customHeight="1">
      <c r="A23" s="48"/>
      <c r="B23" s="48"/>
      <c r="C23" s="48"/>
      <c r="D23" s="48"/>
      <c r="E23" s="48"/>
      <c r="F23" s="48"/>
      <c r="G23" s="48"/>
      <c r="H23" s="48"/>
      <c r="I23" s="48"/>
      <c r="J23" s="48"/>
      <c r="K23" s="48"/>
      <c r="L23" s="48"/>
      <c r="M23" s="48"/>
      <c r="N23" s="48"/>
      <c r="O23" s="48"/>
      <c r="P23" s="48"/>
      <c r="Q23" s="48"/>
      <c r="R23" s="48"/>
      <c r="S23" s="48"/>
      <c r="T23" s="48"/>
      <c r="U23" s="48"/>
      <c r="V23" s="48"/>
      <c r="W23" s="48"/>
    </row>
    <row r="24" spans="1:23" ht="30" customHeight="1">
      <c r="A24" s="48"/>
      <c r="B24" s="48"/>
      <c r="C24" s="48"/>
      <c r="D24" s="48"/>
      <c r="E24" s="48"/>
      <c r="F24" s="48"/>
      <c r="G24" s="48"/>
      <c r="H24" s="48"/>
      <c r="I24" s="48"/>
      <c r="J24" s="48"/>
      <c r="K24" s="48"/>
      <c r="L24" s="48"/>
      <c r="M24" s="48"/>
      <c r="N24" s="48"/>
      <c r="O24" s="48"/>
      <c r="P24" s="48"/>
      <c r="Q24" s="48"/>
      <c r="R24" s="48"/>
      <c r="S24" s="48"/>
      <c r="T24" s="48"/>
      <c r="U24" s="48"/>
      <c r="V24" s="48"/>
      <c r="W24" s="48"/>
    </row>
    <row r="25" spans="1:23" ht="30" customHeight="1">
      <c r="A25" s="48"/>
      <c r="B25" s="48"/>
      <c r="C25" s="48"/>
      <c r="D25" s="48"/>
      <c r="E25" s="48"/>
      <c r="F25" s="48"/>
      <c r="G25" s="48"/>
      <c r="H25" s="48"/>
      <c r="I25" s="48"/>
      <c r="J25" s="48"/>
      <c r="K25" s="48"/>
      <c r="L25" s="48"/>
      <c r="M25" s="48"/>
      <c r="N25" s="48"/>
      <c r="O25" s="48"/>
      <c r="P25" s="48"/>
      <c r="Q25" s="48"/>
      <c r="R25" s="48"/>
      <c r="S25" s="48"/>
      <c r="T25" s="48"/>
      <c r="U25" s="48"/>
      <c r="V25" s="48"/>
      <c r="W25" s="48"/>
    </row>
    <row r="26" spans="1:23" ht="30" customHeight="1">
      <c r="A26" s="48"/>
      <c r="B26" s="48"/>
      <c r="C26" s="48"/>
      <c r="D26" s="48"/>
      <c r="E26" s="48"/>
      <c r="F26" s="48"/>
      <c r="G26" s="48"/>
      <c r="H26" s="48"/>
      <c r="I26" s="48"/>
      <c r="J26" s="48"/>
      <c r="K26" s="48"/>
      <c r="L26" s="48"/>
      <c r="M26" s="48"/>
      <c r="N26" s="48"/>
      <c r="O26" s="48"/>
      <c r="P26" s="48"/>
      <c r="Q26" s="48"/>
      <c r="R26" s="48"/>
      <c r="S26" s="48"/>
      <c r="T26" s="48"/>
      <c r="U26" s="48"/>
      <c r="V26" s="48"/>
      <c r="W26" s="48"/>
    </row>
    <row r="27" spans="1:23" ht="30" customHeight="1">
      <c r="A27" s="48"/>
      <c r="B27" s="48"/>
      <c r="C27" s="48"/>
      <c r="D27" s="48"/>
      <c r="E27" s="48"/>
      <c r="F27" s="48"/>
      <c r="G27" s="48"/>
      <c r="H27" s="48"/>
      <c r="I27" s="48"/>
      <c r="J27" s="48"/>
      <c r="K27" s="48"/>
      <c r="L27" s="48"/>
      <c r="M27" s="48"/>
      <c r="N27" s="48"/>
      <c r="O27" s="48"/>
      <c r="P27" s="48"/>
      <c r="Q27" s="48"/>
      <c r="R27" s="48"/>
      <c r="S27" s="48"/>
      <c r="T27" s="48"/>
      <c r="U27" s="48"/>
      <c r="V27" s="48"/>
      <c r="W27" s="48"/>
    </row>
    <row r="28" spans="1:23" ht="30" customHeight="1">
      <c r="A28" s="48"/>
      <c r="B28" s="48"/>
      <c r="C28" s="48"/>
      <c r="D28" s="48"/>
      <c r="E28" s="48"/>
      <c r="F28" s="48"/>
      <c r="G28" s="48"/>
      <c r="H28" s="48"/>
      <c r="I28" s="48"/>
      <c r="J28" s="48"/>
      <c r="K28" s="48"/>
      <c r="L28" s="48"/>
      <c r="M28" s="48"/>
      <c r="N28" s="48"/>
      <c r="O28" s="48"/>
      <c r="P28" s="48"/>
      <c r="Q28" s="48"/>
      <c r="R28" s="48"/>
      <c r="S28" s="48"/>
      <c r="T28" s="48"/>
      <c r="U28" s="48"/>
      <c r="V28" s="48"/>
      <c r="W28" s="48"/>
    </row>
    <row r="29" spans="1:23" ht="30" customHeight="1">
      <c r="A29" s="48"/>
      <c r="B29" s="48"/>
      <c r="C29" s="48"/>
      <c r="D29" s="48"/>
      <c r="E29" s="48"/>
      <c r="F29" s="48"/>
      <c r="G29" s="48"/>
      <c r="H29" s="48"/>
      <c r="I29" s="48"/>
      <c r="J29" s="48"/>
      <c r="K29" s="48"/>
      <c r="L29" s="48"/>
      <c r="M29" s="48"/>
      <c r="N29" s="48"/>
      <c r="O29" s="48"/>
      <c r="P29" s="48"/>
      <c r="Q29" s="48"/>
      <c r="R29" s="48"/>
      <c r="S29" s="48"/>
      <c r="T29" s="48"/>
      <c r="U29" s="48"/>
      <c r="V29" s="48"/>
      <c r="W29" s="48"/>
    </row>
    <row r="30" spans="1:23" ht="30" customHeight="1">
      <c r="A30" s="48"/>
      <c r="B30" s="48"/>
      <c r="C30" s="48"/>
      <c r="D30" s="48"/>
      <c r="E30" s="48"/>
      <c r="F30" s="48"/>
      <c r="G30" s="48"/>
      <c r="H30" s="48"/>
      <c r="I30" s="48"/>
      <c r="J30" s="48"/>
      <c r="K30" s="48"/>
      <c r="L30" s="48"/>
      <c r="M30" s="48"/>
      <c r="N30" s="48"/>
      <c r="O30" s="48"/>
      <c r="P30" s="48"/>
      <c r="Q30" s="48"/>
      <c r="R30" s="48"/>
      <c r="S30" s="48"/>
      <c r="T30" s="48"/>
      <c r="U30" s="48"/>
      <c r="V30" s="48"/>
      <c r="W30" s="48"/>
    </row>
    <row r="31" spans="1:23" ht="30" customHeight="1">
      <c r="A31" s="48"/>
      <c r="B31" s="48"/>
      <c r="C31" s="48"/>
      <c r="D31" s="48"/>
      <c r="E31" s="48"/>
      <c r="F31" s="48"/>
      <c r="G31" s="48"/>
      <c r="H31" s="48"/>
      <c r="I31" s="48"/>
      <c r="J31" s="48"/>
      <c r="K31" s="48"/>
      <c r="L31" s="48"/>
      <c r="M31" s="48"/>
      <c r="N31" s="48"/>
      <c r="O31" s="48"/>
      <c r="P31" s="48"/>
      <c r="Q31" s="48"/>
      <c r="R31" s="48"/>
      <c r="S31" s="48"/>
      <c r="T31" s="48"/>
      <c r="U31" s="48"/>
      <c r="V31" s="48"/>
      <c r="W31" s="48"/>
    </row>
    <row r="32" spans="1:23" ht="30" customHeight="1">
      <c r="A32" s="48"/>
      <c r="B32" s="48"/>
      <c r="C32" s="48"/>
      <c r="D32" s="48"/>
      <c r="E32" s="48"/>
      <c r="F32" s="48"/>
      <c r="G32" s="48"/>
      <c r="H32" s="48"/>
      <c r="I32" s="48"/>
      <c r="J32" s="48"/>
      <c r="K32" s="48"/>
      <c r="L32" s="48"/>
      <c r="M32" s="48"/>
      <c r="N32" s="48"/>
      <c r="O32" s="48"/>
      <c r="P32" s="48"/>
      <c r="Q32" s="48"/>
      <c r="R32" s="48"/>
      <c r="S32" s="48"/>
      <c r="T32" s="48"/>
      <c r="U32" s="48"/>
      <c r="V32" s="48"/>
      <c r="W32" s="48"/>
    </row>
    <row r="33" spans="1:23" ht="30" customHeight="1">
      <c r="A33" s="48"/>
      <c r="B33" s="48"/>
      <c r="C33" s="48"/>
      <c r="D33" s="48"/>
      <c r="E33" s="48"/>
      <c r="F33" s="48"/>
      <c r="G33" s="48"/>
      <c r="H33" s="48"/>
      <c r="I33" s="48"/>
      <c r="J33" s="48"/>
      <c r="K33" s="48"/>
      <c r="L33" s="48"/>
      <c r="M33" s="48"/>
      <c r="N33" s="48"/>
      <c r="O33" s="48"/>
      <c r="P33" s="48"/>
      <c r="Q33" s="48"/>
      <c r="R33" s="48"/>
      <c r="S33" s="48"/>
      <c r="T33" s="48"/>
      <c r="U33" s="48"/>
      <c r="V33" s="48"/>
      <c r="W33" s="48"/>
    </row>
    <row r="34" spans="1:23" ht="30" customHeight="1">
      <c r="A34" s="48"/>
      <c r="B34" s="48"/>
      <c r="C34" s="48"/>
      <c r="D34" s="48"/>
      <c r="E34" s="48"/>
      <c r="F34" s="48"/>
      <c r="G34" s="48"/>
      <c r="H34" s="48"/>
      <c r="I34" s="48"/>
      <c r="J34" s="48"/>
      <c r="K34" s="48"/>
      <c r="L34" s="48"/>
      <c r="M34" s="48"/>
      <c r="N34" s="48"/>
      <c r="O34" s="48"/>
      <c r="P34" s="48"/>
      <c r="Q34" s="48"/>
      <c r="R34" s="48"/>
      <c r="S34" s="48"/>
      <c r="T34" s="48"/>
      <c r="U34" s="48"/>
      <c r="V34" s="48"/>
      <c r="W34" s="48"/>
    </row>
    <row r="35" spans="1:23" ht="30" customHeight="1">
      <c r="A35" s="48"/>
      <c r="B35" s="48"/>
      <c r="C35" s="48"/>
      <c r="D35" s="48"/>
      <c r="E35" s="48"/>
      <c r="F35" s="48"/>
      <c r="G35" s="48"/>
      <c r="H35" s="48"/>
      <c r="I35" s="48"/>
      <c r="J35" s="48"/>
      <c r="K35" s="48"/>
      <c r="L35" s="48"/>
      <c r="M35" s="48"/>
      <c r="N35" s="48"/>
      <c r="O35" s="48"/>
      <c r="P35" s="48"/>
      <c r="Q35" s="48"/>
      <c r="R35" s="48"/>
      <c r="S35" s="48"/>
      <c r="T35" s="48"/>
      <c r="U35" s="48"/>
      <c r="V35" s="48"/>
      <c r="W35" s="48"/>
    </row>
    <row r="36" spans="1:23" ht="30" customHeight="1">
      <c r="A36" s="48"/>
      <c r="B36" s="48"/>
      <c r="C36" s="48"/>
      <c r="D36" s="48"/>
      <c r="E36" s="48"/>
      <c r="F36" s="48"/>
      <c r="G36" s="48"/>
      <c r="H36" s="48"/>
      <c r="I36" s="48"/>
      <c r="J36" s="48"/>
      <c r="K36" s="48"/>
      <c r="L36" s="48"/>
      <c r="M36" s="48"/>
      <c r="N36" s="48"/>
      <c r="O36" s="48"/>
      <c r="P36" s="48"/>
      <c r="Q36" s="48"/>
      <c r="R36" s="48"/>
      <c r="S36" s="48"/>
      <c r="T36" s="48"/>
      <c r="U36" s="48"/>
      <c r="V36" s="48"/>
      <c r="W36" s="48"/>
    </row>
    <row r="37" spans="1:23" ht="30" customHeight="1">
      <c r="A37" s="48"/>
      <c r="B37" s="48"/>
      <c r="C37" s="48"/>
      <c r="D37" s="48"/>
      <c r="E37" s="48"/>
      <c r="F37" s="48"/>
      <c r="G37" s="48"/>
      <c r="H37" s="48"/>
      <c r="I37" s="48"/>
      <c r="J37" s="48"/>
      <c r="K37" s="48"/>
      <c r="L37" s="48"/>
      <c r="M37" s="48"/>
      <c r="N37" s="48"/>
      <c r="O37" s="48"/>
      <c r="P37" s="48"/>
      <c r="Q37" s="48"/>
      <c r="R37" s="48"/>
      <c r="S37" s="48"/>
      <c r="T37" s="48"/>
      <c r="U37" s="48"/>
      <c r="V37" s="48"/>
      <c r="W37" s="48"/>
    </row>
    <row r="38" spans="1:23" ht="30" customHeight="1">
      <c r="A38" s="48"/>
      <c r="B38" s="48"/>
      <c r="C38" s="48"/>
      <c r="D38" s="48"/>
      <c r="E38" s="48"/>
      <c r="F38" s="48"/>
      <c r="G38" s="48"/>
      <c r="H38" s="48"/>
      <c r="I38" s="48"/>
      <c r="J38" s="48"/>
      <c r="K38" s="48"/>
      <c r="L38" s="48"/>
      <c r="M38" s="48"/>
      <c r="N38" s="48"/>
      <c r="O38" s="48"/>
      <c r="P38" s="48"/>
      <c r="Q38" s="48"/>
      <c r="R38" s="48"/>
      <c r="S38" s="48"/>
      <c r="T38" s="48"/>
      <c r="U38" s="48"/>
      <c r="V38" s="48"/>
      <c r="W38" s="48"/>
    </row>
    <row r="39" spans="1:23" ht="30" customHeight="1">
      <c r="A39" s="48"/>
      <c r="B39" s="48"/>
      <c r="C39" s="48"/>
      <c r="D39" s="48"/>
      <c r="E39" s="48"/>
      <c r="F39" s="48"/>
      <c r="G39" s="48"/>
      <c r="H39" s="48"/>
      <c r="I39" s="48"/>
      <c r="J39" s="48"/>
      <c r="K39" s="48"/>
      <c r="L39" s="48"/>
      <c r="M39" s="48"/>
      <c r="N39" s="48"/>
      <c r="O39" s="48"/>
      <c r="P39" s="48"/>
      <c r="Q39" s="48"/>
      <c r="R39" s="48"/>
      <c r="S39" s="48"/>
      <c r="T39" s="48"/>
      <c r="U39" s="48"/>
      <c r="V39" s="48"/>
      <c r="W39" s="48"/>
    </row>
    <row r="40" spans="1:23" ht="30" customHeight="1">
      <c r="A40" s="48"/>
      <c r="B40" s="48"/>
      <c r="C40" s="48"/>
      <c r="D40" s="48"/>
      <c r="E40" s="48"/>
      <c r="F40" s="48"/>
      <c r="G40" s="48"/>
      <c r="H40" s="48"/>
      <c r="I40" s="48"/>
      <c r="J40" s="48"/>
      <c r="K40" s="48"/>
      <c r="L40" s="48"/>
      <c r="M40" s="48"/>
      <c r="N40" s="48"/>
      <c r="O40" s="48"/>
      <c r="P40" s="48"/>
      <c r="Q40" s="48"/>
      <c r="R40" s="48"/>
      <c r="S40" s="48"/>
      <c r="T40" s="48"/>
      <c r="U40" s="48"/>
      <c r="V40" s="48"/>
      <c r="W40" s="48"/>
    </row>
    <row r="41" spans="1:23" ht="30" customHeight="1">
      <c r="A41" s="48"/>
      <c r="B41" s="48"/>
      <c r="C41" s="48"/>
      <c r="D41" s="48"/>
      <c r="E41" s="48"/>
      <c r="F41" s="48"/>
      <c r="G41" s="48"/>
      <c r="H41" s="48"/>
      <c r="I41" s="48"/>
      <c r="J41" s="48"/>
      <c r="K41" s="48"/>
      <c r="L41" s="48"/>
      <c r="M41" s="48"/>
      <c r="N41" s="48"/>
      <c r="O41" s="48"/>
      <c r="P41" s="48"/>
      <c r="Q41" s="48"/>
      <c r="R41" s="48"/>
      <c r="S41" s="48"/>
      <c r="T41" s="48"/>
      <c r="U41" s="48"/>
      <c r="V41" s="48"/>
      <c r="W41" s="48"/>
    </row>
    <row r="42" spans="1:23" ht="30" customHeight="1">
      <c r="A42" s="48"/>
      <c r="B42" s="48"/>
      <c r="C42" s="48"/>
      <c r="D42" s="48"/>
      <c r="E42" s="48"/>
      <c r="F42" s="48"/>
      <c r="G42" s="48"/>
      <c r="H42" s="48"/>
      <c r="I42" s="48"/>
      <c r="J42" s="48"/>
      <c r="K42" s="48"/>
      <c r="L42" s="48"/>
      <c r="M42" s="48"/>
      <c r="N42" s="48"/>
      <c r="O42" s="48"/>
      <c r="P42" s="48"/>
      <c r="Q42" s="48"/>
      <c r="R42" s="48"/>
      <c r="S42" s="48"/>
      <c r="T42" s="48"/>
      <c r="U42" s="48"/>
      <c r="V42" s="48"/>
      <c r="W42" s="48"/>
    </row>
    <row r="43" spans="1:23" ht="30" customHeight="1">
      <c r="A43" s="48"/>
      <c r="B43" s="48"/>
      <c r="C43" s="48"/>
      <c r="D43" s="48"/>
      <c r="E43" s="48"/>
      <c r="F43" s="48"/>
      <c r="G43" s="48"/>
      <c r="H43" s="48"/>
      <c r="I43" s="48"/>
      <c r="J43" s="48"/>
      <c r="K43" s="48"/>
      <c r="L43" s="48"/>
      <c r="M43" s="48"/>
      <c r="N43" s="48"/>
      <c r="O43" s="48"/>
      <c r="P43" s="48"/>
      <c r="Q43" s="48"/>
      <c r="R43" s="48"/>
      <c r="S43" s="48"/>
      <c r="T43" s="48"/>
      <c r="U43" s="48"/>
      <c r="V43" s="48"/>
      <c r="W43" s="48"/>
    </row>
    <row r="44" spans="1:23" ht="30" customHeight="1">
      <c r="A44" s="48"/>
      <c r="B44" s="48"/>
      <c r="C44" s="48"/>
      <c r="D44" s="48"/>
      <c r="E44" s="48"/>
      <c r="F44" s="48"/>
      <c r="G44" s="48"/>
      <c r="H44" s="48"/>
      <c r="I44" s="48"/>
      <c r="J44" s="48"/>
      <c r="K44" s="48"/>
      <c r="L44" s="48"/>
      <c r="M44" s="48"/>
      <c r="N44" s="48"/>
      <c r="O44" s="48"/>
      <c r="P44" s="48"/>
      <c r="Q44" s="48"/>
      <c r="R44" s="48"/>
      <c r="S44" s="48"/>
      <c r="T44" s="48"/>
      <c r="U44" s="48"/>
      <c r="V44" s="48"/>
      <c r="W44" s="48"/>
    </row>
    <row r="45" spans="1:23" ht="30" customHeight="1">
      <c r="A45" s="48"/>
      <c r="B45" s="48"/>
      <c r="C45" s="48"/>
      <c r="D45" s="48"/>
      <c r="E45" s="48"/>
      <c r="F45" s="48"/>
      <c r="G45" s="48"/>
      <c r="H45" s="48"/>
      <c r="I45" s="48"/>
      <c r="J45" s="48"/>
      <c r="K45" s="48"/>
      <c r="L45" s="48"/>
      <c r="M45" s="48"/>
      <c r="N45" s="48"/>
      <c r="O45" s="48"/>
      <c r="P45" s="48"/>
      <c r="Q45" s="48"/>
      <c r="R45" s="48"/>
      <c r="S45" s="48"/>
      <c r="T45" s="48"/>
      <c r="U45" s="48"/>
      <c r="V45" s="48"/>
      <c r="W45" s="48"/>
    </row>
    <row r="46" spans="1:23" ht="30" customHeight="1">
      <c r="A46" s="48"/>
      <c r="B46" s="48"/>
      <c r="C46" s="48"/>
      <c r="D46" s="48"/>
      <c r="E46" s="48"/>
      <c r="F46" s="48"/>
      <c r="G46" s="48"/>
      <c r="H46" s="48"/>
      <c r="I46" s="48"/>
      <c r="J46" s="48"/>
      <c r="K46" s="48"/>
      <c r="L46" s="48"/>
      <c r="M46" s="48"/>
      <c r="N46" s="48"/>
      <c r="O46" s="48"/>
      <c r="P46" s="48"/>
      <c r="Q46" s="48"/>
      <c r="R46" s="48"/>
      <c r="S46" s="48"/>
      <c r="T46" s="48"/>
      <c r="U46" s="48"/>
      <c r="V46" s="48"/>
      <c r="W46" s="48"/>
    </row>
    <row r="47" spans="1:23" ht="30" customHeight="1">
      <c r="A47" s="48"/>
      <c r="B47" s="48"/>
      <c r="C47" s="48"/>
      <c r="D47" s="48"/>
      <c r="E47" s="48"/>
      <c r="F47" s="48"/>
      <c r="G47" s="48"/>
      <c r="H47" s="48"/>
      <c r="I47" s="48"/>
      <c r="J47" s="48"/>
      <c r="K47" s="48"/>
      <c r="L47" s="48"/>
      <c r="M47" s="48"/>
      <c r="N47" s="48"/>
      <c r="O47" s="48"/>
      <c r="P47" s="48"/>
      <c r="Q47" s="48"/>
      <c r="R47" s="48"/>
      <c r="S47" s="48"/>
      <c r="T47" s="48"/>
      <c r="U47" s="48"/>
      <c r="V47" s="48"/>
      <c r="W47" s="48"/>
    </row>
    <row r="48" spans="1:23" ht="30" customHeight="1">
      <c r="A48" s="48"/>
      <c r="B48" s="48"/>
      <c r="C48" s="48"/>
      <c r="D48" s="48"/>
      <c r="E48" s="48"/>
      <c r="F48" s="48"/>
      <c r="G48" s="48"/>
      <c r="H48" s="48"/>
      <c r="I48" s="48"/>
      <c r="J48" s="48"/>
      <c r="K48" s="48"/>
      <c r="L48" s="48"/>
      <c r="M48" s="48"/>
      <c r="N48" s="48"/>
      <c r="O48" s="48"/>
      <c r="P48" s="48"/>
      <c r="Q48" s="48"/>
      <c r="R48" s="48"/>
      <c r="S48" s="48"/>
      <c r="T48" s="48"/>
      <c r="U48" s="48"/>
      <c r="V48" s="48"/>
      <c r="W48" s="48"/>
    </row>
    <row r="49" spans="1:23" ht="30" customHeight="1">
      <c r="A49" s="48"/>
      <c r="B49" s="48"/>
      <c r="C49" s="48"/>
      <c r="D49" s="48"/>
      <c r="E49" s="48"/>
      <c r="F49" s="48"/>
      <c r="G49" s="48"/>
      <c r="H49" s="48"/>
      <c r="I49" s="48"/>
      <c r="J49" s="48"/>
      <c r="K49" s="48"/>
      <c r="L49" s="48"/>
      <c r="M49" s="48"/>
      <c r="N49" s="48"/>
      <c r="O49" s="48"/>
      <c r="P49" s="48"/>
      <c r="Q49" s="48"/>
      <c r="R49" s="48"/>
      <c r="S49" s="48"/>
      <c r="T49" s="48"/>
      <c r="U49" s="48"/>
      <c r="V49" s="48"/>
      <c r="W49" s="48"/>
    </row>
    <row r="50" spans="1:23" ht="30" customHeight="1">
      <c r="A50" s="48"/>
      <c r="B50" s="48"/>
      <c r="C50" s="48"/>
      <c r="D50" s="48"/>
      <c r="E50" s="48"/>
      <c r="F50" s="48"/>
      <c r="G50" s="48"/>
      <c r="H50" s="48"/>
      <c r="I50" s="48"/>
      <c r="J50" s="48"/>
      <c r="K50" s="48"/>
      <c r="L50" s="48"/>
      <c r="M50" s="48"/>
      <c r="N50" s="48"/>
      <c r="O50" s="48"/>
      <c r="P50" s="48"/>
      <c r="Q50" s="48"/>
      <c r="R50" s="48"/>
      <c r="S50" s="48"/>
      <c r="T50" s="48"/>
      <c r="U50" s="48"/>
      <c r="V50" s="48"/>
      <c r="W50" s="48"/>
    </row>
    <row r="51" spans="1:23" ht="30" customHeight="1">
      <c r="A51" s="48"/>
      <c r="B51" s="48"/>
      <c r="C51" s="48"/>
      <c r="D51" s="48"/>
      <c r="E51" s="48"/>
      <c r="F51" s="48"/>
      <c r="G51" s="48"/>
      <c r="H51" s="48"/>
      <c r="I51" s="48"/>
      <c r="J51" s="48"/>
      <c r="K51" s="48"/>
      <c r="L51" s="48"/>
      <c r="M51" s="48"/>
      <c r="N51" s="48"/>
      <c r="O51" s="48"/>
      <c r="P51" s="48"/>
      <c r="Q51" s="48"/>
      <c r="R51" s="48"/>
      <c r="S51" s="48"/>
      <c r="T51" s="48"/>
      <c r="U51" s="48"/>
      <c r="V51" s="48"/>
      <c r="W51" s="48"/>
    </row>
    <row r="52" spans="1:23" ht="30" customHeight="1">
      <c r="A52" s="48"/>
      <c r="B52" s="48"/>
      <c r="C52" s="48"/>
      <c r="D52" s="48"/>
      <c r="E52" s="48"/>
      <c r="F52" s="48"/>
      <c r="G52" s="48"/>
      <c r="H52" s="48"/>
      <c r="I52" s="48"/>
      <c r="J52" s="48"/>
      <c r="K52" s="48"/>
      <c r="L52" s="48"/>
      <c r="M52" s="48"/>
      <c r="N52" s="48"/>
      <c r="O52" s="48"/>
      <c r="P52" s="48"/>
      <c r="Q52" s="48"/>
      <c r="R52" s="48"/>
      <c r="S52" s="48"/>
      <c r="T52" s="48"/>
      <c r="U52" s="48"/>
      <c r="V52" s="48"/>
      <c r="W52" s="48"/>
    </row>
    <row r="53" spans="1:23" ht="30" customHeight="1">
      <c r="A53" s="48"/>
      <c r="B53" s="48"/>
      <c r="C53" s="48"/>
      <c r="D53" s="48"/>
      <c r="E53" s="48"/>
      <c r="F53" s="48"/>
      <c r="G53" s="48"/>
      <c r="H53" s="48"/>
      <c r="I53" s="48"/>
      <c r="J53" s="48"/>
      <c r="K53" s="48"/>
      <c r="L53" s="48"/>
      <c r="M53" s="48"/>
      <c r="N53" s="48"/>
      <c r="O53" s="48"/>
      <c r="P53" s="48"/>
      <c r="Q53" s="48"/>
      <c r="R53" s="48"/>
      <c r="S53" s="48"/>
      <c r="T53" s="48"/>
      <c r="U53" s="48"/>
      <c r="V53" s="48"/>
      <c r="W53" s="48"/>
    </row>
    <row r="54" spans="1:23" ht="30" customHeight="1">
      <c r="A54" s="48"/>
      <c r="B54" s="48"/>
      <c r="C54" s="48"/>
      <c r="D54" s="48"/>
      <c r="E54" s="48"/>
      <c r="F54" s="48"/>
      <c r="G54" s="48"/>
      <c r="H54" s="48"/>
      <c r="I54" s="48"/>
      <c r="J54" s="48"/>
      <c r="K54" s="48"/>
      <c r="L54" s="48"/>
      <c r="M54" s="48"/>
      <c r="N54" s="48"/>
      <c r="O54" s="48"/>
      <c r="P54" s="48"/>
      <c r="Q54" s="48"/>
      <c r="R54" s="48"/>
      <c r="S54" s="48"/>
      <c r="T54" s="48"/>
      <c r="U54" s="48"/>
      <c r="V54" s="48"/>
      <c r="W54" s="48"/>
    </row>
    <row r="55" spans="1:23" ht="30" customHeight="1">
      <c r="A55" s="48"/>
      <c r="B55" s="48"/>
      <c r="C55" s="48"/>
      <c r="D55" s="48"/>
      <c r="E55" s="48"/>
      <c r="F55" s="48"/>
      <c r="G55" s="48"/>
      <c r="H55" s="48"/>
      <c r="I55" s="48"/>
      <c r="J55" s="48"/>
      <c r="K55" s="48"/>
      <c r="L55" s="48"/>
      <c r="M55" s="48"/>
      <c r="N55" s="48"/>
      <c r="O55" s="48"/>
      <c r="P55" s="48"/>
      <c r="Q55" s="48"/>
      <c r="R55" s="48"/>
      <c r="S55" s="48"/>
      <c r="T55" s="48"/>
      <c r="U55" s="48"/>
      <c r="V55" s="48"/>
      <c r="W55" s="48"/>
    </row>
    <row r="56" spans="1:23" ht="30" customHeight="1">
      <c r="A56" s="48"/>
      <c r="B56" s="48"/>
      <c r="C56" s="48"/>
      <c r="D56" s="48"/>
      <c r="E56" s="48"/>
      <c r="F56" s="48"/>
      <c r="G56" s="48"/>
      <c r="H56" s="48"/>
      <c r="I56" s="48"/>
      <c r="J56" s="48"/>
      <c r="K56" s="48"/>
      <c r="L56" s="48"/>
      <c r="M56" s="48"/>
      <c r="N56" s="48"/>
      <c r="O56" s="48"/>
      <c r="P56" s="48"/>
      <c r="Q56" s="48"/>
      <c r="R56" s="48"/>
      <c r="S56" s="48"/>
      <c r="T56" s="48"/>
      <c r="U56" s="48"/>
      <c r="V56" s="48"/>
      <c r="W56" s="48"/>
    </row>
    <row r="57" spans="1:23" ht="30" customHeight="1">
      <c r="A57" s="48"/>
      <c r="B57" s="48"/>
      <c r="C57" s="48"/>
      <c r="D57" s="48"/>
      <c r="E57" s="48"/>
      <c r="F57" s="48"/>
      <c r="G57" s="48"/>
      <c r="H57" s="48"/>
      <c r="I57" s="48"/>
      <c r="J57" s="48"/>
      <c r="K57" s="48"/>
      <c r="L57" s="48"/>
      <c r="M57" s="48"/>
      <c r="N57" s="48"/>
      <c r="O57" s="48"/>
      <c r="P57" s="48"/>
      <c r="Q57" s="48"/>
      <c r="R57" s="48"/>
      <c r="S57" s="48"/>
      <c r="T57" s="48"/>
      <c r="U57" s="48"/>
      <c r="V57" s="48"/>
      <c r="W57" s="48"/>
    </row>
    <row r="58" spans="1:23" ht="30" customHeight="1">
      <c r="A58" s="48"/>
      <c r="B58" s="48"/>
      <c r="C58" s="48"/>
      <c r="D58" s="48"/>
      <c r="E58" s="48"/>
      <c r="F58" s="48"/>
      <c r="G58" s="48"/>
      <c r="H58" s="48"/>
      <c r="I58" s="48"/>
      <c r="J58" s="48"/>
      <c r="K58" s="48"/>
      <c r="L58" s="48"/>
      <c r="M58" s="48"/>
      <c r="N58" s="48"/>
      <c r="O58" s="48"/>
      <c r="P58" s="48"/>
      <c r="Q58" s="48"/>
      <c r="R58" s="48"/>
      <c r="S58" s="48"/>
      <c r="T58" s="48"/>
      <c r="U58" s="48"/>
      <c r="V58" s="48"/>
      <c r="W58" s="48"/>
    </row>
    <row r="59" spans="1:23" ht="30" customHeight="1">
      <c r="A59" s="48"/>
      <c r="B59" s="48"/>
      <c r="C59" s="48"/>
      <c r="D59" s="48"/>
      <c r="E59" s="48"/>
      <c r="F59" s="48"/>
      <c r="G59" s="48"/>
      <c r="H59" s="48"/>
      <c r="I59" s="48"/>
      <c r="J59" s="48"/>
      <c r="K59" s="48"/>
      <c r="L59" s="48"/>
      <c r="M59" s="48"/>
      <c r="N59" s="48"/>
      <c r="O59" s="48"/>
      <c r="P59" s="48"/>
      <c r="Q59" s="48"/>
      <c r="R59" s="48"/>
      <c r="S59" s="48"/>
      <c r="T59" s="48"/>
      <c r="U59" s="48"/>
      <c r="V59" s="48"/>
      <c r="W59" s="48"/>
    </row>
    <row r="60" spans="1:23" ht="30" customHeight="1">
      <c r="A60" s="48"/>
      <c r="B60" s="48"/>
      <c r="C60" s="48"/>
      <c r="D60" s="48"/>
      <c r="E60" s="48"/>
      <c r="F60" s="48"/>
      <c r="G60" s="48"/>
      <c r="H60" s="48"/>
      <c r="I60" s="48"/>
      <c r="J60" s="48"/>
      <c r="K60" s="48"/>
      <c r="L60" s="48"/>
      <c r="M60" s="48"/>
      <c r="N60" s="48"/>
      <c r="O60" s="48"/>
      <c r="P60" s="48"/>
      <c r="Q60" s="48"/>
      <c r="R60" s="48"/>
      <c r="S60" s="48"/>
      <c r="T60" s="48"/>
      <c r="U60" s="48"/>
      <c r="V60" s="48"/>
      <c r="W60" s="48"/>
    </row>
    <row r="61" spans="1:23" ht="30" customHeight="1">
      <c r="A61" s="48"/>
      <c r="B61" s="48"/>
      <c r="C61" s="48"/>
      <c r="D61" s="48"/>
      <c r="E61" s="48"/>
      <c r="F61" s="48"/>
      <c r="G61" s="48"/>
      <c r="H61" s="48"/>
      <c r="I61" s="48"/>
      <c r="J61" s="48"/>
      <c r="K61" s="48"/>
      <c r="L61" s="48"/>
      <c r="M61" s="48"/>
      <c r="N61" s="48"/>
      <c r="O61" s="48"/>
      <c r="P61" s="48"/>
      <c r="Q61" s="48"/>
      <c r="R61" s="48"/>
      <c r="S61" s="48"/>
      <c r="T61" s="48"/>
      <c r="U61" s="48"/>
      <c r="V61" s="48"/>
      <c r="W61" s="48"/>
    </row>
    <row r="62" spans="1:23" ht="30" customHeight="1">
      <c r="A62" s="48"/>
      <c r="B62" s="48"/>
      <c r="C62" s="48"/>
      <c r="D62" s="48"/>
      <c r="E62" s="48"/>
      <c r="F62" s="48"/>
      <c r="G62" s="48"/>
      <c r="H62" s="48"/>
      <c r="I62" s="48"/>
      <c r="J62" s="48"/>
      <c r="K62" s="48"/>
      <c r="L62" s="48"/>
      <c r="M62" s="48"/>
      <c r="N62" s="48"/>
      <c r="O62" s="48"/>
      <c r="P62" s="48"/>
      <c r="Q62" s="48"/>
      <c r="R62" s="48"/>
      <c r="S62" s="48"/>
      <c r="T62" s="48"/>
      <c r="U62" s="48"/>
      <c r="V62" s="48"/>
      <c r="W62" s="48"/>
    </row>
    <row r="63" spans="1:23" ht="30" customHeight="1">
      <c r="A63" s="48"/>
      <c r="B63" s="48"/>
      <c r="C63" s="48"/>
      <c r="D63" s="48"/>
      <c r="E63" s="48"/>
      <c r="F63" s="48"/>
      <c r="G63" s="48"/>
      <c r="H63" s="48"/>
      <c r="I63" s="48"/>
      <c r="J63" s="48"/>
      <c r="K63" s="48"/>
      <c r="L63" s="48"/>
      <c r="M63" s="48"/>
      <c r="N63" s="48"/>
      <c r="O63" s="48"/>
      <c r="P63" s="48"/>
      <c r="Q63" s="48"/>
      <c r="R63" s="48"/>
      <c r="S63" s="48"/>
      <c r="T63" s="48"/>
      <c r="U63" s="48"/>
      <c r="V63" s="48"/>
      <c r="W63" s="48"/>
    </row>
    <row r="64" spans="1:23" ht="30" customHeight="1">
      <c r="A64" s="48"/>
      <c r="B64" s="48"/>
      <c r="C64" s="48"/>
      <c r="D64" s="48"/>
      <c r="E64" s="48"/>
      <c r="F64" s="48"/>
      <c r="G64" s="48"/>
      <c r="H64" s="48"/>
      <c r="I64" s="48"/>
      <c r="J64" s="48"/>
      <c r="K64" s="48"/>
      <c r="L64" s="48"/>
      <c r="M64" s="48"/>
      <c r="N64" s="48"/>
      <c r="O64" s="48"/>
      <c r="P64" s="48"/>
      <c r="Q64" s="48"/>
      <c r="R64" s="48"/>
      <c r="S64" s="48"/>
      <c r="T64" s="48"/>
      <c r="U64" s="48"/>
      <c r="V64" s="48"/>
      <c r="W64" s="48"/>
    </row>
    <row r="65" spans="1:23" ht="30" customHeight="1">
      <c r="A65" s="48"/>
      <c r="B65" s="48"/>
      <c r="C65" s="48"/>
      <c r="D65" s="48"/>
      <c r="E65" s="48"/>
      <c r="F65" s="48"/>
      <c r="G65" s="48"/>
      <c r="H65" s="48"/>
      <c r="I65" s="48"/>
      <c r="J65" s="48"/>
      <c r="K65" s="48"/>
      <c r="L65" s="48"/>
      <c r="M65" s="48"/>
      <c r="N65" s="48"/>
      <c r="O65" s="48"/>
      <c r="P65" s="48"/>
      <c r="Q65" s="48"/>
      <c r="R65" s="48"/>
      <c r="S65" s="48"/>
      <c r="T65" s="48"/>
      <c r="U65" s="48"/>
      <c r="V65" s="48"/>
      <c r="W65" s="48"/>
    </row>
    <row r="66" spans="1:23" ht="30" customHeight="1">
      <c r="A66" s="48"/>
      <c r="B66" s="48"/>
      <c r="C66" s="48"/>
      <c r="D66" s="48"/>
      <c r="E66" s="48"/>
      <c r="F66" s="48"/>
      <c r="G66" s="48"/>
      <c r="H66" s="48"/>
      <c r="I66" s="48"/>
      <c r="J66" s="48"/>
      <c r="K66" s="48"/>
      <c r="L66" s="48"/>
      <c r="M66" s="48"/>
      <c r="N66" s="48"/>
      <c r="O66" s="48"/>
      <c r="P66" s="48"/>
      <c r="Q66" s="48"/>
      <c r="R66" s="48"/>
      <c r="S66" s="48"/>
      <c r="T66" s="48"/>
      <c r="U66" s="48"/>
      <c r="V66" s="48"/>
      <c r="W66" s="48"/>
    </row>
    <row r="67" spans="1:23" ht="30" customHeight="1">
      <c r="A67" s="48"/>
      <c r="B67" s="48"/>
      <c r="C67" s="48"/>
      <c r="D67" s="48"/>
      <c r="E67" s="48"/>
      <c r="F67" s="48"/>
      <c r="G67" s="48"/>
      <c r="H67" s="48"/>
      <c r="I67" s="48"/>
      <c r="J67" s="48"/>
      <c r="K67" s="48"/>
      <c r="L67" s="48"/>
      <c r="M67" s="48"/>
      <c r="N67" s="48"/>
      <c r="O67" s="48"/>
      <c r="P67" s="48"/>
      <c r="Q67" s="48"/>
      <c r="R67" s="48"/>
      <c r="S67" s="48"/>
      <c r="T67" s="48"/>
      <c r="U67" s="48"/>
      <c r="V67" s="48"/>
      <c r="W67" s="48"/>
    </row>
    <row r="68" spans="1:23" ht="30" customHeight="1">
      <c r="A68" s="48"/>
      <c r="B68" s="48"/>
      <c r="C68" s="48"/>
      <c r="D68" s="48"/>
      <c r="E68" s="48"/>
      <c r="F68" s="48"/>
      <c r="G68" s="48"/>
      <c r="H68" s="48"/>
      <c r="I68" s="48"/>
      <c r="J68" s="48"/>
      <c r="K68" s="48"/>
      <c r="L68" s="48"/>
      <c r="M68" s="48"/>
      <c r="N68" s="48"/>
      <c r="O68" s="48"/>
      <c r="P68" s="48"/>
      <c r="Q68" s="48"/>
      <c r="R68" s="48"/>
      <c r="S68" s="48"/>
      <c r="T68" s="48"/>
      <c r="U68" s="48"/>
      <c r="V68" s="48"/>
      <c r="W68" s="48"/>
    </row>
    <row r="69" spans="1:23" ht="30" customHeight="1">
      <c r="A69" s="48"/>
      <c r="B69" s="48"/>
      <c r="C69" s="48"/>
      <c r="D69" s="48"/>
      <c r="E69" s="48"/>
      <c r="F69" s="48"/>
      <c r="G69" s="48"/>
      <c r="H69" s="48"/>
      <c r="I69" s="48"/>
      <c r="J69" s="48"/>
      <c r="K69" s="48"/>
      <c r="L69" s="48"/>
      <c r="M69" s="48"/>
      <c r="N69" s="48"/>
      <c r="O69" s="48"/>
      <c r="P69" s="48"/>
      <c r="Q69" s="48"/>
      <c r="R69" s="48"/>
      <c r="S69" s="48"/>
      <c r="T69" s="48"/>
      <c r="U69" s="48"/>
      <c r="V69" s="48"/>
      <c r="W69" s="48"/>
    </row>
    <row r="70" spans="1:23" ht="30" customHeight="1">
      <c r="A70" s="48"/>
      <c r="B70" s="48"/>
      <c r="C70" s="48"/>
      <c r="D70" s="48"/>
      <c r="E70" s="48"/>
      <c r="F70" s="48"/>
      <c r="G70" s="48"/>
      <c r="H70" s="48"/>
      <c r="I70" s="48"/>
      <c r="J70" s="48"/>
      <c r="K70" s="48"/>
      <c r="L70" s="48"/>
      <c r="M70" s="48"/>
      <c r="N70" s="48"/>
      <c r="O70" s="48"/>
      <c r="P70" s="48"/>
      <c r="Q70" s="48"/>
      <c r="R70" s="48"/>
      <c r="S70" s="48"/>
      <c r="T70" s="48"/>
      <c r="U70" s="48"/>
      <c r="V70" s="48"/>
      <c r="W70" s="48"/>
    </row>
    <row r="71" spans="1:23" ht="30" customHeight="1">
      <c r="A71" s="48"/>
      <c r="B71" s="48"/>
      <c r="C71" s="48"/>
      <c r="D71" s="48"/>
      <c r="E71" s="48"/>
      <c r="F71" s="48"/>
      <c r="G71" s="48"/>
      <c r="H71" s="48"/>
      <c r="I71" s="48"/>
      <c r="J71" s="48"/>
      <c r="K71" s="48"/>
      <c r="L71" s="48"/>
      <c r="M71" s="48"/>
      <c r="N71" s="48"/>
      <c r="O71" s="48"/>
      <c r="P71" s="48"/>
      <c r="Q71" s="48"/>
      <c r="R71" s="48"/>
      <c r="S71" s="48"/>
      <c r="T71" s="48"/>
      <c r="U71" s="48"/>
      <c r="V71" s="48"/>
      <c r="W71" s="48"/>
    </row>
    <row r="72" spans="1:23" ht="30" customHeight="1">
      <c r="A72" s="48"/>
      <c r="B72" s="48"/>
      <c r="C72" s="48"/>
      <c r="D72" s="48"/>
      <c r="E72" s="48"/>
      <c r="F72" s="48"/>
      <c r="G72" s="48"/>
      <c r="H72" s="48"/>
      <c r="I72" s="48"/>
      <c r="J72" s="48"/>
      <c r="K72" s="48"/>
      <c r="L72" s="48"/>
      <c r="M72" s="48"/>
      <c r="N72" s="48"/>
      <c r="O72" s="48"/>
      <c r="P72" s="48"/>
      <c r="Q72" s="48"/>
      <c r="R72" s="48"/>
      <c r="S72" s="48"/>
      <c r="T72" s="48"/>
      <c r="U72" s="48"/>
      <c r="V72" s="48"/>
      <c r="W72" s="48"/>
    </row>
    <row r="73" spans="1:23" ht="30" customHeight="1">
      <c r="A73" s="48"/>
      <c r="B73" s="48"/>
      <c r="C73" s="48"/>
      <c r="D73" s="48"/>
      <c r="E73" s="48"/>
      <c r="F73" s="48"/>
      <c r="G73" s="48"/>
      <c r="H73" s="48"/>
      <c r="I73" s="48"/>
      <c r="J73" s="48"/>
      <c r="K73" s="48"/>
      <c r="L73" s="48"/>
      <c r="M73" s="48"/>
      <c r="N73" s="48"/>
      <c r="O73" s="48"/>
      <c r="P73" s="48"/>
      <c r="Q73" s="48"/>
      <c r="R73" s="48"/>
      <c r="S73" s="48"/>
      <c r="T73" s="48"/>
      <c r="U73" s="48"/>
      <c r="V73" s="48"/>
      <c r="W73" s="48"/>
    </row>
    <row r="74" spans="1:23" ht="30" customHeight="1">
      <c r="A74" s="48"/>
      <c r="B74" s="48"/>
      <c r="C74" s="48"/>
      <c r="D74" s="48"/>
      <c r="E74" s="48"/>
      <c r="F74" s="48"/>
      <c r="G74" s="48"/>
      <c r="H74" s="48"/>
      <c r="I74" s="48"/>
      <c r="J74" s="48"/>
      <c r="K74" s="48"/>
      <c r="L74" s="48"/>
      <c r="M74" s="48"/>
      <c r="N74" s="48"/>
      <c r="O74" s="48"/>
      <c r="P74" s="48"/>
      <c r="Q74" s="48"/>
      <c r="R74" s="48"/>
      <c r="S74" s="48"/>
      <c r="T74" s="48"/>
      <c r="U74" s="48"/>
      <c r="V74" s="48"/>
      <c r="W74" s="48"/>
    </row>
    <row r="75" spans="1:23" ht="30" customHeight="1">
      <c r="A75" s="48"/>
      <c r="B75" s="48"/>
      <c r="C75" s="48"/>
      <c r="D75" s="48"/>
      <c r="E75" s="48"/>
      <c r="F75" s="48"/>
      <c r="G75" s="48"/>
      <c r="H75" s="48"/>
      <c r="I75" s="48"/>
      <c r="J75" s="48"/>
      <c r="K75" s="48"/>
      <c r="L75" s="48"/>
      <c r="M75" s="48"/>
      <c r="N75" s="48"/>
      <c r="O75" s="48"/>
      <c r="P75" s="48"/>
      <c r="Q75" s="48"/>
      <c r="R75" s="48"/>
      <c r="S75" s="48"/>
      <c r="T75" s="48"/>
      <c r="U75" s="48"/>
      <c r="V75" s="48"/>
      <c r="W75" s="48"/>
    </row>
    <row r="76" spans="1:23" ht="30" customHeight="1">
      <c r="A76" s="48"/>
      <c r="B76" s="48"/>
      <c r="C76" s="48"/>
      <c r="D76" s="48"/>
      <c r="E76" s="48"/>
      <c r="F76" s="48"/>
      <c r="G76" s="48"/>
      <c r="H76" s="48"/>
      <c r="I76" s="48"/>
      <c r="J76" s="48"/>
      <c r="K76" s="48"/>
      <c r="L76" s="48"/>
      <c r="M76" s="48"/>
      <c r="N76" s="48"/>
      <c r="O76" s="48"/>
      <c r="P76" s="48"/>
      <c r="Q76" s="48"/>
      <c r="R76" s="48"/>
      <c r="S76" s="48"/>
      <c r="T76" s="48"/>
      <c r="U76" s="48"/>
      <c r="V76" s="48"/>
      <c r="W76" s="48"/>
    </row>
    <row r="77" spans="1:23" ht="30" customHeight="1">
      <c r="A77" s="48"/>
      <c r="B77" s="48"/>
      <c r="C77" s="48"/>
      <c r="D77" s="48"/>
      <c r="E77" s="48"/>
      <c r="F77" s="48"/>
      <c r="G77" s="48"/>
      <c r="H77" s="48"/>
      <c r="I77" s="48"/>
      <c r="J77" s="48"/>
      <c r="K77" s="48"/>
      <c r="L77" s="48"/>
      <c r="M77" s="48"/>
      <c r="N77" s="48"/>
      <c r="O77" s="48"/>
      <c r="P77" s="48"/>
      <c r="Q77" s="48"/>
      <c r="R77" s="48"/>
      <c r="S77" s="48"/>
      <c r="T77" s="48"/>
      <c r="U77" s="48"/>
      <c r="V77" s="48"/>
      <c r="W77" s="48"/>
    </row>
    <row r="78" spans="1:23" ht="30" customHeight="1">
      <c r="A78" s="48"/>
      <c r="B78" s="48"/>
      <c r="C78" s="48"/>
      <c r="D78" s="48"/>
      <c r="E78" s="48"/>
      <c r="F78" s="48"/>
      <c r="G78" s="48"/>
      <c r="H78" s="48"/>
      <c r="I78" s="48"/>
      <c r="J78" s="48"/>
      <c r="K78" s="48"/>
      <c r="L78" s="48"/>
      <c r="M78" s="48"/>
      <c r="N78" s="48"/>
      <c r="O78" s="48"/>
      <c r="P78" s="48"/>
      <c r="Q78" s="48"/>
      <c r="R78" s="48"/>
      <c r="S78" s="48"/>
      <c r="T78" s="48"/>
      <c r="U78" s="48"/>
      <c r="V78" s="48"/>
      <c r="W78" s="48"/>
    </row>
    <row r="79" spans="1:23" ht="30" customHeight="1">
      <c r="A79" s="48"/>
      <c r="B79" s="48"/>
      <c r="C79" s="48"/>
      <c r="D79" s="48"/>
      <c r="E79" s="48"/>
      <c r="F79" s="48"/>
      <c r="G79" s="48"/>
      <c r="H79" s="48"/>
      <c r="I79" s="48"/>
      <c r="J79" s="48"/>
      <c r="K79" s="48"/>
      <c r="L79" s="48"/>
      <c r="M79" s="48"/>
      <c r="N79" s="48"/>
      <c r="O79" s="48"/>
      <c r="P79" s="48"/>
      <c r="Q79" s="48"/>
      <c r="R79" s="48"/>
      <c r="S79" s="48"/>
      <c r="T79" s="48"/>
      <c r="U79" s="48"/>
      <c r="V79" s="48"/>
      <c r="W79" s="48"/>
    </row>
    <row r="80" spans="1:23" ht="30" customHeight="1">
      <c r="A80" s="48"/>
      <c r="B80" s="48"/>
      <c r="C80" s="48"/>
      <c r="D80" s="48"/>
      <c r="E80" s="48"/>
      <c r="F80" s="48"/>
      <c r="G80" s="48"/>
      <c r="H80" s="48"/>
      <c r="I80" s="48"/>
      <c r="J80" s="48"/>
      <c r="K80" s="48"/>
      <c r="L80" s="48"/>
      <c r="M80" s="48"/>
      <c r="N80" s="48"/>
      <c r="O80" s="48"/>
      <c r="P80" s="48"/>
      <c r="Q80" s="48"/>
      <c r="R80" s="48"/>
      <c r="S80" s="48"/>
      <c r="T80" s="48"/>
      <c r="U80" s="48"/>
      <c r="V80" s="48"/>
      <c r="W80" s="48"/>
    </row>
    <row r="81" spans="1:23" ht="30" customHeight="1">
      <c r="A81" s="48"/>
      <c r="B81" s="48"/>
      <c r="C81" s="48"/>
      <c r="D81" s="48"/>
      <c r="E81" s="48"/>
      <c r="F81" s="48"/>
      <c r="G81" s="48"/>
      <c r="H81" s="48"/>
      <c r="I81" s="48"/>
      <c r="J81" s="48"/>
      <c r="K81" s="48"/>
      <c r="L81" s="48"/>
      <c r="M81" s="48"/>
      <c r="N81" s="48"/>
      <c r="O81" s="48"/>
      <c r="P81" s="48"/>
      <c r="Q81" s="48"/>
      <c r="R81" s="48"/>
      <c r="S81" s="48"/>
      <c r="T81" s="48"/>
      <c r="U81" s="48"/>
      <c r="V81" s="48"/>
      <c r="W81" s="48"/>
    </row>
    <row r="82" spans="1:23" ht="30" customHeight="1">
      <c r="A82" s="48"/>
      <c r="B82" s="48"/>
      <c r="C82" s="48"/>
      <c r="D82" s="48"/>
      <c r="E82" s="48"/>
      <c r="F82" s="48"/>
      <c r="G82" s="48"/>
      <c r="H82" s="48"/>
      <c r="I82" s="48"/>
      <c r="J82" s="48"/>
      <c r="K82" s="48"/>
      <c r="L82" s="48"/>
      <c r="M82" s="48"/>
      <c r="N82" s="48"/>
      <c r="O82" s="48"/>
      <c r="P82" s="48"/>
      <c r="Q82" s="48"/>
      <c r="R82" s="48"/>
      <c r="S82" s="48"/>
      <c r="T82" s="48"/>
      <c r="U82" s="48"/>
      <c r="V82" s="48"/>
      <c r="W82" s="48"/>
    </row>
    <row r="83" spans="1:23" ht="30" customHeight="1">
      <c r="A83" s="48"/>
      <c r="B83" s="48"/>
      <c r="C83" s="48"/>
      <c r="D83" s="48"/>
      <c r="E83" s="48"/>
      <c r="F83" s="48"/>
      <c r="G83" s="48"/>
      <c r="H83" s="48"/>
      <c r="I83" s="48"/>
      <c r="J83" s="48"/>
      <c r="K83" s="48"/>
      <c r="L83" s="48"/>
      <c r="M83" s="48"/>
      <c r="N83" s="48"/>
      <c r="O83" s="48"/>
      <c r="P83" s="48"/>
      <c r="Q83" s="48"/>
      <c r="R83" s="48"/>
      <c r="S83" s="48"/>
      <c r="T83" s="48"/>
      <c r="U83" s="48"/>
      <c r="V83" s="48"/>
      <c r="W83" s="48"/>
    </row>
    <row r="84" spans="1:23" ht="30" customHeight="1">
      <c r="A84" s="48"/>
      <c r="B84" s="48"/>
      <c r="C84" s="48"/>
      <c r="D84" s="48"/>
      <c r="E84" s="48"/>
      <c r="F84" s="48"/>
      <c r="G84" s="48"/>
      <c r="H84" s="48"/>
      <c r="I84" s="48"/>
      <c r="J84" s="48"/>
      <c r="K84" s="48"/>
      <c r="L84" s="48"/>
      <c r="M84" s="48"/>
      <c r="N84" s="48"/>
      <c r="O84" s="48"/>
      <c r="P84" s="48"/>
      <c r="Q84" s="48"/>
      <c r="R84" s="48"/>
      <c r="S84" s="48"/>
      <c r="T84" s="48"/>
      <c r="U84" s="48"/>
      <c r="V84" s="48"/>
      <c r="W84" s="48"/>
    </row>
    <row r="85" spans="1:23" ht="30" customHeight="1">
      <c r="A85" s="48"/>
      <c r="B85" s="48"/>
      <c r="C85" s="48"/>
      <c r="D85" s="48"/>
      <c r="E85" s="48"/>
      <c r="F85" s="48"/>
      <c r="G85" s="48"/>
      <c r="H85" s="48"/>
      <c r="I85" s="48"/>
      <c r="J85" s="48"/>
      <c r="K85" s="48"/>
      <c r="L85" s="48"/>
      <c r="M85" s="48"/>
      <c r="N85" s="48"/>
      <c r="O85" s="48"/>
      <c r="P85" s="48"/>
      <c r="Q85" s="48"/>
      <c r="R85" s="48"/>
      <c r="S85" s="48"/>
      <c r="T85" s="48"/>
      <c r="U85" s="48"/>
      <c r="V85" s="48"/>
      <c r="W85" s="48"/>
    </row>
    <row r="86" spans="1:23" ht="30" customHeight="1">
      <c r="A86" s="48"/>
      <c r="B86" s="48"/>
      <c r="C86" s="48"/>
      <c r="D86" s="48"/>
      <c r="E86" s="48"/>
      <c r="F86" s="48"/>
      <c r="G86" s="48"/>
      <c r="H86" s="48"/>
      <c r="I86" s="48"/>
      <c r="J86" s="48"/>
      <c r="K86" s="48"/>
      <c r="L86" s="48"/>
      <c r="M86" s="48"/>
      <c r="N86" s="48"/>
      <c r="O86" s="48"/>
      <c r="P86" s="48"/>
      <c r="Q86" s="48"/>
      <c r="R86" s="48"/>
      <c r="S86" s="48"/>
      <c r="T86" s="48"/>
      <c r="U86" s="48"/>
      <c r="V86" s="48"/>
      <c r="W86" s="48"/>
    </row>
    <row r="87" spans="1:23" ht="30" customHeight="1">
      <c r="A87" s="48"/>
      <c r="B87" s="48"/>
      <c r="C87" s="48"/>
      <c r="D87" s="48"/>
      <c r="E87" s="48"/>
      <c r="F87" s="48"/>
      <c r="G87" s="48"/>
      <c r="H87" s="48"/>
      <c r="I87" s="48"/>
      <c r="J87" s="48"/>
      <c r="K87" s="48"/>
      <c r="L87" s="48"/>
      <c r="M87" s="48"/>
      <c r="N87" s="48"/>
      <c r="O87" s="48"/>
      <c r="P87" s="48"/>
      <c r="Q87" s="48"/>
      <c r="R87" s="48"/>
      <c r="S87" s="48"/>
      <c r="T87" s="48"/>
      <c r="U87" s="48"/>
      <c r="V87" s="48"/>
      <c r="W87" s="48"/>
    </row>
    <row r="88" spans="1:23" ht="30" customHeight="1">
      <c r="A88" s="48"/>
      <c r="B88" s="48"/>
      <c r="C88" s="48"/>
      <c r="D88" s="48"/>
      <c r="E88" s="48"/>
      <c r="F88" s="48"/>
      <c r="G88" s="48"/>
      <c r="H88" s="48"/>
      <c r="I88" s="48"/>
      <c r="J88" s="48"/>
      <c r="K88" s="48"/>
      <c r="L88" s="48"/>
      <c r="M88" s="48"/>
      <c r="N88" s="48"/>
      <c r="O88" s="48"/>
      <c r="P88" s="48"/>
      <c r="Q88" s="48"/>
      <c r="R88" s="48"/>
      <c r="S88" s="48"/>
      <c r="T88" s="48"/>
      <c r="U88" s="48"/>
      <c r="V88" s="48"/>
      <c r="W88" s="48"/>
    </row>
    <row r="89" spans="1:23" ht="30" customHeight="1">
      <c r="A89" s="48"/>
      <c r="B89" s="48"/>
      <c r="C89" s="48"/>
      <c r="D89" s="48"/>
      <c r="E89" s="48"/>
      <c r="F89" s="48"/>
      <c r="G89" s="48"/>
      <c r="H89" s="48"/>
      <c r="I89" s="48"/>
      <c r="J89" s="48"/>
      <c r="K89" s="48"/>
      <c r="L89" s="48"/>
      <c r="M89" s="48"/>
      <c r="N89" s="48"/>
      <c r="O89" s="48"/>
      <c r="P89" s="48"/>
      <c r="Q89" s="48"/>
      <c r="R89" s="48"/>
      <c r="S89" s="48"/>
      <c r="T89" s="48"/>
      <c r="U89" s="48"/>
      <c r="V89" s="48"/>
      <c r="W89" s="48"/>
    </row>
    <row r="90" spans="1:23" ht="30" customHeight="1">
      <c r="A90" s="48"/>
      <c r="B90" s="48"/>
      <c r="C90" s="48"/>
      <c r="D90" s="48"/>
      <c r="E90" s="48"/>
      <c r="F90" s="48"/>
      <c r="G90" s="48"/>
      <c r="H90" s="48"/>
      <c r="I90" s="48"/>
      <c r="J90" s="48"/>
      <c r="K90" s="48"/>
      <c r="L90" s="48"/>
      <c r="M90" s="48"/>
      <c r="N90" s="48"/>
      <c r="O90" s="48"/>
      <c r="P90" s="48"/>
      <c r="Q90" s="48"/>
      <c r="R90" s="48"/>
      <c r="S90" s="48"/>
      <c r="T90" s="48"/>
      <c r="U90" s="48"/>
      <c r="V90" s="48"/>
      <c r="W90" s="48"/>
    </row>
    <row r="91" spans="1:23" ht="30" customHeight="1">
      <c r="A91" s="48"/>
      <c r="B91" s="48"/>
      <c r="C91" s="48"/>
      <c r="D91" s="48"/>
      <c r="E91" s="48"/>
      <c r="F91" s="48"/>
      <c r="G91" s="48"/>
      <c r="H91" s="48"/>
      <c r="I91" s="48"/>
      <c r="J91" s="48"/>
      <c r="K91" s="48"/>
      <c r="L91" s="48"/>
      <c r="M91" s="48"/>
      <c r="N91" s="48"/>
      <c r="O91" s="48"/>
      <c r="P91" s="48"/>
      <c r="Q91" s="48"/>
      <c r="R91" s="48"/>
      <c r="S91" s="48"/>
      <c r="T91" s="48"/>
      <c r="U91" s="48"/>
      <c r="V91" s="48"/>
      <c r="W91" s="48"/>
    </row>
    <row r="92" spans="1:23" ht="30" customHeight="1">
      <c r="A92" s="48"/>
      <c r="B92" s="48"/>
      <c r="C92" s="48"/>
      <c r="D92" s="48"/>
      <c r="E92" s="48"/>
      <c r="F92" s="48"/>
      <c r="G92" s="48"/>
      <c r="H92" s="48"/>
      <c r="I92" s="48"/>
      <c r="J92" s="48"/>
      <c r="K92" s="48"/>
      <c r="L92" s="48"/>
      <c r="M92" s="48"/>
      <c r="N92" s="48"/>
      <c r="O92" s="48"/>
      <c r="P92" s="48"/>
      <c r="Q92" s="48"/>
      <c r="R92" s="48"/>
      <c r="S92" s="48"/>
      <c r="T92" s="48"/>
      <c r="U92" s="48"/>
      <c r="V92" s="48"/>
      <c r="W92" s="48"/>
    </row>
    <row r="93" spans="1:23" ht="30" customHeight="1">
      <c r="A93" s="48"/>
      <c r="B93" s="48"/>
      <c r="C93" s="48"/>
      <c r="D93" s="48"/>
      <c r="E93" s="48"/>
      <c r="F93" s="48"/>
      <c r="G93" s="48"/>
      <c r="H93" s="48"/>
      <c r="I93" s="48"/>
      <c r="J93" s="48"/>
      <c r="K93" s="48"/>
      <c r="L93" s="48"/>
      <c r="M93" s="48"/>
      <c r="N93" s="48"/>
      <c r="O93" s="48"/>
      <c r="P93" s="48"/>
      <c r="Q93" s="48"/>
      <c r="R93" s="48"/>
      <c r="S93" s="48"/>
      <c r="T93" s="48"/>
      <c r="U93" s="48"/>
      <c r="V93" s="48"/>
      <c r="W93" s="48"/>
    </row>
    <row r="94" spans="1:23" ht="30" customHeight="1">
      <c r="A94" s="48"/>
      <c r="B94" s="48"/>
      <c r="C94" s="48"/>
      <c r="D94" s="48"/>
      <c r="E94" s="48"/>
      <c r="F94" s="48"/>
      <c r="G94" s="48"/>
      <c r="H94" s="48"/>
      <c r="I94" s="48"/>
      <c r="J94" s="48"/>
      <c r="K94" s="48"/>
      <c r="L94" s="48"/>
      <c r="M94" s="48"/>
      <c r="N94" s="48"/>
      <c r="O94" s="48"/>
      <c r="P94" s="48"/>
      <c r="Q94" s="48"/>
      <c r="R94" s="48"/>
      <c r="S94" s="48"/>
      <c r="T94" s="48"/>
      <c r="U94" s="48"/>
      <c r="V94" s="48"/>
      <c r="W94" s="48"/>
    </row>
    <row r="95" spans="1:23" ht="30" customHeight="1">
      <c r="A95" s="48"/>
      <c r="B95" s="48"/>
      <c r="C95" s="48"/>
      <c r="D95" s="48"/>
      <c r="E95" s="48"/>
      <c r="F95" s="48"/>
      <c r="G95" s="48"/>
      <c r="H95" s="48"/>
      <c r="I95" s="48"/>
      <c r="J95" s="48"/>
      <c r="K95" s="48"/>
      <c r="L95" s="48"/>
      <c r="M95" s="48"/>
      <c r="N95" s="48"/>
      <c r="O95" s="48"/>
      <c r="P95" s="48"/>
      <c r="Q95" s="48"/>
      <c r="R95" s="48"/>
      <c r="S95" s="48"/>
      <c r="T95" s="48"/>
      <c r="U95" s="48"/>
      <c r="V95" s="48"/>
      <c r="W95" s="48"/>
    </row>
    <row r="96" spans="1:23" ht="30" customHeight="1">
      <c r="A96" s="48"/>
      <c r="B96" s="48"/>
      <c r="C96" s="48"/>
      <c r="D96" s="48"/>
      <c r="E96" s="48"/>
      <c r="F96" s="48"/>
      <c r="G96" s="48"/>
      <c r="H96" s="48"/>
      <c r="I96" s="48"/>
      <c r="J96" s="48"/>
      <c r="K96" s="48"/>
      <c r="L96" s="48"/>
      <c r="M96" s="48"/>
      <c r="N96" s="48"/>
      <c r="O96" s="48"/>
      <c r="P96" s="48"/>
      <c r="Q96" s="48"/>
      <c r="R96" s="48"/>
      <c r="S96" s="48"/>
      <c r="T96" s="48"/>
      <c r="U96" s="48"/>
      <c r="V96" s="48"/>
      <c r="W96" s="48"/>
    </row>
    <row r="97" spans="1:23" ht="30" customHeight="1">
      <c r="A97" s="48"/>
      <c r="B97" s="48"/>
      <c r="C97" s="48"/>
      <c r="D97" s="48"/>
      <c r="E97" s="48"/>
      <c r="F97" s="48"/>
      <c r="G97" s="48"/>
      <c r="H97" s="48"/>
      <c r="I97" s="48"/>
      <c r="J97" s="48"/>
      <c r="K97" s="48"/>
      <c r="L97" s="48"/>
      <c r="M97" s="48"/>
      <c r="N97" s="48"/>
      <c r="O97" s="48"/>
      <c r="P97" s="48"/>
      <c r="Q97" s="48"/>
      <c r="R97" s="48"/>
      <c r="S97" s="48"/>
      <c r="T97" s="48"/>
      <c r="U97" s="48"/>
      <c r="V97" s="48"/>
      <c r="W97" s="48"/>
    </row>
    <row r="98" spans="1:23" ht="30" customHeight="1">
      <c r="A98" s="48"/>
      <c r="B98" s="48"/>
      <c r="C98" s="48"/>
      <c r="D98" s="48"/>
      <c r="E98" s="48"/>
      <c r="F98" s="48"/>
      <c r="G98" s="48"/>
      <c r="H98" s="48"/>
      <c r="I98" s="48"/>
      <c r="J98" s="48"/>
      <c r="K98" s="48"/>
      <c r="L98" s="48"/>
      <c r="M98" s="48"/>
      <c r="N98" s="48"/>
      <c r="O98" s="48"/>
      <c r="P98" s="48"/>
      <c r="Q98" s="48"/>
      <c r="R98" s="48"/>
      <c r="S98" s="48"/>
      <c r="T98" s="48"/>
      <c r="U98" s="48"/>
      <c r="V98" s="48"/>
      <c r="W98" s="48"/>
    </row>
    <row r="99" spans="1:23" ht="30" customHeight="1">
      <c r="A99" s="48"/>
      <c r="B99" s="48"/>
      <c r="C99" s="48"/>
      <c r="D99" s="48"/>
      <c r="E99" s="48"/>
      <c r="F99" s="48"/>
      <c r="G99" s="48"/>
      <c r="H99" s="48"/>
      <c r="I99" s="48"/>
      <c r="J99" s="48"/>
      <c r="K99" s="48"/>
      <c r="L99" s="48"/>
      <c r="M99" s="48"/>
      <c r="N99" s="48"/>
      <c r="O99" s="48"/>
      <c r="P99" s="48"/>
      <c r="Q99" s="48"/>
      <c r="R99" s="48"/>
      <c r="S99" s="48"/>
      <c r="T99" s="48"/>
      <c r="U99" s="48"/>
      <c r="V99" s="48"/>
      <c r="W99" s="48"/>
    </row>
    <row r="100" spans="1:23" ht="30"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row>
    <row r="101" spans="1:23" ht="30"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row>
    <row r="102" spans="1:23" ht="30"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row>
    <row r="103" spans="1:23" ht="30"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row>
    <row r="104" spans="1:23" ht="30"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row>
    <row r="105" spans="1:23" ht="30"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row>
    <row r="106" spans="1:23" ht="30"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row>
    <row r="107" spans="1:23" ht="30"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row>
    <row r="108" spans="1:23" ht="30"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row>
    <row r="109" spans="1:23" ht="30"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row>
    <row r="110" spans="1:23" ht="30"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row>
    <row r="111" spans="1:23" ht="30"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row>
    <row r="112" spans="1:23" ht="30"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row>
    <row r="113" spans="1:23" ht="30"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row>
    <row r="114" spans="1:23" ht="30"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row>
    <row r="115" spans="1:23" ht="30"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row>
    <row r="116" spans="1:23" ht="30"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row>
    <row r="117" spans="1:23" ht="30"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row>
    <row r="118" spans="1:23" ht="30"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row>
    <row r="119" spans="1:23" ht="30"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row>
    <row r="120" spans="1:23" ht="30"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row>
    <row r="121" spans="1:23" ht="30"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row>
  </sheetData>
  <mergeCells count="3">
    <mergeCell ref="A4:W4"/>
    <mergeCell ref="A3:W3"/>
    <mergeCell ref="A1:W1"/>
  </mergeCells>
  <dataValidations count="2">
    <dataValidation type="list" allowBlank="1" sqref="V7:V121" xr:uid="{00000000-0002-0000-2300-000000000000}">
      <formula1>"Not Started,In Progress,Awaiting Information,Complete,N/A,On Hold,Gap / Action Required,Approved,Rejected,Superseded"</formula1>
    </dataValidation>
    <dataValidation type="list" allowBlank="1" sqref="K8:K21" xr:uid="{00000000-0002-0000-2300-000001000000}">
      <formula1>"Not Started,In Progress,Needs Review,Complete,Not Applicable,Blocked"</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89279-DA18-44B4-A17A-ABAF9C23364D}">
  <sheetPr>
    <tabColor rgb="FFC00000"/>
  </sheetPr>
  <dimension ref="A1:U69"/>
  <sheetViews>
    <sheetView workbookViewId="0">
      <pane ySplit="7" topLeftCell="A8" activePane="bottomLeft" state="frozen"/>
      <selection pane="bottomLeft" activeCell="H18" sqref="H18"/>
    </sheetView>
  </sheetViews>
  <sheetFormatPr defaultRowHeight="15"/>
  <cols>
    <col min="1" max="1" width="13.28515625" customWidth="1"/>
    <col min="2" max="2" width="21" customWidth="1"/>
    <col min="3" max="3" width="24.7109375" customWidth="1"/>
    <col min="4" max="5" width="27.5703125" customWidth="1"/>
    <col min="6" max="6" width="16.140625" customWidth="1"/>
    <col min="7" max="7" width="21" customWidth="1"/>
    <col min="8" max="8" width="34.28515625" customWidth="1"/>
    <col min="9" max="9" width="28.5703125" customWidth="1"/>
    <col min="10" max="10" width="17.140625" customWidth="1"/>
    <col min="11" max="11" width="28.85546875" customWidth="1"/>
    <col min="12" max="12" width="31.7109375" customWidth="1"/>
    <col min="13" max="13" width="28" customWidth="1"/>
    <col min="14" max="14" width="32.7109375" customWidth="1"/>
    <col min="15" max="15" width="34.5703125" customWidth="1"/>
    <col min="16" max="16" width="28.5703125" customWidth="1"/>
    <col min="17" max="17" width="29.140625" customWidth="1"/>
    <col min="18" max="18" width="13.28515625" customWidth="1"/>
    <col min="19" max="19" width="28.5703125" customWidth="1"/>
    <col min="20" max="20" width="24.7109375" customWidth="1"/>
    <col min="21" max="21" width="44.7109375" customWidth="1"/>
  </cols>
  <sheetData>
    <row r="1" spans="1:21" s="48" customFormat="1">
      <c r="A1" s="166" t="s">
        <v>1753</v>
      </c>
      <c r="B1" s="166"/>
      <c r="C1" s="166"/>
      <c r="D1" s="166"/>
      <c r="E1" s="166"/>
      <c r="F1" s="166"/>
      <c r="G1" s="166"/>
      <c r="H1" s="166"/>
      <c r="I1" s="166"/>
      <c r="J1" s="166"/>
      <c r="K1" s="166"/>
      <c r="L1" s="166"/>
      <c r="M1" s="166"/>
      <c r="N1" s="166"/>
      <c r="O1" s="166"/>
      <c r="P1" s="166"/>
      <c r="Q1" s="166"/>
      <c r="R1" s="166"/>
      <c r="S1" s="166"/>
      <c r="T1" s="166"/>
      <c r="U1" s="166"/>
    </row>
    <row r="2" spans="1:21">
      <c r="A2" s="171" t="s">
        <v>0</v>
      </c>
      <c r="B2" s="171"/>
      <c r="C2" s="171"/>
      <c r="D2" s="171"/>
      <c r="E2" s="171"/>
      <c r="F2" s="171"/>
      <c r="G2" s="171"/>
      <c r="H2" s="171"/>
      <c r="I2" s="171"/>
      <c r="J2" s="171"/>
      <c r="K2" s="171"/>
      <c r="L2" s="171"/>
      <c r="M2" s="171"/>
      <c r="N2" s="171"/>
      <c r="O2" s="171"/>
      <c r="P2" s="171"/>
      <c r="Q2" s="171"/>
      <c r="R2" s="171"/>
      <c r="S2" s="171"/>
      <c r="T2" s="171"/>
      <c r="U2" s="171"/>
    </row>
    <row r="3" spans="1:21">
      <c r="A3" s="202" t="s">
        <v>1769</v>
      </c>
      <c r="B3" s="202"/>
      <c r="C3" s="202"/>
      <c r="D3" s="202"/>
      <c r="E3" s="202"/>
      <c r="F3" s="202"/>
      <c r="G3" s="202"/>
      <c r="H3" s="202"/>
      <c r="I3" s="202"/>
      <c r="J3" s="202"/>
      <c r="K3" s="202"/>
      <c r="L3" s="202"/>
      <c r="M3" s="202"/>
      <c r="N3" s="202"/>
      <c r="O3" s="202"/>
      <c r="P3" s="202"/>
      <c r="Q3" s="202"/>
      <c r="R3" s="202"/>
      <c r="S3" s="202"/>
      <c r="T3" s="48"/>
      <c r="U3" s="48"/>
    </row>
    <row r="4" spans="1:21" ht="28.5" customHeight="1">
      <c r="A4" s="169" t="s">
        <v>1770</v>
      </c>
      <c r="B4" s="169"/>
      <c r="C4" s="169"/>
      <c r="D4" s="169"/>
      <c r="E4" s="169"/>
      <c r="F4" s="169"/>
      <c r="G4" s="169"/>
      <c r="H4" s="169"/>
      <c r="I4" s="169"/>
      <c r="J4" s="169"/>
      <c r="K4" s="169"/>
      <c r="L4" s="169"/>
      <c r="M4" s="169"/>
      <c r="N4" s="169"/>
      <c r="O4" s="169"/>
      <c r="P4" s="169"/>
      <c r="Q4" s="169"/>
      <c r="R4" s="169"/>
      <c r="S4" s="169"/>
      <c r="T4" s="48"/>
      <c r="U4" s="48"/>
    </row>
    <row r="6" spans="1:21">
      <c r="A6" s="170" t="s">
        <v>1771</v>
      </c>
      <c r="B6" s="170"/>
      <c r="C6" s="170"/>
      <c r="D6" s="170"/>
      <c r="E6" s="170"/>
      <c r="F6" s="170"/>
      <c r="G6" s="170"/>
      <c r="H6" s="170"/>
      <c r="I6" s="170"/>
      <c r="J6" s="170"/>
      <c r="K6" s="170"/>
      <c r="L6" s="170"/>
      <c r="M6" s="170"/>
      <c r="N6" s="170"/>
      <c r="O6" s="170"/>
      <c r="P6" s="170"/>
      <c r="Q6" s="170"/>
      <c r="R6" s="170"/>
      <c r="S6" s="170"/>
      <c r="T6" s="170"/>
      <c r="U6" s="170"/>
    </row>
    <row r="7" spans="1:21" ht="44.25" customHeight="1">
      <c r="A7" s="106" t="s">
        <v>1772</v>
      </c>
      <c r="B7" s="106" t="s">
        <v>1773</v>
      </c>
      <c r="C7" s="106" t="s">
        <v>1774</v>
      </c>
      <c r="D7" s="106" t="s">
        <v>1775</v>
      </c>
      <c r="E7" s="106" t="s">
        <v>1776</v>
      </c>
      <c r="F7" s="106" t="s">
        <v>1777</v>
      </c>
      <c r="G7" s="106" t="s">
        <v>1778</v>
      </c>
      <c r="H7" s="106" t="s">
        <v>1779</v>
      </c>
      <c r="I7" s="106" t="s">
        <v>1780</v>
      </c>
      <c r="J7" s="106" t="s">
        <v>1781</v>
      </c>
      <c r="K7" s="106" t="s">
        <v>1782</v>
      </c>
      <c r="L7" s="106" t="s">
        <v>1783</v>
      </c>
      <c r="M7" s="106" t="s">
        <v>1784</v>
      </c>
      <c r="N7" s="106" t="s">
        <v>1785</v>
      </c>
      <c r="O7" s="106" t="s">
        <v>1786</v>
      </c>
      <c r="P7" s="106" t="s">
        <v>1787</v>
      </c>
      <c r="Q7" s="106" t="s">
        <v>1788</v>
      </c>
      <c r="R7" s="106" t="s">
        <v>1789</v>
      </c>
      <c r="S7" s="106" t="s">
        <v>1790</v>
      </c>
      <c r="T7" s="106" t="s">
        <v>1791</v>
      </c>
      <c r="U7" s="106" t="s">
        <v>1792</v>
      </c>
    </row>
    <row r="8" spans="1:21">
      <c r="A8" s="75"/>
      <c r="B8" s="76"/>
      <c r="C8" s="76"/>
      <c r="D8" s="84"/>
      <c r="E8" s="76"/>
      <c r="F8" s="84"/>
      <c r="G8" s="76"/>
      <c r="H8" s="76"/>
      <c r="I8" s="76"/>
      <c r="J8" s="76"/>
      <c r="K8" s="76"/>
      <c r="L8" s="76"/>
      <c r="M8" s="76"/>
      <c r="N8" s="76"/>
      <c r="O8" s="76"/>
      <c r="P8" s="76"/>
      <c r="Q8" s="76"/>
      <c r="R8" s="76"/>
      <c r="S8" s="77" t="str">
        <f>IF(AND($A8="",$G8=""),"",IF(OR($E8="",$E8="Pending NP decision"),"Awaiting NP decision",IF($E8="Rejected","Rejected - no change",IF($E8="On hold","On hold",IF($E8="Approved",IF($T8="","Awaiting NP sign-off",IF($R8="Yes","Closed",IF(AND($P8="Yes",$Q8&lt;&gt;"Yes"),"Approved - market comms pending",IF($O8="Yes","Approved - VN re-registration pending","Approved - open")))),"Awaiting NP decision")))))</f>
        <v/>
      </c>
      <c r="T8" s="92"/>
      <c r="U8" s="92"/>
    </row>
    <row r="9" spans="1:21">
      <c r="A9" s="78"/>
      <c r="B9" s="79"/>
      <c r="C9" s="79"/>
      <c r="D9" s="85"/>
      <c r="E9" s="79"/>
      <c r="F9" s="85"/>
      <c r="G9" s="79"/>
      <c r="H9" s="79"/>
      <c r="I9" s="79"/>
      <c r="J9" s="79"/>
      <c r="K9" s="79"/>
      <c r="L9" s="79"/>
      <c r="M9" s="79"/>
      <c r="N9" s="79"/>
      <c r="O9" s="79"/>
      <c r="P9" s="79"/>
      <c r="Q9" s="79"/>
      <c r="R9" s="79"/>
      <c r="S9" s="80" t="str">
        <f t="shared" ref="S9:S57" si="0">IF(AND($A9="",$G9=""),"",IF(OR($E9="",$E9="Pending NP decision"),"Awaiting NP decision",IF($E9="Rejected","Rejected - no change",IF($E9="On hold","On hold",IF($E9="Approved",IF($T9="","Awaiting NP sign-off",IF($R9="Yes","Closed",IF(AND($P9="Yes",$Q9&lt;&gt;"Yes"),"Approved - market comms pending",IF($O9="Yes","Approved - VN re-registration pending","Approved - open")))),"Awaiting NP decision")))))</f>
        <v/>
      </c>
      <c r="T9" s="92"/>
      <c r="U9" s="92"/>
    </row>
    <row r="10" spans="1:21">
      <c r="A10" s="78"/>
      <c r="B10" s="79"/>
      <c r="C10" s="79"/>
      <c r="D10" s="85"/>
      <c r="E10" s="79"/>
      <c r="F10" s="85"/>
      <c r="G10" s="79"/>
      <c r="H10" s="79"/>
      <c r="I10" s="79"/>
      <c r="J10" s="79"/>
      <c r="K10" s="79"/>
      <c r="L10" s="79"/>
      <c r="M10" s="79"/>
      <c r="N10" s="79"/>
      <c r="O10" s="79"/>
      <c r="P10" s="79"/>
      <c r="Q10" s="79"/>
      <c r="R10" s="79"/>
      <c r="S10" s="80" t="str">
        <f t="shared" si="0"/>
        <v/>
      </c>
      <c r="T10" s="92"/>
      <c r="U10" s="92"/>
    </row>
    <row r="11" spans="1:21">
      <c r="A11" s="78"/>
      <c r="B11" s="79"/>
      <c r="C11" s="79"/>
      <c r="D11" s="85"/>
      <c r="E11" s="79"/>
      <c r="F11" s="85"/>
      <c r="G11" s="79"/>
      <c r="H11" s="79"/>
      <c r="I11" s="79"/>
      <c r="J11" s="79"/>
      <c r="K11" s="79"/>
      <c r="L11" s="79"/>
      <c r="M11" s="79"/>
      <c r="N11" s="79"/>
      <c r="O11" s="79"/>
      <c r="P11" s="79"/>
      <c r="Q11" s="79"/>
      <c r="R11" s="79"/>
      <c r="S11" s="80" t="str">
        <f t="shared" si="0"/>
        <v/>
      </c>
      <c r="T11" s="92"/>
      <c r="U11" s="92"/>
    </row>
    <row r="12" spans="1:21">
      <c r="A12" s="78"/>
      <c r="B12" s="79"/>
      <c r="C12" s="79"/>
      <c r="D12" s="85"/>
      <c r="E12" s="79"/>
      <c r="F12" s="85"/>
      <c r="G12" s="79"/>
      <c r="H12" s="79"/>
      <c r="I12" s="79"/>
      <c r="J12" s="79"/>
      <c r="K12" s="79"/>
      <c r="L12" s="79"/>
      <c r="M12" s="79"/>
      <c r="N12" s="79"/>
      <c r="O12" s="79"/>
      <c r="P12" s="79"/>
      <c r="Q12" s="79"/>
      <c r="R12" s="79"/>
      <c r="S12" s="80" t="str">
        <f t="shared" si="0"/>
        <v/>
      </c>
      <c r="T12" s="92"/>
      <c r="U12" s="92"/>
    </row>
    <row r="13" spans="1:21">
      <c r="A13" s="78"/>
      <c r="B13" s="79"/>
      <c r="C13" s="79"/>
      <c r="D13" s="85"/>
      <c r="E13" s="79"/>
      <c r="F13" s="85"/>
      <c r="G13" s="79"/>
      <c r="H13" s="79"/>
      <c r="I13" s="79"/>
      <c r="J13" s="79"/>
      <c r="K13" s="79"/>
      <c r="L13" s="79"/>
      <c r="M13" s="79"/>
      <c r="N13" s="79"/>
      <c r="O13" s="79"/>
      <c r="P13" s="79"/>
      <c r="Q13" s="79"/>
      <c r="R13" s="79"/>
      <c r="S13" s="80" t="str">
        <f t="shared" si="0"/>
        <v/>
      </c>
      <c r="T13" s="92"/>
      <c r="U13" s="92"/>
    </row>
    <row r="14" spans="1:21">
      <c r="A14" s="78"/>
      <c r="B14" s="79"/>
      <c r="C14" s="79"/>
      <c r="D14" s="85"/>
      <c r="E14" s="79"/>
      <c r="F14" s="85"/>
      <c r="G14" s="79"/>
      <c r="H14" s="79"/>
      <c r="I14" s="79"/>
      <c r="J14" s="79"/>
      <c r="K14" s="79"/>
      <c r="L14" s="79"/>
      <c r="M14" s="79"/>
      <c r="N14" s="79"/>
      <c r="O14" s="79"/>
      <c r="P14" s="79"/>
      <c r="Q14" s="79"/>
      <c r="R14" s="79"/>
      <c r="S14" s="80" t="str">
        <f t="shared" si="0"/>
        <v/>
      </c>
      <c r="T14" s="92"/>
      <c r="U14" s="92"/>
    </row>
    <row r="15" spans="1:21">
      <c r="A15" s="78"/>
      <c r="B15" s="79"/>
      <c r="C15" s="79"/>
      <c r="D15" s="85"/>
      <c r="E15" s="79"/>
      <c r="F15" s="85"/>
      <c r="G15" s="79"/>
      <c r="H15" s="79"/>
      <c r="I15" s="79"/>
      <c r="J15" s="79"/>
      <c r="K15" s="79"/>
      <c r="L15" s="79"/>
      <c r="M15" s="79"/>
      <c r="N15" s="79"/>
      <c r="O15" s="79"/>
      <c r="P15" s="79"/>
      <c r="Q15" s="79"/>
      <c r="R15" s="79"/>
      <c r="S15" s="80" t="str">
        <f t="shared" si="0"/>
        <v/>
      </c>
      <c r="T15" s="92"/>
      <c r="U15" s="92"/>
    </row>
    <row r="16" spans="1:21">
      <c r="A16" s="78"/>
      <c r="B16" s="79"/>
      <c r="C16" s="79"/>
      <c r="D16" s="85"/>
      <c r="E16" s="79"/>
      <c r="F16" s="85"/>
      <c r="G16" s="79"/>
      <c r="H16" s="79"/>
      <c r="I16" s="79"/>
      <c r="J16" s="79"/>
      <c r="K16" s="79"/>
      <c r="L16" s="79"/>
      <c r="M16" s="79"/>
      <c r="N16" s="79"/>
      <c r="O16" s="79"/>
      <c r="P16" s="79"/>
      <c r="Q16" s="79"/>
      <c r="R16" s="79"/>
      <c r="S16" s="80" t="str">
        <f t="shared" si="0"/>
        <v/>
      </c>
      <c r="T16" s="92"/>
      <c r="U16" s="92"/>
    </row>
    <row r="17" spans="1:21">
      <c r="A17" s="78"/>
      <c r="B17" s="79"/>
      <c r="C17" s="79"/>
      <c r="D17" s="85"/>
      <c r="E17" s="79"/>
      <c r="F17" s="85"/>
      <c r="G17" s="79"/>
      <c r="H17" s="79"/>
      <c r="I17" s="79"/>
      <c r="J17" s="79"/>
      <c r="K17" s="79"/>
      <c r="L17" s="79"/>
      <c r="M17" s="79"/>
      <c r="N17" s="79"/>
      <c r="O17" s="79"/>
      <c r="P17" s="79"/>
      <c r="Q17" s="79"/>
      <c r="R17" s="79"/>
      <c r="S17" s="80" t="str">
        <f t="shared" si="0"/>
        <v/>
      </c>
      <c r="T17" s="92"/>
      <c r="U17" s="92"/>
    </row>
    <row r="18" spans="1:21">
      <c r="A18" s="78"/>
      <c r="B18" s="79"/>
      <c r="C18" s="79"/>
      <c r="D18" s="85"/>
      <c r="E18" s="79"/>
      <c r="F18" s="85"/>
      <c r="G18" s="79"/>
      <c r="H18" s="79"/>
      <c r="I18" s="79"/>
      <c r="J18" s="79"/>
      <c r="K18" s="79"/>
      <c r="L18" s="79"/>
      <c r="M18" s="79"/>
      <c r="N18" s="79"/>
      <c r="O18" s="79"/>
      <c r="P18" s="79"/>
      <c r="Q18" s="79"/>
      <c r="R18" s="79"/>
      <c r="S18" s="80" t="str">
        <f t="shared" si="0"/>
        <v/>
      </c>
      <c r="T18" s="92"/>
      <c r="U18" s="92"/>
    </row>
    <row r="19" spans="1:21">
      <c r="A19" s="78"/>
      <c r="B19" s="79"/>
      <c r="C19" s="79"/>
      <c r="D19" s="85"/>
      <c r="E19" s="79"/>
      <c r="F19" s="85"/>
      <c r="G19" s="79"/>
      <c r="H19" s="79"/>
      <c r="I19" s="79"/>
      <c r="J19" s="79"/>
      <c r="K19" s="79"/>
      <c r="L19" s="79"/>
      <c r="M19" s="79"/>
      <c r="N19" s="79"/>
      <c r="O19" s="79"/>
      <c r="P19" s="79"/>
      <c r="Q19" s="79"/>
      <c r="R19" s="79"/>
      <c r="S19" s="80" t="str">
        <f t="shared" si="0"/>
        <v/>
      </c>
      <c r="T19" s="92"/>
      <c r="U19" s="92"/>
    </row>
    <row r="20" spans="1:21">
      <c r="A20" s="78"/>
      <c r="B20" s="79"/>
      <c r="C20" s="79"/>
      <c r="D20" s="85"/>
      <c r="E20" s="79"/>
      <c r="F20" s="85"/>
      <c r="G20" s="79"/>
      <c r="H20" s="79"/>
      <c r="I20" s="79"/>
      <c r="J20" s="79"/>
      <c r="K20" s="79"/>
      <c r="L20" s="79"/>
      <c r="M20" s="79"/>
      <c r="N20" s="79"/>
      <c r="O20" s="79"/>
      <c r="P20" s="79"/>
      <c r="Q20" s="79"/>
      <c r="R20" s="79"/>
      <c r="S20" s="80" t="str">
        <f t="shared" si="0"/>
        <v/>
      </c>
      <c r="T20" s="92"/>
      <c r="U20" s="92"/>
    </row>
    <row r="21" spans="1:21">
      <c r="A21" s="78"/>
      <c r="B21" s="79"/>
      <c r="C21" s="79"/>
      <c r="D21" s="85"/>
      <c r="E21" s="79"/>
      <c r="F21" s="85"/>
      <c r="G21" s="79"/>
      <c r="H21" s="79"/>
      <c r="I21" s="79"/>
      <c r="J21" s="79"/>
      <c r="K21" s="79"/>
      <c r="L21" s="79"/>
      <c r="M21" s="79"/>
      <c r="N21" s="79"/>
      <c r="O21" s="79"/>
      <c r="P21" s="79"/>
      <c r="Q21" s="79"/>
      <c r="R21" s="79"/>
      <c r="S21" s="80" t="str">
        <f t="shared" si="0"/>
        <v/>
      </c>
      <c r="T21" s="92"/>
      <c r="U21" s="92"/>
    </row>
    <row r="22" spans="1:21">
      <c r="A22" s="78"/>
      <c r="B22" s="79"/>
      <c r="C22" s="79"/>
      <c r="D22" s="85"/>
      <c r="E22" s="79"/>
      <c r="F22" s="85"/>
      <c r="G22" s="79"/>
      <c r="H22" s="79"/>
      <c r="I22" s="79"/>
      <c r="J22" s="79"/>
      <c r="K22" s="79"/>
      <c r="L22" s="79"/>
      <c r="M22" s="79"/>
      <c r="N22" s="79"/>
      <c r="O22" s="79"/>
      <c r="P22" s="79"/>
      <c r="Q22" s="79"/>
      <c r="R22" s="79"/>
      <c r="S22" s="80" t="str">
        <f t="shared" si="0"/>
        <v/>
      </c>
      <c r="T22" s="92"/>
      <c r="U22" s="92"/>
    </row>
    <row r="23" spans="1:21">
      <c r="A23" s="78"/>
      <c r="B23" s="79"/>
      <c r="C23" s="79"/>
      <c r="D23" s="85"/>
      <c r="E23" s="79"/>
      <c r="F23" s="85"/>
      <c r="G23" s="79"/>
      <c r="H23" s="79"/>
      <c r="I23" s="79"/>
      <c r="J23" s="79"/>
      <c r="K23" s="79"/>
      <c r="L23" s="79"/>
      <c r="M23" s="79"/>
      <c r="N23" s="79"/>
      <c r="O23" s="79"/>
      <c r="P23" s="79"/>
      <c r="Q23" s="79"/>
      <c r="R23" s="79"/>
      <c r="S23" s="80" t="str">
        <f t="shared" si="0"/>
        <v/>
      </c>
      <c r="T23" s="92"/>
      <c r="U23" s="92"/>
    </row>
    <row r="24" spans="1:21">
      <c r="A24" s="78"/>
      <c r="B24" s="79"/>
      <c r="C24" s="79"/>
      <c r="D24" s="85"/>
      <c r="E24" s="79"/>
      <c r="F24" s="85"/>
      <c r="G24" s="79"/>
      <c r="H24" s="79"/>
      <c r="I24" s="79"/>
      <c r="J24" s="79"/>
      <c r="K24" s="79"/>
      <c r="L24" s="79"/>
      <c r="M24" s="79"/>
      <c r="N24" s="79"/>
      <c r="O24" s="79"/>
      <c r="P24" s="79"/>
      <c r="Q24" s="79"/>
      <c r="R24" s="79"/>
      <c r="S24" s="80" t="str">
        <f t="shared" si="0"/>
        <v/>
      </c>
      <c r="T24" s="92"/>
      <c r="U24" s="92"/>
    </row>
    <row r="25" spans="1:21">
      <c r="A25" s="78"/>
      <c r="B25" s="79"/>
      <c r="C25" s="79"/>
      <c r="D25" s="85"/>
      <c r="E25" s="79"/>
      <c r="F25" s="85"/>
      <c r="G25" s="79"/>
      <c r="H25" s="79"/>
      <c r="I25" s="79"/>
      <c r="J25" s="79"/>
      <c r="K25" s="79"/>
      <c r="L25" s="79"/>
      <c r="M25" s="79"/>
      <c r="N25" s="79"/>
      <c r="O25" s="79"/>
      <c r="P25" s="79"/>
      <c r="Q25" s="79"/>
      <c r="R25" s="79"/>
      <c r="S25" s="80" t="str">
        <f t="shared" si="0"/>
        <v/>
      </c>
      <c r="T25" s="92"/>
      <c r="U25" s="92"/>
    </row>
    <row r="26" spans="1:21">
      <c r="A26" s="78"/>
      <c r="B26" s="79"/>
      <c r="C26" s="79"/>
      <c r="D26" s="85"/>
      <c r="E26" s="79"/>
      <c r="F26" s="85"/>
      <c r="G26" s="79"/>
      <c r="H26" s="79"/>
      <c r="I26" s="79"/>
      <c r="J26" s="79"/>
      <c r="K26" s="79"/>
      <c r="L26" s="79"/>
      <c r="M26" s="79"/>
      <c r="N26" s="79"/>
      <c r="O26" s="79"/>
      <c r="P26" s="79"/>
      <c r="Q26" s="79"/>
      <c r="R26" s="79"/>
      <c r="S26" s="80" t="str">
        <f t="shared" si="0"/>
        <v/>
      </c>
      <c r="T26" s="92"/>
      <c r="U26" s="92"/>
    </row>
    <row r="27" spans="1:21">
      <c r="A27" s="78"/>
      <c r="B27" s="79"/>
      <c r="C27" s="79"/>
      <c r="D27" s="85"/>
      <c r="E27" s="79"/>
      <c r="F27" s="85"/>
      <c r="G27" s="79"/>
      <c r="H27" s="79"/>
      <c r="I27" s="79"/>
      <c r="J27" s="79"/>
      <c r="K27" s="79"/>
      <c r="L27" s="79"/>
      <c r="M27" s="79"/>
      <c r="N27" s="79"/>
      <c r="O27" s="79"/>
      <c r="P27" s="79"/>
      <c r="Q27" s="79"/>
      <c r="R27" s="79"/>
      <c r="S27" s="80" t="str">
        <f t="shared" si="0"/>
        <v/>
      </c>
      <c r="T27" s="92"/>
      <c r="U27" s="92"/>
    </row>
    <row r="28" spans="1:21">
      <c r="A28" s="78"/>
      <c r="B28" s="79"/>
      <c r="C28" s="79"/>
      <c r="D28" s="85"/>
      <c r="E28" s="79"/>
      <c r="F28" s="85"/>
      <c r="G28" s="79"/>
      <c r="H28" s="79"/>
      <c r="I28" s="79"/>
      <c r="J28" s="79"/>
      <c r="K28" s="79"/>
      <c r="L28" s="79"/>
      <c r="M28" s="79"/>
      <c r="N28" s="79"/>
      <c r="O28" s="79"/>
      <c r="P28" s="79"/>
      <c r="Q28" s="79"/>
      <c r="R28" s="79"/>
      <c r="S28" s="80" t="str">
        <f t="shared" si="0"/>
        <v/>
      </c>
      <c r="T28" s="92"/>
      <c r="U28" s="92"/>
    </row>
    <row r="29" spans="1:21">
      <c r="A29" s="78"/>
      <c r="B29" s="79"/>
      <c r="C29" s="79"/>
      <c r="D29" s="85"/>
      <c r="E29" s="79"/>
      <c r="F29" s="85"/>
      <c r="G29" s="79"/>
      <c r="H29" s="79"/>
      <c r="I29" s="79"/>
      <c r="J29" s="79"/>
      <c r="K29" s="79"/>
      <c r="L29" s="79"/>
      <c r="M29" s="79"/>
      <c r="N29" s="79"/>
      <c r="O29" s="79"/>
      <c r="P29" s="79"/>
      <c r="Q29" s="79"/>
      <c r="R29" s="79"/>
      <c r="S29" s="80" t="str">
        <f t="shared" si="0"/>
        <v/>
      </c>
      <c r="T29" s="92"/>
      <c r="U29" s="92"/>
    </row>
    <row r="30" spans="1:21">
      <c r="A30" s="78"/>
      <c r="B30" s="79"/>
      <c r="C30" s="79"/>
      <c r="D30" s="85"/>
      <c r="E30" s="79"/>
      <c r="F30" s="85"/>
      <c r="G30" s="79"/>
      <c r="H30" s="79"/>
      <c r="I30" s="79"/>
      <c r="J30" s="79"/>
      <c r="K30" s="79"/>
      <c r="L30" s="79"/>
      <c r="M30" s="79"/>
      <c r="N30" s="79"/>
      <c r="O30" s="79"/>
      <c r="P30" s="79"/>
      <c r="Q30" s="79"/>
      <c r="R30" s="79"/>
      <c r="S30" s="80" t="str">
        <f t="shared" si="0"/>
        <v/>
      </c>
      <c r="T30" s="92"/>
      <c r="U30" s="92"/>
    </row>
    <row r="31" spans="1:21">
      <c r="A31" s="78"/>
      <c r="B31" s="79"/>
      <c r="C31" s="79"/>
      <c r="D31" s="85"/>
      <c r="E31" s="79"/>
      <c r="F31" s="85"/>
      <c r="G31" s="79"/>
      <c r="H31" s="79"/>
      <c r="I31" s="79"/>
      <c r="J31" s="79"/>
      <c r="K31" s="79"/>
      <c r="L31" s="79"/>
      <c r="M31" s="79"/>
      <c r="N31" s="79"/>
      <c r="O31" s="79"/>
      <c r="P31" s="79"/>
      <c r="Q31" s="79"/>
      <c r="R31" s="79"/>
      <c r="S31" s="80" t="str">
        <f t="shared" si="0"/>
        <v/>
      </c>
      <c r="T31" s="92"/>
      <c r="U31" s="92"/>
    </row>
    <row r="32" spans="1:21">
      <c r="A32" s="78"/>
      <c r="B32" s="79"/>
      <c r="C32" s="79"/>
      <c r="D32" s="85"/>
      <c r="E32" s="79"/>
      <c r="F32" s="85"/>
      <c r="G32" s="79"/>
      <c r="H32" s="79"/>
      <c r="I32" s="79"/>
      <c r="J32" s="79"/>
      <c r="K32" s="79"/>
      <c r="L32" s="79"/>
      <c r="M32" s="79"/>
      <c r="N32" s="79"/>
      <c r="O32" s="79"/>
      <c r="P32" s="79"/>
      <c r="Q32" s="79"/>
      <c r="R32" s="79"/>
      <c r="S32" s="80" t="str">
        <f t="shared" si="0"/>
        <v/>
      </c>
      <c r="T32" s="92"/>
      <c r="U32" s="92"/>
    </row>
    <row r="33" spans="1:21">
      <c r="A33" s="78"/>
      <c r="B33" s="79"/>
      <c r="C33" s="79"/>
      <c r="D33" s="85"/>
      <c r="E33" s="79"/>
      <c r="F33" s="85"/>
      <c r="G33" s="79"/>
      <c r="H33" s="79"/>
      <c r="I33" s="79"/>
      <c r="J33" s="79"/>
      <c r="K33" s="79"/>
      <c r="L33" s="79"/>
      <c r="M33" s="79"/>
      <c r="N33" s="79"/>
      <c r="O33" s="79"/>
      <c r="P33" s="79"/>
      <c r="Q33" s="79"/>
      <c r="R33" s="79"/>
      <c r="S33" s="80" t="str">
        <f t="shared" si="0"/>
        <v/>
      </c>
      <c r="T33" s="92"/>
      <c r="U33" s="92"/>
    </row>
    <row r="34" spans="1:21">
      <c r="A34" s="78"/>
      <c r="B34" s="79"/>
      <c r="C34" s="79"/>
      <c r="D34" s="85"/>
      <c r="E34" s="79"/>
      <c r="F34" s="85"/>
      <c r="G34" s="79"/>
      <c r="H34" s="79"/>
      <c r="I34" s="79"/>
      <c r="J34" s="79"/>
      <c r="K34" s="79"/>
      <c r="L34" s="79"/>
      <c r="M34" s="79"/>
      <c r="N34" s="79"/>
      <c r="O34" s="79"/>
      <c r="P34" s="79"/>
      <c r="Q34" s="79"/>
      <c r="R34" s="79"/>
      <c r="S34" s="80" t="str">
        <f t="shared" si="0"/>
        <v/>
      </c>
      <c r="T34" s="92"/>
      <c r="U34" s="92"/>
    </row>
    <row r="35" spans="1:21">
      <c r="A35" s="78"/>
      <c r="B35" s="79"/>
      <c r="C35" s="79"/>
      <c r="D35" s="85"/>
      <c r="E35" s="79"/>
      <c r="F35" s="85"/>
      <c r="G35" s="79"/>
      <c r="H35" s="79"/>
      <c r="I35" s="79"/>
      <c r="J35" s="79"/>
      <c r="K35" s="79"/>
      <c r="L35" s="79"/>
      <c r="M35" s="79"/>
      <c r="N35" s="79"/>
      <c r="O35" s="79"/>
      <c r="P35" s="79"/>
      <c r="Q35" s="79"/>
      <c r="R35" s="79"/>
      <c r="S35" s="80" t="str">
        <f t="shared" si="0"/>
        <v/>
      </c>
      <c r="T35" s="92"/>
      <c r="U35" s="92"/>
    </row>
    <row r="36" spans="1:21">
      <c r="A36" s="78"/>
      <c r="B36" s="79"/>
      <c r="C36" s="79"/>
      <c r="D36" s="85"/>
      <c r="E36" s="79"/>
      <c r="F36" s="85"/>
      <c r="G36" s="79"/>
      <c r="H36" s="79"/>
      <c r="I36" s="79"/>
      <c r="J36" s="79"/>
      <c r="K36" s="79"/>
      <c r="L36" s="79"/>
      <c r="M36" s="79"/>
      <c r="N36" s="79"/>
      <c r="O36" s="79"/>
      <c r="P36" s="79"/>
      <c r="Q36" s="79"/>
      <c r="R36" s="79"/>
      <c r="S36" s="80" t="str">
        <f t="shared" si="0"/>
        <v/>
      </c>
      <c r="T36" s="92"/>
      <c r="U36" s="92"/>
    </row>
    <row r="37" spans="1:21">
      <c r="A37" s="78"/>
      <c r="B37" s="79"/>
      <c r="C37" s="79"/>
      <c r="D37" s="85"/>
      <c r="E37" s="79"/>
      <c r="F37" s="85"/>
      <c r="G37" s="79"/>
      <c r="H37" s="79"/>
      <c r="I37" s="79"/>
      <c r="J37" s="79"/>
      <c r="K37" s="79"/>
      <c r="L37" s="79"/>
      <c r="M37" s="79"/>
      <c r="N37" s="79"/>
      <c r="O37" s="79"/>
      <c r="P37" s="79"/>
      <c r="Q37" s="79"/>
      <c r="R37" s="79"/>
      <c r="S37" s="80" t="str">
        <f t="shared" si="0"/>
        <v/>
      </c>
      <c r="T37" s="92"/>
      <c r="U37" s="92"/>
    </row>
    <row r="38" spans="1:21">
      <c r="A38" s="78"/>
      <c r="B38" s="79"/>
      <c r="C38" s="79"/>
      <c r="D38" s="85"/>
      <c r="E38" s="79"/>
      <c r="F38" s="85"/>
      <c r="G38" s="79"/>
      <c r="H38" s="79"/>
      <c r="I38" s="79"/>
      <c r="J38" s="79"/>
      <c r="K38" s="79"/>
      <c r="L38" s="79"/>
      <c r="M38" s="79"/>
      <c r="N38" s="79"/>
      <c r="O38" s="79"/>
      <c r="P38" s="79"/>
      <c r="Q38" s="79"/>
      <c r="R38" s="79"/>
      <c r="S38" s="80" t="str">
        <f t="shared" si="0"/>
        <v/>
      </c>
      <c r="T38" s="92"/>
      <c r="U38" s="92"/>
    </row>
    <row r="39" spans="1:21">
      <c r="A39" s="78"/>
      <c r="B39" s="79"/>
      <c r="C39" s="79"/>
      <c r="D39" s="85"/>
      <c r="E39" s="79"/>
      <c r="F39" s="85"/>
      <c r="G39" s="79"/>
      <c r="H39" s="79"/>
      <c r="I39" s="79"/>
      <c r="J39" s="79"/>
      <c r="K39" s="79"/>
      <c r="L39" s="79"/>
      <c r="M39" s="79"/>
      <c r="N39" s="79"/>
      <c r="O39" s="79"/>
      <c r="P39" s="79"/>
      <c r="Q39" s="79"/>
      <c r="R39" s="79"/>
      <c r="S39" s="80" t="str">
        <f t="shared" si="0"/>
        <v/>
      </c>
      <c r="T39" s="92"/>
      <c r="U39" s="92"/>
    </row>
    <row r="40" spans="1:21">
      <c r="A40" s="78"/>
      <c r="B40" s="79"/>
      <c r="C40" s="79"/>
      <c r="D40" s="85"/>
      <c r="E40" s="79"/>
      <c r="F40" s="85"/>
      <c r="G40" s="79"/>
      <c r="H40" s="79"/>
      <c r="I40" s="79"/>
      <c r="J40" s="79"/>
      <c r="K40" s="79"/>
      <c r="L40" s="79"/>
      <c r="M40" s="79"/>
      <c r="N40" s="79"/>
      <c r="O40" s="79"/>
      <c r="P40" s="79"/>
      <c r="Q40" s="79"/>
      <c r="R40" s="79"/>
      <c r="S40" s="80" t="str">
        <f t="shared" si="0"/>
        <v/>
      </c>
      <c r="T40" s="92"/>
      <c r="U40" s="92"/>
    </row>
    <row r="41" spans="1:21">
      <c r="A41" s="78"/>
      <c r="B41" s="79"/>
      <c r="C41" s="79"/>
      <c r="D41" s="85"/>
      <c r="E41" s="79"/>
      <c r="F41" s="85"/>
      <c r="G41" s="79"/>
      <c r="H41" s="79"/>
      <c r="I41" s="79"/>
      <c r="J41" s="79"/>
      <c r="K41" s="79"/>
      <c r="L41" s="79"/>
      <c r="M41" s="79"/>
      <c r="N41" s="79"/>
      <c r="O41" s="79"/>
      <c r="P41" s="79"/>
      <c r="Q41" s="79"/>
      <c r="R41" s="79"/>
      <c r="S41" s="80" t="str">
        <f t="shared" si="0"/>
        <v/>
      </c>
      <c r="T41" s="92"/>
      <c r="U41" s="92"/>
    </row>
    <row r="42" spans="1:21">
      <c r="A42" s="78"/>
      <c r="B42" s="79"/>
      <c r="C42" s="79"/>
      <c r="D42" s="85"/>
      <c r="E42" s="79"/>
      <c r="F42" s="85"/>
      <c r="G42" s="79"/>
      <c r="H42" s="79"/>
      <c r="I42" s="79"/>
      <c r="J42" s="79"/>
      <c r="K42" s="79"/>
      <c r="L42" s="79"/>
      <c r="M42" s="79"/>
      <c r="N42" s="79"/>
      <c r="O42" s="79"/>
      <c r="P42" s="79"/>
      <c r="Q42" s="79"/>
      <c r="R42" s="79"/>
      <c r="S42" s="80" t="str">
        <f t="shared" si="0"/>
        <v/>
      </c>
      <c r="T42" s="92"/>
      <c r="U42" s="92"/>
    </row>
    <row r="43" spans="1:21">
      <c r="A43" s="78"/>
      <c r="B43" s="79"/>
      <c r="C43" s="79"/>
      <c r="D43" s="85"/>
      <c r="E43" s="79"/>
      <c r="F43" s="85"/>
      <c r="G43" s="79"/>
      <c r="H43" s="79"/>
      <c r="I43" s="79"/>
      <c r="J43" s="79"/>
      <c r="K43" s="79"/>
      <c r="L43" s="79"/>
      <c r="M43" s="79"/>
      <c r="N43" s="79"/>
      <c r="O43" s="79"/>
      <c r="P43" s="79"/>
      <c r="Q43" s="79"/>
      <c r="R43" s="79"/>
      <c r="S43" s="80" t="str">
        <f t="shared" si="0"/>
        <v/>
      </c>
      <c r="T43" s="92"/>
      <c r="U43" s="92"/>
    </row>
    <row r="44" spans="1:21">
      <c r="A44" s="78"/>
      <c r="B44" s="79"/>
      <c r="C44" s="79"/>
      <c r="D44" s="85"/>
      <c r="E44" s="79"/>
      <c r="F44" s="85"/>
      <c r="G44" s="79"/>
      <c r="H44" s="79"/>
      <c r="I44" s="79"/>
      <c r="J44" s="79"/>
      <c r="K44" s="79"/>
      <c r="L44" s="79"/>
      <c r="M44" s="79"/>
      <c r="N44" s="79"/>
      <c r="O44" s="79"/>
      <c r="P44" s="79"/>
      <c r="Q44" s="79"/>
      <c r="R44" s="79"/>
      <c r="S44" s="80" t="str">
        <f t="shared" si="0"/>
        <v/>
      </c>
      <c r="T44" s="92"/>
      <c r="U44" s="92"/>
    </row>
    <row r="45" spans="1:21">
      <c r="A45" s="78"/>
      <c r="B45" s="79"/>
      <c r="C45" s="79"/>
      <c r="D45" s="85"/>
      <c r="E45" s="79"/>
      <c r="F45" s="85"/>
      <c r="G45" s="79"/>
      <c r="H45" s="79"/>
      <c r="I45" s="79"/>
      <c r="J45" s="79"/>
      <c r="K45" s="79"/>
      <c r="L45" s="79"/>
      <c r="M45" s="79"/>
      <c r="N45" s="79"/>
      <c r="O45" s="79"/>
      <c r="P45" s="79"/>
      <c r="Q45" s="79"/>
      <c r="R45" s="79"/>
      <c r="S45" s="80" t="str">
        <f t="shared" si="0"/>
        <v/>
      </c>
      <c r="T45" s="92"/>
      <c r="U45" s="92"/>
    </row>
    <row r="46" spans="1:21">
      <c r="A46" s="78"/>
      <c r="B46" s="79"/>
      <c r="C46" s="79"/>
      <c r="D46" s="85"/>
      <c r="E46" s="79"/>
      <c r="F46" s="85"/>
      <c r="G46" s="79"/>
      <c r="H46" s="79"/>
      <c r="I46" s="79"/>
      <c r="J46" s="79"/>
      <c r="K46" s="79"/>
      <c r="L46" s="79"/>
      <c r="M46" s="79"/>
      <c r="N46" s="79"/>
      <c r="O46" s="79"/>
      <c r="P46" s="79"/>
      <c r="Q46" s="79"/>
      <c r="R46" s="79"/>
      <c r="S46" s="80" t="str">
        <f t="shared" si="0"/>
        <v/>
      </c>
      <c r="T46" s="92"/>
      <c r="U46" s="92"/>
    </row>
    <row r="47" spans="1:21">
      <c r="A47" s="78"/>
      <c r="B47" s="79"/>
      <c r="C47" s="79"/>
      <c r="D47" s="85"/>
      <c r="E47" s="79"/>
      <c r="F47" s="85"/>
      <c r="G47" s="79"/>
      <c r="H47" s="79"/>
      <c r="I47" s="79"/>
      <c r="J47" s="79"/>
      <c r="K47" s="79"/>
      <c r="L47" s="79"/>
      <c r="M47" s="79"/>
      <c r="N47" s="79"/>
      <c r="O47" s="79"/>
      <c r="P47" s="79"/>
      <c r="Q47" s="79"/>
      <c r="R47" s="79"/>
      <c r="S47" s="80" t="str">
        <f t="shared" si="0"/>
        <v/>
      </c>
      <c r="T47" s="92"/>
      <c r="U47" s="92"/>
    </row>
    <row r="48" spans="1:21">
      <c r="A48" s="78"/>
      <c r="B48" s="79"/>
      <c r="C48" s="79"/>
      <c r="D48" s="85"/>
      <c r="E48" s="79"/>
      <c r="F48" s="85"/>
      <c r="G48" s="79"/>
      <c r="H48" s="79"/>
      <c r="I48" s="79"/>
      <c r="J48" s="79"/>
      <c r="K48" s="79"/>
      <c r="L48" s="79"/>
      <c r="M48" s="79"/>
      <c r="N48" s="79"/>
      <c r="O48" s="79"/>
      <c r="P48" s="79"/>
      <c r="Q48" s="79"/>
      <c r="R48" s="79"/>
      <c r="S48" s="80" t="str">
        <f t="shared" si="0"/>
        <v/>
      </c>
      <c r="T48" s="92"/>
      <c r="U48" s="92"/>
    </row>
    <row r="49" spans="1:21">
      <c r="A49" s="78"/>
      <c r="B49" s="79"/>
      <c r="C49" s="79"/>
      <c r="D49" s="85"/>
      <c r="E49" s="79"/>
      <c r="F49" s="85"/>
      <c r="G49" s="79"/>
      <c r="H49" s="79"/>
      <c r="I49" s="79"/>
      <c r="J49" s="79"/>
      <c r="K49" s="79"/>
      <c r="L49" s="79"/>
      <c r="M49" s="79"/>
      <c r="N49" s="79"/>
      <c r="O49" s="79"/>
      <c r="P49" s="79"/>
      <c r="Q49" s="79"/>
      <c r="R49" s="79"/>
      <c r="S49" s="80" t="str">
        <f t="shared" si="0"/>
        <v/>
      </c>
      <c r="T49" s="92"/>
      <c r="U49" s="92"/>
    </row>
    <row r="50" spans="1:21">
      <c r="A50" s="78"/>
      <c r="B50" s="79"/>
      <c r="C50" s="79"/>
      <c r="D50" s="85"/>
      <c r="E50" s="79"/>
      <c r="F50" s="85"/>
      <c r="G50" s="79"/>
      <c r="H50" s="79"/>
      <c r="I50" s="79"/>
      <c r="J50" s="79"/>
      <c r="K50" s="79"/>
      <c r="L50" s="79"/>
      <c r="M50" s="79"/>
      <c r="N50" s="79"/>
      <c r="O50" s="79"/>
      <c r="P50" s="79"/>
      <c r="Q50" s="79"/>
      <c r="R50" s="79"/>
      <c r="S50" s="80" t="str">
        <f t="shared" si="0"/>
        <v/>
      </c>
      <c r="T50" s="92"/>
      <c r="U50" s="92"/>
    </row>
    <row r="51" spans="1:21">
      <c r="A51" s="78"/>
      <c r="B51" s="79"/>
      <c r="C51" s="79"/>
      <c r="D51" s="85"/>
      <c r="E51" s="79"/>
      <c r="F51" s="85"/>
      <c r="G51" s="79"/>
      <c r="H51" s="79"/>
      <c r="I51" s="79"/>
      <c r="J51" s="79"/>
      <c r="K51" s="79"/>
      <c r="L51" s="79"/>
      <c r="M51" s="79"/>
      <c r="N51" s="79"/>
      <c r="O51" s="79"/>
      <c r="P51" s="79"/>
      <c r="Q51" s="79"/>
      <c r="R51" s="79"/>
      <c r="S51" s="80" t="str">
        <f t="shared" si="0"/>
        <v/>
      </c>
      <c r="T51" s="92"/>
      <c r="U51" s="92"/>
    </row>
    <row r="52" spans="1:21">
      <c r="A52" s="78"/>
      <c r="B52" s="79"/>
      <c r="C52" s="79"/>
      <c r="D52" s="85"/>
      <c r="E52" s="79"/>
      <c r="F52" s="85"/>
      <c r="G52" s="79"/>
      <c r="H52" s="79"/>
      <c r="I52" s="79"/>
      <c r="J52" s="79"/>
      <c r="K52" s="79"/>
      <c r="L52" s="79"/>
      <c r="M52" s="79"/>
      <c r="N52" s="79"/>
      <c r="O52" s="79"/>
      <c r="P52" s="79"/>
      <c r="Q52" s="79"/>
      <c r="R52" s="79"/>
      <c r="S52" s="80" t="str">
        <f t="shared" si="0"/>
        <v/>
      </c>
      <c r="T52" s="92"/>
      <c r="U52" s="92"/>
    </row>
    <row r="53" spans="1:21">
      <c r="A53" s="78"/>
      <c r="B53" s="79"/>
      <c r="C53" s="79"/>
      <c r="D53" s="85"/>
      <c r="E53" s="79"/>
      <c r="F53" s="85"/>
      <c r="G53" s="79"/>
      <c r="H53" s="79"/>
      <c r="I53" s="79"/>
      <c r="J53" s="79"/>
      <c r="K53" s="79"/>
      <c r="L53" s="79"/>
      <c r="M53" s="79"/>
      <c r="N53" s="79"/>
      <c r="O53" s="79"/>
      <c r="P53" s="79"/>
      <c r="Q53" s="79"/>
      <c r="R53" s="79"/>
      <c r="S53" s="80" t="str">
        <f t="shared" si="0"/>
        <v/>
      </c>
      <c r="T53" s="92"/>
      <c r="U53" s="92"/>
    </row>
    <row r="54" spans="1:21">
      <c r="A54" s="78"/>
      <c r="B54" s="79"/>
      <c r="C54" s="79"/>
      <c r="D54" s="85"/>
      <c r="E54" s="79"/>
      <c r="F54" s="85"/>
      <c r="G54" s="79"/>
      <c r="H54" s="79"/>
      <c r="I54" s="79"/>
      <c r="J54" s="79"/>
      <c r="K54" s="79"/>
      <c r="L54" s="79"/>
      <c r="M54" s="79"/>
      <c r="N54" s="79"/>
      <c r="O54" s="79"/>
      <c r="P54" s="79"/>
      <c r="Q54" s="79"/>
      <c r="R54" s="79"/>
      <c r="S54" s="80" t="str">
        <f t="shared" si="0"/>
        <v/>
      </c>
      <c r="T54" s="92"/>
      <c r="U54" s="92"/>
    </row>
    <row r="55" spans="1:21">
      <c r="A55" s="78"/>
      <c r="B55" s="79"/>
      <c r="C55" s="79"/>
      <c r="D55" s="85"/>
      <c r="E55" s="79"/>
      <c r="F55" s="85"/>
      <c r="G55" s="79"/>
      <c r="H55" s="79"/>
      <c r="I55" s="79"/>
      <c r="J55" s="79"/>
      <c r="K55" s="79"/>
      <c r="L55" s="79"/>
      <c r="M55" s="79"/>
      <c r="N55" s="79"/>
      <c r="O55" s="79"/>
      <c r="P55" s="79"/>
      <c r="Q55" s="79"/>
      <c r="R55" s="79"/>
      <c r="S55" s="80" t="str">
        <f t="shared" si="0"/>
        <v/>
      </c>
      <c r="T55" s="92"/>
      <c r="U55" s="92"/>
    </row>
    <row r="56" spans="1:21">
      <c r="A56" s="78"/>
      <c r="B56" s="79"/>
      <c r="C56" s="79"/>
      <c r="D56" s="85"/>
      <c r="E56" s="79"/>
      <c r="F56" s="85"/>
      <c r="G56" s="79"/>
      <c r="H56" s="79"/>
      <c r="I56" s="79"/>
      <c r="J56" s="79"/>
      <c r="K56" s="79"/>
      <c r="L56" s="79"/>
      <c r="M56" s="79"/>
      <c r="N56" s="79"/>
      <c r="O56" s="79"/>
      <c r="P56" s="79"/>
      <c r="Q56" s="79"/>
      <c r="R56" s="79"/>
      <c r="S56" s="80" t="str">
        <f t="shared" si="0"/>
        <v/>
      </c>
      <c r="T56" s="92"/>
      <c r="U56" s="92"/>
    </row>
    <row r="57" spans="1:21">
      <c r="A57" s="81"/>
      <c r="B57" s="82"/>
      <c r="C57" s="82"/>
      <c r="D57" s="86"/>
      <c r="E57" s="82"/>
      <c r="F57" s="86"/>
      <c r="G57" s="82"/>
      <c r="H57" s="82"/>
      <c r="I57" s="82"/>
      <c r="J57" s="82"/>
      <c r="K57" s="82"/>
      <c r="L57" s="82"/>
      <c r="M57" s="82"/>
      <c r="N57" s="82"/>
      <c r="O57" s="82"/>
      <c r="P57" s="82"/>
      <c r="Q57" s="82"/>
      <c r="R57" s="82"/>
      <c r="S57" s="83" t="str">
        <f t="shared" si="0"/>
        <v/>
      </c>
      <c r="T57" s="92"/>
      <c r="U57" s="92"/>
    </row>
    <row r="58" spans="1:21">
      <c r="A58" s="48"/>
      <c r="B58" s="48"/>
      <c r="C58" s="48"/>
      <c r="D58" s="48"/>
      <c r="E58" s="48"/>
      <c r="F58" s="48"/>
      <c r="G58" s="48"/>
      <c r="H58" s="48"/>
      <c r="I58" s="48"/>
      <c r="J58" s="48"/>
      <c r="K58" s="48"/>
      <c r="L58" s="48"/>
      <c r="M58" s="48"/>
      <c r="N58" s="48"/>
      <c r="O58" s="48"/>
      <c r="P58" s="48"/>
      <c r="Q58" s="48"/>
      <c r="R58" s="48"/>
      <c r="S58" s="48"/>
      <c r="T58" s="48"/>
      <c r="U58" s="48"/>
    </row>
    <row r="60" spans="1:21">
      <c r="A60" s="203" t="s">
        <v>1793</v>
      </c>
      <c r="B60" s="203"/>
      <c r="C60" s="203"/>
      <c r="D60" s="203"/>
      <c r="E60" s="203"/>
      <c r="F60" s="203"/>
      <c r="G60" s="203"/>
      <c r="H60" s="203"/>
      <c r="I60" s="203"/>
      <c r="J60" s="203"/>
      <c r="K60" s="203"/>
      <c r="L60" s="203"/>
      <c r="M60" s="203"/>
      <c r="N60" s="203"/>
      <c r="O60" s="203"/>
      <c r="P60" s="203"/>
      <c r="Q60" s="203"/>
      <c r="R60" s="203"/>
      <c r="S60" s="203"/>
      <c r="T60" s="48"/>
      <c r="U60" s="48"/>
    </row>
    <row r="61" spans="1:21">
      <c r="A61" s="87" t="s">
        <v>78</v>
      </c>
      <c r="B61" s="87" t="s">
        <v>79</v>
      </c>
      <c r="C61" s="48"/>
      <c r="D61" s="48"/>
      <c r="E61" s="48"/>
      <c r="F61" s="48"/>
      <c r="G61" s="48"/>
      <c r="H61" s="48"/>
      <c r="I61" s="48"/>
      <c r="J61" s="48"/>
      <c r="K61" s="48"/>
      <c r="L61" s="48"/>
      <c r="M61" s="48"/>
      <c r="N61" s="48"/>
      <c r="O61" s="48"/>
      <c r="P61" s="48"/>
      <c r="Q61" s="48"/>
      <c r="R61" s="48"/>
      <c r="S61" s="48"/>
      <c r="T61" s="48"/>
      <c r="U61" s="48"/>
    </row>
    <row r="62" spans="1:21">
      <c r="A62" s="88" t="s">
        <v>1794</v>
      </c>
      <c r="B62" s="65">
        <f>COUNTIF($A$8:$A$57,"?*")</f>
        <v>0</v>
      </c>
      <c r="C62" s="48"/>
      <c r="D62" s="48"/>
      <c r="E62" s="48"/>
      <c r="F62" s="48"/>
      <c r="G62" s="48"/>
      <c r="H62" s="48"/>
      <c r="I62" s="48"/>
      <c r="J62" s="48"/>
      <c r="K62" s="48"/>
      <c r="L62" s="48"/>
      <c r="M62" s="48"/>
      <c r="N62" s="48"/>
      <c r="O62" s="48"/>
      <c r="P62" s="48"/>
      <c r="Q62" s="48"/>
      <c r="R62" s="48"/>
      <c r="S62" s="48"/>
      <c r="T62" s="48"/>
      <c r="U62" s="48"/>
    </row>
    <row r="63" spans="1:21">
      <c r="A63" s="89" t="s">
        <v>1795</v>
      </c>
      <c r="B63" s="68">
        <f>COUNTIF($S$8:$S$57,"Awaiting NP decision")</f>
        <v>0</v>
      </c>
      <c r="C63" s="48"/>
      <c r="D63" s="48"/>
      <c r="E63" s="48"/>
      <c r="F63" s="48"/>
      <c r="G63" s="48"/>
      <c r="H63" s="48"/>
      <c r="I63" s="48"/>
      <c r="J63" s="48"/>
      <c r="K63" s="48"/>
      <c r="L63" s="48"/>
      <c r="M63" s="48"/>
      <c r="N63" s="48"/>
      <c r="O63" s="48"/>
      <c r="P63" s="48"/>
      <c r="Q63" s="48"/>
      <c r="R63" s="48"/>
      <c r="S63" s="48"/>
      <c r="T63" s="48"/>
      <c r="U63" s="48"/>
    </row>
    <row r="64" spans="1:21">
      <c r="A64" s="89" t="s">
        <v>1796</v>
      </c>
      <c r="B64" s="68">
        <f>COUNTIF($S$8:$S$57,"Approved - open")</f>
        <v>0</v>
      </c>
      <c r="C64" s="48"/>
      <c r="D64" s="48"/>
      <c r="E64" s="48"/>
      <c r="F64" s="48"/>
      <c r="G64" s="48"/>
      <c r="H64" s="48"/>
      <c r="I64" s="48"/>
      <c r="J64" s="48"/>
      <c r="K64" s="48"/>
      <c r="L64" s="48"/>
      <c r="M64" s="48"/>
      <c r="N64" s="48"/>
      <c r="O64" s="48"/>
      <c r="P64" s="48"/>
      <c r="Q64" s="48"/>
      <c r="R64" s="48"/>
      <c r="S64" s="48"/>
      <c r="T64" s="48"/>
      <c r="U64" s="48"/>
    </row>
    <row r="65" spans="1:21">
      <c r="A65" s="89" t="s">
        <v>1797</v>
      </c>
      <c r="B65" s="68">
        <f>COUNTIF($S$8:$S$57,"Approved - market comms pending")</f>
        <v>0</v>
      </c>
      <c r="C65" s="48"/>
      <c r="D65" s="48"/>
      <c r="E65" s="48"/>
      <c r="F65" s="48"/>
      <c r="G65" s="48"/>
      <c r="H65" s="48"/>
      <c r="I65" s="48"/>
      <c r="J65" s="48"/>
      <c r="K65" s="48"/>
      <c r="L65" s="48"/>
      <c r="M65" s="48"/>
      <c r="N65" s="48"/>
      <c r="O65" s="48"/>
      <c r="P65" s="48"/>
      <c r="Q65" s="48"/>
      <c r="R65" s="48"/>
      <c r="S65" s="48"/>
      <c r="T65" s="48"/>
      <c r="U65" s="48"/>
    </row>
    <row r="66" spans="1:21">
      <c r="A66" s="89" t="s">
        <v>1798</v>
      </c>
      <c r="B66" s="68">
        <f>COUNTIF($S$8:$S$57,"Approved - VN re-registration pending")</f>
        <v>0</v>
      </c>
      <c r="C66" s="48"/>
      <c r="D66" s="48"/>
      <c r="E66" s="48"/>
      <c r="F66" s="48"/>
      <c r="G66" s="48"/>
      <c r="H66" s="48"/>
      <c r="I66" s="48"/>
      <c r="J66" s="48"/>
      <c r="K66" s="48"/>
      <c r="L66" s="48"/>
      <c r="M66" s="48"/>
      <c r="N66" s="48"/>
      <c r="O66" s="48"/>
      <c r="P66" s="48"/>
      <c r="Q66" s="48"/>
      <c r="R66" s="48"/>
      <c r="S66" s="48"/>
      <c r="T66" s="48"/>
      <c r="U66" s="48"/>
    </row>
    <row r="67" spans="1:21">
      <c r="A67" s="89" t="s">
        <v>1799</v>
      </c>
      <c r="B67" s="68">
        <f>COUNTIF($S$8:$S$57,"Closed")</f>
        <v>0</v>
      </c>
      <c r="C67" s="48"/>
      <c r="D67" s="48"/>
      <c r="E67" s="48"/>
      <c r="F67" s="48"/>
      <c r="G67" s="48"/>
      <c r="H67" s="48"/>
      <c r="I67" s="48"/>
      <c r="J67" s="48"/>
      <c r="K67" s="48"/>
      <c r="L67" s="48"/>
      <c r="M67" s="48"/>
      <c r="N67" s="48"/>
      <c r="O67" s="48"/>
      <c r="P67" s="48"/>
      <c r="Q67" s="48"/>
      <c r="R67" s="48"/>
      <c r="S67" s="48"/>
      <c r="T67" s="48"/>
      <c r="U67" s="48"/>
    </row>
    <row r="68" spans="1:21">
      <c r="A68" s="90" t="s">
        <v>1800</v>
      </c>
      <c r="B68" s="71">
        <f>COUNTIF($S$8:$S$57,"Rejected - no change")</f>
        <v>0</v>
      </c>
      <c r="C68" s="48"/>
      <c r="D68" s="48"/>
      <c r="E68" s="48"/>
      <c r="F68" s="48"/>
      <c r="G68" s="48"/>
      <c r="H68" s="48"/>
      <c r="I68" s="48"/>
      <c r="J68" s="48"/>
      <c r="K68" s="48"/>
      <c r="L68" s="48"/>
      <c r="M68" s="48"/>
      <c r="N68" s="48"/>
      <c r="O68" s="48"/>
      <c r="P68" s="48"/>
      <c r="Q68" s="48"/>
      <c r="R68" s="48"/>
      <c r="S68" s="48"/>
      <c r="T68" s="48"/>
      <c r="U68" s="48"/>
    </row>
    <row r="69" spans="1:21">
      <c r="A69" s="93" t="s">
        <v>1801</v>
      </c>
      <c r="B69" s="93">
        <f>COUNTIF($S$8:$S$57,"Awaiting NP sign-off")</f>
        <v>0</v>
      </c>
      <c r="C69" s="48"/>
      <c r="D69" s="48"/>
      <c r="E69" s="48"/>
      <c r="F69" s="48"/>
      <c r="G69" s="48"/>
      <c r="H69" s="48"/>
      <c r="I69" s="48"/>
      <c r="J69" s="48"/>
      <c r="K69" s="48"/>
      <c r="L69" s="48"/>
      <c r="M69" s="48"/>
      <c r="N69" s="48"/>
      <c r="O69" s="48"/>
      <c r="P69" s="48"/>
      <c r="Q69" s="48"/>
      <c r="R69" s="48"/>
      <c r="S69" s="48"/>
      <c r="T69" s="48"/>
      <c r="U69" s="48"/>
    </row>
  </sheetData>
  <mergeCells count="6">
    <mergeCell ref="A1:U1"/>
    <mergeCell ref="A3:S3"/>
    <mergeCell ref="A4:S4"/>
    <mergeCell ref="A60:S60"/>
    <mergeCell ref="A6:U6"/>
    <mergeCell ref="A2:U2"/>
  </mergeCells>
  <conditionalFormatting sqref="S8:S57">
    <cfRule type="expression" dxfId="3" priority="1">
      <formula>$S8="Closed"</formula>
    </cfRule>
  </conditionalFormatting>
  <conditionalFormatting sqref="S8:S57">
    <cfRule type="expression" dxfId="2" priority="2">
      <formula>OR($S8="Awaiting NP decision",$S8="Approved - market comms pending",$S8="Approved - VN re-registration pending",$S8="Approved - open",$S8="On hold")</formula>
    </cfRule>
  </conditionalFormatting>
  <conditionalFormatting sqref="S8:S57">
    <cfRule type="expression" dxfId="1" priority="3">
      <formula>$S8="Rejected - no change"</formula>
    </cfRule>
  </conditionalFormatting>
  <conditionalFormatting sqref="S8:S57">
    <cfRule type="cellIs" dxfId="0" priority="4" operator="equal">
      <formula>"Awaiting NP sign-off"</formula>
    </cfRule>
  </conditionalFormatting>
  <dataValidations count="6">
    <dataValidation type="list" allowBlank="1" showInputMessage="1" showErrorMessage="1" sqref="E8:E57" xr:uid="{7553F71B-D1D4-484D-BD29-53B9D6DD71D8}">
      <formula1>"Approved,Rejected,Pending NP decision,On hold"</formula1>
    </dataValidation>
    <dataValidation type="list" allowBlank="1" showInputMessage="1" showErrorMessage="1" sqref="L8:L57" xr:uid="{DEC6509A-0708-4CA7-A9FD-4790328E0FD8}">
      <formula1>"New registration + new label required,New label only,No change,To be assessed by Chi"</formula1>
    </dataValidation>
    <dataValidation type="list" allowBlank="1" showInputMessage="1" showErrorMessage="1" sqref="O8:O57" xr:uid="{9CF51433-096D-45B8-966A-05F9BF7239C3}">
      <formula1>"Yes,No,To assess"</formula1>
    </dataValidation>
    <dataValidation type="list" allowBlank="1" showInputMessage="1" showErrorMessage="1" sqref="P8:P57" xr:uid="{FE83DE7B-AC88-4AF3-89E5-29F52710A133}">
      <formula1>"Yes,No,NA,To assess"</formula1>
    </dataValidation>
    <dataValidation type="list" allowBlank="1" showInputMessage="1" showErrorMessage="1" sqref="Q8:Q57" xr:uid="{BC7FFFBB-E689-4755-93DA-DE4A5F303C88}">
      <formula1>"Yes,No,NA,In progress"</formula1>
    </dataValidation>
    <dataValidation type="list" allowBlank="1" showInputMessage="1" showErrorMessage="1" sqref="R8:R57" xr:uid="{46DECE5F-6E81-4242-9349-77067E54A2D4}">
      <formula1>"Yes,No"</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C00000"/>
  </sheetPr>
  <dimension ref="A1:O17"/>
  <sheetViews>
    <sheetView showGridLines="0" workbookViewId="0">
      <selection activeCell="L6" sqref="L6"/>
    </sheetView>
  </sheetViews>
  <sheetFormatPr defaultRowHeight="15"/>
  <cols>
    <col min="1" max="1" width="30" customWidth="1"/>
    <col min="2" max="3" width="36" customWidth="1"/>
    <col min="4" max="4" width="40" customWidth="1"/>
    <col min="5" max="7" width="24" customWidth="1"/>
    <col min="8" max="9" width="28" customWidth="1"/>
    <col min="10" max="11" width="34" customWidth="1"/>
    <col min="12" max="12" width="20" customWidth="1"/>
    <col min="13" max="15" width="18" customWidth="1"/>
  </cols>
  <sheetData>
    <row r="1" spans="1:15" s="48" customFormat="1">
      <c r="A1" s="166" t="s">
        <v>1753</v>
      </c>
      <c r="B1" s="166"/>
      <c r="C1" s="166"/>
      <c r="D1" s="166"/>
      <c r="E1" s="166"/>
      <c r="F1" s="166"/>
      <c r="G1" s="166"/>
      <c r="H1" s="166"/>
      <c r="I1" s="166"/>
      <c r="J1" s="166"/>
      <c r="K1" s="166"/>
      <c r="L1" s="166"/>
      <c r="M1" s="166"/>
      <c r="N1" s="166"/>
      <c r="O1" s="166"/>
    </row>
    <row r="2" spans="1:15" ht="24" customHeight="1">
      <c r="A2" s="56" t="s">
        <v>0</v>
      </c>
      <c r="B2" s="56"/>
      <c r="C2" s="56"/>
      <c r="D2" s="56"/>
      <c r="E2" s="56"/>
      <c r="F2" s="56"/>
      <c r="G2" s="56"/>
      <c r="H2" s="56"/>
      <c r="I2" s="56"/>
      <c r="J2" s="56"/>
      <c r="K2" s="56"/>
      <c r="L2" s="56"/>
      <c r="M2" s="56"/>
      <c r="N2" s="56"/>
      <c r="O2" s="56"/>
    </row>
    <row r="3" spans="1:15" ht="30" customHeight="1">
      <c r="A3" s="168" t="s">
        <v>1802</v>
      </c>
      <c r="B3" s="193"/>
      <c r="C3" s="193"/>
      <c r="D3" s="193"/>
      <c r="E3" s="193"/>
      <c r="F3" s="193"/>
      <c r="G3" s="193"/>
      <c r="H3" s="193"/>
      <c r="I3" s="193"/>
      <c r="J3" s="193"/>
      <c r="K3" s="193"/>
      <c r="L3" s="193"/>
      <c r="M3" s="193"/>
      <c r="N3" s="193"/>
      <c r="O3" s="45"/>
    </row>
    <row r="4" spans="1:15" ht="30" customHeight="1">
      <c r="A4" s="44" t="s">
        <v>1803</v>
      </c>
      <c r="B4" s="44"/>
      <c r="C4" s="44"/>
      <c r="D4" s="44"/>
      <c r="E4" s="44"/>
      <c r="F4" s="44"/>
      <c r="G4" s="44"/>
      <c r="H4" s="44"/>
      <c r="I4" s="44"/>
      <c r="J4" s="44"/>
      <c r="K4" s="44"/>
      <c r="L4" s="44"/>
      <c r="M4" s="44"/>
      <c r="N4" s="44"/>
      <c r="O4" s="44"/>
    </row>
    <row r="5" spans="1:15">
      <c r="A5" s="46"/>
      <c r="B5" s="46"/>
      <c r="C5" s="46"/>
      <c r="D5" s="46"/>
      <c r="E5" s="46"/>
      <c r="F5" s="46"/>
      <c r="G5" s="46"/>
      <c r="H5" s="46"/>
      <c r="I5" s="46"/>
      <c r="J5" s="46"/>
      <c r="K5" s="46"/>
      <c r="L5" s="46"/>
      <c r="M5" s="46"/>
      <c r="N5" s="46"/>
      <c r="O5" s="46"/>
    </row>
    <row r="6" spans="1:15" ht="21.95" customHeight="1">
      <c r="A6" s="57" t="s">
        <v>1804</v>
      </c>
      <c r="B6" s="57"/>
      <c r="C6" s="57"/>
      <c r="D6" s="57"/>
      <c r="E6" s="57"/>
      <c r="F6" s="57"/>
      <c r="G6" s="57"/>
      <c r="H6" s="57"/>
      <c r="I6" s="57"/>
      <c r="J6" s="57"/>
      <c r="K6" s="57"/>
      <c r="L6" s="57"/>
      <c r="M6" s="57"/>
      <c r="N6" s="57"/>
      <c r="O6" s="57"/>
    </row>
    <row r="7" spans="1:15" ht="33.950000000000003" customHeight="1">
      <c r="A7" s="36" t="s">
        <v>1805</v>
      </c>
      <c r="B7" s="36" t="s">
        <v>1806</v>
      </c>
      <c r="C7" s="36" t="s">
        <v>1807</v>
      </c>
      <c r="D7" s="36" t="s">
        <v>1808</v>
      </c>
      <c r="E7" s="36" t="s">
        <v>1809</v>
      </c>
      <c r="F7" s="36" t="s">
        <v>1810</v>
      </c>
      <c r="G7" s="36" t="s">
        <v>1811</v>
      </c>
      <c r="H7" s="36" t="s">
        <v>1812</v>
      </c>
      <c r="I7" s="36" t="s">
        <v>1813</v>
      </c>
      <c r="J7" s="36" t="s">
        <v>1814</v>
      </c>
      <c r="K7" s="36" t="s">
        <v>1815</v>
      </c>
      <c r="L7" s="36" t="s">
        <v>1816</v>
      </c>
      <c r="M7" s="36" t="s">
        <v>1817</v>
      </c>
      <c r="N7" s="36" t="s">
        <v>1818</v>
      </c>
      <c r="O7" s="36" t="s">
        <v>145</v>
      </c>
    </row>
    <row r="8" spans="1:15">
      <c r="A8" s="37" t="s">
        <v>1819</v>
      </c>
      <c r="B8" s="37" t="s">
        <v>1820</v>
      </c>
      <c r="C8" s="37" t="s">
        <v>1821</v>
      </c>
      <c r="D8" s="37" t="s">
        <v>1822</v>
      </c>
      <c r="E8" s="37" t="s">
        <v>1823</v>
      </c>
      <c r="F8" s="37" t="s">
        <v>186</v>
      </c>
      <c r="G8" s="37" t="s">
        <v>1824</v>
      </c>
      <c r="H8" s="37" t="s">
        <v>1825</v>
      </c>
      <c r="I8" s="37" t="s">
        <v>1826</v>
      </c>
      <c r="J8" s="37" t="s">
        <v>1827</v>
      </c>
      <c r="K8" s="37" t="s">
        <v>1828</v>
      </c>
      <c r="L8" s="37"/>
      <c r="M8" s="37"/>
      <c r="N8" s="37"/>
      <c r="O8" s="37" t="s">
        <v>152</v>
      </c>
    </row>
    <row r="9" spans="1:15">
      <c r="A9" s="37" t="s">
        <v>1829</v>
      </c>
      <c r="B9" s="37" t="s">
        <v>1830</v>
      </c>
      <c r="C9" s="37" t="s">
        <v>1831</v>
      </c>
      <c r="D9" s="37" t="s">
        <v>1832</v>
      </c>
      <c r="E9" s="37" t="s">
        <v>186</v>
      </c>
      <c r="F9" s="37" t="s">
        <v>595</v>
      </c>
      <c r="G9" s="37" t="s">
        <v>1833</v>
      </c>
      <c r="H9" s="37" t="s">
        <v>1834</v>
      </c>
      <c r="I9" s="37" t="s">
        <v>1826</v>
      </c>
      <c r="J9" s="37" t="s">
        <v>1835</v>
      </c>
      <c r="K9" s="37" t="s">
        <v>1836</v>
      </c>
      <c r="L9" s="37"/>
      <c r="M9" s="37"/>
      <c r="N9" s="37"/>
      <c r="O9" s="37" t="s">
        <v>152</v>
      </c>
    </row>
    <row r="10" spans="1:15">
      <c r="A10" s="37" t="s">
        <v>1837</v>
      </c>
      <c r="B10" s="37" t="s">
        <v>1838</v>
      </c>
      <c r="C10" s="37" t="s">
        <v>1839</v>
      </c>
      <c r="D10" s="37" t="s">
        <v>1840</v>
      </c>
      <c r="E10" s="37" t="s">
        <v>1841</v>
      </c>
      <c r="F10" s="37" t="s">
        <v>1841</v>
      </c>
      <c r="G10" s="37" t="s">
        <v>211</v>
      </c>
      <c r="H10" s="37" t="s">
        <v>1842</v>
      </c>
      <c r="I10" s="37" t="s">
        <v>1843</v>
      </c>
      <c r="J10" s="37" t="s">
        <v>1844</v>
      </c>
      <c r="K10" s="37" t="s">
        <v>1845</v>
      </c>
      <c r="L10" s="37"/>
      <c r="M10" s="37"/>
      <c r="N10" s="37"/>
      <c r="O10" s="37" t="s">
        <v>152</v>
      </c>
    </row>
    <row r="11" spans="1:15">
      <c r="A11" s="37" t="s">
        <v>1846</v>
      </c>
      <c r="B11" s="37" t="s">
        <v>1847</v>
      </c>
      <c r="C11" s="37" t="s">
        <v>1848</v>
      </c>
      <c r="D11" s="37" t="s">
        <v>1849</v>
      </c>
      <c r="E11" s="37" t="s">
        <v>1850</v>
      </c>
      <c r="F11" s="37" t="s">
        <v>186</v>
      </c>
      <c r="G11" s="37" t="s">
        <v>1851</v>
      </c>
      <c r="H11" s="37" t="s">
        <v>1852</v>
      </c>
      <c r="I11" s="37" t="s">
        <v>1853</v>
      </c>
      <c r="J11" s="37" t="s">
        <v>1854</v>
      </c>
      <c r="K11" s="37" t="s">
        <v>1855</v>
      </c>
      <c r="L11" s="37"/>
      <c r="M11" s="37"/>
      <c r="N11" s="37"/>
      <c r="O11" s="37" t="s">
        <v>152</v>
      </c>
    </row>
    <row r="12" spans="1:15">
      <c r="A12" s="37" t="s">
        <v>1856</v>
      </c>
      <c r="B12" s="37" t="s">
        <v>1857</v>
      </c>
      <c r="C12" s="37" t="s">
        <v>1858</v>
      </c>
      <c r="D12" s="37" t="s">
        <v>1859</v>
      </c>
      <c r="E12" s="37" t="s">
        <v>1860</v>
      </c>
      <c r="F12" s="37" t="s">
        <v>186</v>
      </c>
      <c r="G12" s="37" t="s">
        <v>1824</v>
      </c>
      <c r="H12" s="37" t="s">
        <v>1825</v>
      </c>
      <c r="I12" s="37" t="s">
        <v>1861</v>
      </c>
      <c r="J12" s="37" t="s">
        <v>1862</v>
      </c>
      <c r="K12" s="37" t="s">
        <v>1863</v>
      </c>
      <c r="L12" s="37"/>
      <c r="M12" s="37"/>
      <c r="N12" s="37"/>
      <c r="O12" s="37" t="s">
        <v>152</v>
      </c>
    </row>
    <row r="13" spans="1:15">
      <c r="A13" s="46"/>
      <c r="B13" s="46"/>
      <c r="C13" s="46"/>
      <c r="D13" s="46"/>
      <c r="E13" s="46"/>
      <c r="F13" s="46"/>
      <c r="G13" s="46"/>
      <c r="H13" s="46"/>
      <c r="I13" s="46"/>
      <c r="J13" s="46"/>
      <c r="K13" s="46"/>
      <c r="L13" s="46"/>
      <c r="M13" s="46"/>
      <c r="N13" s="46"/>
      <c r="O13" s="46"/>
    </row>
    <row r="14" spans="1:15">
      <c r="A14" s="48"/>
      <c r="B14" s="48"/>
      <c r="C14" s="48"/>
      <c r="D14" s="48"/>
      <c r="E14" s="48"/>
      <c r="F14" s="48"/>
      <c r="G14" s="48"/>
      <c r="H14" s="48"/>
      <c r="I14" s="48"/>
      <c r="J14" s="48"/>
      <c r="K14" s="48"/>
      <c r="L14" s="48"/>
      <c r="M14" s="48"/>
      <c r="N14" s="48"/>
      <c r="O14" s="48"/>
    </row>
    <row r="15" spans="1:15">
      <c r="A15" s="48"/>
      <c r="B15" s="48"/>
      <c r="C15" s="48"/>
      <c r="D15" s="48"/>
      <c r="E15" s="48"/>
      <c r="F15" s="48"/>
      <c r="G15" s="48"/>
      <c r="H15" s="48"/>
      <c r="I15" s="48"/>
      <c r="J15" s="48"/>
      <c r="K15" s="48"/>
      <c r="L15" s="48"/>
      <c r="M15" s="48"/>
      <c r="N15" s="48"/>
      <c r="O15" s="48"/>
    </row>
    <row r="16" spans="1:15">
      <c r="A16" s="48"/>
      <c r="B16" s="48"/>
      <c r="C16" s="48"/>
      <c r="D16" s="48"/>
      <c r="E16" s="48"/>
      <c r="F16" s="48"/>
      <c r="G16" s="48"/>
      <c r="H16" s="48"/>
      <c r="I16" s="48"/>
      <c r="J16" s="48"/>
      <c r="K16" s="48"/>
      <c r="L16" s="48"/>
      <c r="M16" s="48"/>
      <c r="N16" s="48"/>
      <c r="O16" s="48"/>
    </row>
    <row r="17" spans="1:15">
      <c r="A17" s="48"/>
      <c r="B17" s="48"/>
      <c r="C17" s="48"/>
      <c r="D17" s="48"/>
      <c r="E17" s="48"/>
      <c r="F17" s="48"/>
      <c r="G17" s="48"/>
      <c r="H17" s="48"/>
      <c r="I17" s="48"/>
      <c r="J17" s="48"/>
      <c r="K17" s="48"/>
      <c r="L17" s="48"/>
      <c r="M17" s="48"/>
      <c r="N17" s="48"/>
      <c r="O17" s="48"/>
    </row>
  </sheetData>
  <mergeCells count="2">
    <mergeCell ref="A3:N3"/>
    <mergeCell ref="A1:O1"/>
  </mergeCells>
  <dataValidations count="1">
    <dataValidation type="list" allowBlank="1" sqref="K8:K12 O8:O12" xr:uid="{00000000-0002-0000-2C00-000000000000}">
      <formula1>"Not Started,In Progress,Needs Review,Complete,Not Applicable,Blocked"</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10865-FB72-4247-B5DB-95808A5CCA94}">
  <sheetPr>
    <tabColor rgb="FFC00000"/>
  </sheetPr>
  <dimension ref="A1:M69"/>
  <sheetViews>
    <sheetView workbookViewId="0">
      <pane ySplit="14" topLeftCell="K15" activePane="bottomLeft" state="frozen"/>
      <selection pane="bottomLeft"/>
    </sheetView>
  </sheetViews>
  <sheetFormatPr defaultRowHeight="15"/>
  <cols>
    <col min="1" max="1" width="13.28515625" customWidth="1"/>
    <col min="2" max="2" width="15.28515625" customWidth="1"/>
    <col min="3" max="3" width="17.140625" customWidth="1"/>
    <col min="4" max="5" width="30.42578125" customWidth="1"/>
    <col min="6" max="6" width="24.7109375" customWidth="1"/>
    <col min="7" max="7" width="26.7109375" customWidth="1"/>
    <col min="8" max="8" width="21" customWidth="1"/>
    <col min="9" max="9" width="22.85546875" customWidth="1"/>
    <col min="10" max="11" width="17.140625" customWidth="1"/>
    <col min="12" max="12" width="19" customWidth="1"/>
  </cols>
  <sheetData>
    <row r="1" spans="1:13" s="48" customFormat="1">
      <c r="A1" s="166" t="s">
        <v>1864</v>
      </c>
      <c r="B1" s="166"/>
      <c r="C1" s="166"/>
      <c r="D1" s="166"/>
      <c r="E1" s="166"/>
      <c r="F1" s="166"/>
      <c r="G1" s="166"/>
      <c r="H1" s="166"/>
      <c r="I1" s="166"/>
      <c r="J1" s="166"/>
      <c r="K1" s="166"/>
      <c r="L1" s="166"/>
      <c r="M1" s="166"/>
    </row>
    <row r="2" spans="1:13">
      <c r="A2" s="173" t="s">
        <v>0</v>
      </c>
      <c r="B2" s="173"/>
      <c r="C2" s="173"/>
      <c r="D2" s="173"/>
      <c r="E2" s="173"/>
      <c r="F2" s="173"/>
      <c r="G2" s="173"/>
      <c r="H2" s="173"/>
      <c r="I2" s="173"/>
      <c r="J2" s="173"/>
      <c r="K2" s="173"/>
      <c r="L2" s="173"/>
      <c r="M2" s="48"/>
    </row>
    <row r="3" spans="1:13">
      <c r="A3" s="202" t="s">
        <v>1865</v>
      </c>
      <c r="B3" s="202"/>
      <c r="C3" s="202"/>
      <c r="D3" s="202"/>
      <c r="E3" s="202"/>
      <c r="F3" s="202"/>
      <c r="G3" s="202"/>
      <c r="H3" s="202"/>
      <c r="I3" s="202"/>
      <c r="J3" s="202"/>
      <c r="K3" s="202"/>
      <c r="L3" s="202"/>
      <c r="M3" s="48"/>
    </row>
    <row r="4" spans="1:13">
      <c r="A4" s="174" t="s">
        <v>1866</v>
      </c>
      <c r="B4" s="174"/>
      <c r="C4" s="174"/>
      <c r="D4" s="174"/>
      <c r="E4" s="174"/>
      <c r="F4" s="174"/>
      <c r="G4" s="174"/>
      <c r="H4" s="174"/>
      <c r="I4" s="174"/>
      <c r="J4" s="174"/>
      <c r="K4" s="174"/>
      <c r="L4" s="174"/>
      <c r="M4" s="48"/>
    </row>
    <row r="6" spans="1:13">
      <c r="A6" s="175" t="s">
        <v>1867</v>
      </c>
      <c r="B6" s="175"/>
      <c r="C6" s="175"/>
      <c r="D6" s="175"/>
      <c r="E6" s="175"/>
      <c r="F6" s="175"/>
      <c r="G6" s="175"/>
      <c r="H6" s="175"/>
      <c r="I6" s="175"/>
      <c r="J6" s="175"/>
      <c r="K6" s="175"/>
      <c r="L6" s="175"/>
      <c r="M6" s="48"/>
    </row>
    <row r="7" spans="1:13">
      <c r="A7" s="172" t="s">
        <v>330</v>
      </c>
      <c r="B7" s="172"/>
      <c r="C7" s="193"/>
      <c r="D7" s="193"/>
      <c r="E7" s="193"/>
      <c r="F7" s="193"/>
      <c r="G7" s="172" t="s">
        <v>1868</v>
      </c>
      <c r="H7" s="172"/>
      <c r="I7" s="193"/>
      <c r="J7" s="193"/>
      <c r="K7" s="193"/>
      <c r="L7" s="193"/>
      <c r="M7" s="48"/>
    </row>
    <row r="8" spans="1:13">
      <c r="A8" s="172" t="s">
        <v>325</v>
      </c>
      <c r="B8" s="172"/>
      <c r="C8" s="193"/>
      <c r="D8" s="193"/>
      <c r="E8" s="193"/>
      <c r="F8" s="193"/>
      <c r="G8" s="172" t="s">
        <v>1869</v>
      </c>
      <c r="H8" s="172"/>
      <c r="I8" s="193"/>
      <c r="J8" s="193"/>
      <c r="K8" s="193"/>
      <c r="L8" s="193"/>
      <c r="M8" s="48"/>
    </row>
    <row r="9" spans="1:13">
      <c r="A9" s="172" t="s">
        <v>1870</v>
      </c>
      <c r="B9" s="172"/>
      <c r="C9" s="193"/>
      <c r="D9" s="193"/>
      <c r="E9" s="193"/>
      <c r="F9" s="193"/>
      <c r="G9" s="172" t="s">
        <v>1871</v>
      </c>
      <c r="H9" s="172"/>
      <c r="I9" s="193"/>
      <c r="J9" s="193"/>
      <c r="K9" s="193"/>
      <c r="L9" s="193"/>
      <c r="M9" s="48"/>
    </row>
    <row r="10" spans="1:13">
      <c r="A10" s="172" t="s">
        <v>730</v>
      </c>
      <c r="B10" s="172"/>
      <c r="C10" s="193"/>
      <c r="D10" s="193"/>
      <c r="E10" s="193"/>
      <c r="F10" s="193"/>
      <c r="G10" s="172" t="s">
        <v>1872</v>
      </c>
      <c r="H10" s="172"/>
      <c r="I10" s="193"/>
      <c r="J10" s="193"/>
      <c r="K10" s="193"/>
      <c r="L10" s="193"/>
      <c r="M10" s="48"/>
    </row>
    <row r="11" spans="1:13">
      <c r="A11" s="172" t="s">
        <v>1873</v>
      </c>
      <c r="B11" s="172"/>
      <c r="C11" s="204" t="s">
        <v>1874</v>
      </c>
      <c r="D11" s="193"/>
      <c r="E11" s="193"/>
      <c r="F11" s="193"/>
      <c r="G11" s="172" t="s">
        <v>1790</v>
      </c>
      <c r="H11" s="172"/>
      <c r="I11" s="193"/>
      <c r="J11" s="193"/>
      <c r="K11" s="193"/>
      <c r="L11" s="193"/>
      <c r="M11" s="48"/>
    </row>
    <row r="13" spans="1:13">
      <c r="A13" s="175" t="s">
        <v>1875</v>
      </c>
      <c r="B13" s="175"/>
      <c r="C13" s="175"/>
      <c r="D13" s="175"/>
      <c r="E13" s="175"/>
      <c r="F13" s="175"/>
      <c r="G13" s="175"/>
      <c r="H13" s="175"/>
      <c r="I13" s="175"/>
      <c r="J13" s="175"/>
      <c r="K13" s="175"/>
      <c r="L13" s="175"/>
      <c r="M13" s="48"/>
    </row>
    <row r="14" spans="1:13" ht="62.25">
      <c r="A14" s="95" t="s">
        <v>1876</v>
      </c>
      <c r="B14" s="95" t="s">
        <v>494</v>
      </c>
      <c r="C14" s="95" t="s">
        <v>1019</v>
      </c>
      <c r="D14" s="95" t="s">
        <v>1877</v>
      </c>
      <c r="E14" s="95" t="s">
        <v>1878</v>
      </c>
      <c r="F14" s="95" t="s">
        <v>1879</v>
      </c>
      <c r="G14" s="95" t="s">
        <v>1880</v>
      </c>
      <c r="H14" s="95" t="s">
        <v>526</v>
      </c>
      <c r="I14" s="95" t="s">
        <v>531</v>
      </c>
      <c r="J14" s="95" t="s">
        <v>144</v>
      </c>
      <c r="K14" s="95" t="s">
        <v>1881</v>
      </c>
      <c r="L14" s="95" t="s">
        <v>145</v>
      </c>
      <c r="M14" s="48"/>
    </row>
    <row r="15" spans="1:13">
      <c r="A15" s="78"/>
      <c r="B15" s="85"/>
      <c r="C15" s="79"/>
      <c r="D15" s="79"/>
      <c r="E15" s="79"/>
      <c r="F15" s="79"/>
      <c r="G15" s="79"/>
      <c r="H15" s="79"/>
      <c r="I15" s="79"/>
      <c r="J15" s="79"/>
      <c r="K15" s="79"/>
      <c r="L15" s="80"/>
      <c r="M15" s="48"/>
    </row>
    <row r="16" spans="1:13">
      <c r="A16" s="78"/>
      <c r="B16" s="85"/>
      <c r="C16" s="79"/>
      <c r="D16" s="79"/>
      <c r="E16" s="79"/>
      <c r="F16" s="79"/>
      <c r="G16" s="79"/>
      <c r="H16" s="79"/>
      <c r="I16" s="79"/>
      <c r="J16" s="79"/>
      <c r="K16" s="79"/>
      <c r="L16" s="80"/>
      <c r="M16" s="48"/>
    </row>
    <row r="17" spans="1:13">
      <c r="A17" s="78"/>
      <c r="B17" s="85"/>
      <c r="C17" s="79"/>
      <c r="D17" s="79"/>
      <c r="E17" s="79"/>
      <c r="F17" s="79"/>
      <c r="G17" s="79"/>
      <c r="H17" s="79"/>
      <c r="I17" s="79"/>
      <c r="J17" s="79"/>
      <c r="K17" s="79"/>
      <c r="L17" s="80"/>
      <c r="M17" s="48"/>
    </row>
    <row r="18" spans="1:13">
      <c r="A18" s="78"/>
      <c r="B18" s="85"/>
      <c r="C18" s="79"/>
      <c r="D18" s="79"/>
      <c r="E18" s="79"/>
      <c r="F18" s="79"/>
      <c r="G18" s="79"/>
      <c r="H18" s="79"/>
      <c r="I18" s="79"/>
      <c r="J18" s="79"/>
      <c r="K18" s="79"/>
      <c r="L18" s="80"/>
      <c r="M18" s="48"/>
    </row>
    <row r="19" spans="1:13">
      <c r="A19" s="78"/>
      <c r="B19" s="85"/>
      <c r="C19" s="79"/>
      <c r="D19" s="79"/>
      <c r="E19" s="79"/>
      <c r="F19" s="79"/>
      <c r="G19" s="79"/>
      <c r="H19" s="79"/>
      <c r="I19" s="79"/>
      <c r="J19" s="79"/>
      <c r="K19" s="79"/>
      <c r="L19" s="80"/>
      <c r="M19" s="48"/>
    </row>
    <row r="20" spans="1:13">
      <c r="A20" s="78"/>
      <c r="B20" s="85"/>
      <c r="C20" s="79"/>
      <c r="D20" s="79"/>
      <c r="E20" s="79"/>
      <c r="F20" s="79"/>
      <c r="G20" s="79"/>
      <c r="H20" s="79"/>
      <c r="I20" s="79"/>
      <c r="J20" s="79"/>
      <c r="K20" s="79"/>
      <c r="L20" s="80"/>
      <c r="M20" s="48"/>
    </row>
    <row r="21" spans="1:13">
      <c r="A21" s="78"/>
      <c r="B21" s="85"/>
      <c r="C21" s="79"/>
      <c r="D21" s="79"/>
      <c r="E21" s="79"/>
      <c r="F21" s="79"/>
      <c r="G21" s="79"/>
      <c r="H21" s="79"/>
      <c r="I21" s="79"/>
      <c r="J21" s="79"/>
      <c r="K21" s="79"/>
      <c r="L21" s="80"/>
      <c r="M21" s="48"/>
    </row>
    <row r="22" spans="1:13">
      <c r="A22" s="78"/>
      <c r="B22" s="85"/>
      <c r="C22" s="79"/>
      <c r="D22" s="79"/>
      <c r="E22" s="79"/>
      <c r="F22" s="79"/>
      <c r="G22" s="79"/>
      <c r="H22" s="79"/>
      <c r="I22" s="79"/>
      <c r="J22" s="79"/>
      <c r="K22" s="79"/>
      <c r="L22" s="80"/>
      <c r="M22" s="48"/>
    </row>
    <row r="23" spans="1:13">
      <c r="A23" s="78"/>
      <c r="B23" s="85"/>
      <c r="C23" s="79"/>
      <c r="D23" s="79"/>
      <c r="E23" s="79"/>
      <c r="F23" s="79"/>
      <c r="G23" s="79"/>
      <c r="H23" s="79"/>
      <c r="I23" s="79"/>
      <c r="J23" s="79"/>
      <c r="K23" s="79"/>
      <c r="L23" s="80"/>
      <c r="M23" s="48"/>
    </row>
    <row r="24" spans="1:13">
      <c r="A24" s="78"/>
      <c r="B24" s="85"/>
      <c r="C24" s="79"/>
      <c r="D24" s="79"/>
      <c r="E24" s="79"/>
      <c r="F24" s="79"/>
      <c r="G24" s="79"/>
      <c r="H24" s="79"/>
      <c r="I24" s="79"/>
      <c r="J24" s="79"/>
      <c r="K24" s="79"/>
      <c r="L24" s="80"/>
      <c r="M24" s="48"/>
    </row>
    <row r="25" spans="1:13">
      <c r="A25" s="78"/>
      <c r="B25" s="85"/>
      <c r="C25" s="79"/>
      <c r="D25" s="79"/>
      <c r="E25" s="79"/>
      <c r="F25" s="79"/>
      <c r="G25" s="79"/>
      <c r="H25" s="79"/>
      <c r="I25" s="79"/>
      <c r="J25" s="79"/>
      <c r="K25" s="79"/>
      <c r="L25" s="80"/>
      <c r="M25" s="48"/>
    </row>
    <row r="26" spans="1:13">
      <c r="A26" s="78"/>
      <c r="B26" s="85"/>
      <c r="C26" s="79"/>
      <c r="D26" s="79"/>
      <c r="E26" s="79"/>
      <c r="F26" s="79"/>
      <c r="G26" s="79"/>
      <c r="H26" s="79"/>
      <c r="I26" s="79"/>
      <c r="J26" s="79"/>
      <c r="K26" s="79"/>
      <c r="L26" s="80"/>
      <c r="M26" s="48"/>
    </row>
    <row r="27" spans="1:13">
      <c r="A27" s="78"/>
      <c r="B27" s="85"/>
      <c r="C27" s="79"/>
      <c r="D27" s="79"/>
      <c r="E27" s="79"/>
      <c r="F27" s="79"/>
      <c r="G27" s="79"/>
      <c r="H27" s="79"/>
      <c r="I27" s="79"/>
      <c r="J27" s="79"/>
      <c r="K27" s="79"/>
      <c r="L27" s="80"/>
      <c r="M27" s="48"/>
    </row>
    <row r="28" spans="1:13">
      <c r="A28" s="78"/>
      <c r="B28" s="85"/>
      <c r="C28" s="79"/>
      <c r="D28" s="79"/>
      <c r="E28" s="79"/>
      <c r="F28" s="79"/>
      <c r="G28" s="79"/>
      <c r="H28" s="79"/>
      <c r="I28" s="79"/>
      <c r="J28" s="79"/>
      <c r="K28" s="79"/>
      <c r="L28" s="80"/>
      <c r="M28" s="48"/>
    </row>
    <row r="29" spans="1:13">
      <c r="A29" s="78"/>
      <c r="B29" s="85"/>
      <c r="C29" s="79"/>
      <c r="D29" s="79"/>
      <c r="E29" s="79"/>
      <c r="F29" s="79"/>
      <c r="G29" s="79"/>
      <c r="H29" s="79"/>
      <c r="I29" s="79"/>
      <c r="J29" s="79"/>
      <c r="K29" s="79"/>
      <c r="L29" s="80"/>
      <c r="M29" s="48"/>
    </row>
    <row r="30" spans="1:13">
      <c r="A30" s="78"/>
      <c r="B30" s="85"/>
      <c r="C30" s="79"/>
      <c r="D30" s="79"/>
      <c r="E30" s="79"/>
      <c r="F30" s="79"/>
      <c r="G30" s="79"/>
      <c r="H30" s="79"/>
      <c r="I30" s="79"/>
      <c r="J30" s="79"/>
      <c r="K30" s="79"/>
      <c r="L30" s="80"/>
      <c r="M30" s="48"/>
    </row>
    <row r="31" spans="1:13">
      <c r="A31" s="78"/>
      <c r="B31" s="85"/>
      <c r="C31" s="79"/>
      <c r="D31" s="79"/>
      <c r="E31" s="79"/>
      <c r="F31" s="79"/>
      <c r="G31" s="79"/>
      <c r="H31" s="79"/>
      <c r="I31" s="79"/>
      <c r="J31" s="79"/>
      <c r="K31" s="79"/>
      <c r="L31" s="80"/>
      <c r="M31" s="48"/>
    </row>
    <row r="32" spans="1:13">
      <c r="A32" s="78"/>
      <c r="B32" s="85"/>
      <c r="C32" s="79"/>
      <c r="D32" s="79"/>
      <c r="E32" s="79"/>
      <c r="F32" s="79"/>
      <c r="G32" s="79"/>
      <c r="H32" s="79"/>
      <c r="I32" s="79"/>
      <c r="J32" s="79"/>
      <c r="K32" s="79"/>
      <c r="L32" s="80"/>
      <c r="M32" s="48"/>
    </row>
    <row r="33" spans="1:13">
      <c r="A33" s="78"/>
      <c r="B33" s="85"/>
      <c r="C33" s="79"/>
      <c r="D33" s="79"/>
      <c r="E33" s="79"/>
      <c r="F33" s="79"/>
      <c r="G33" s="79"/>
      <c r="H33" s="79"/>
      <c r="I33" s="79"/>
      <c r="J33" s="79"/>
      <c r="K33" s="79"/>
      <c r="L33" s="80"/>
      <c r="M33" s="48"/>
    </row>
    <row r="34" spans="1:13">
      <c r="A34" s="78"/>
      <c r="B34" s="85"/>
      <c r="C34" s="79"/>
      <c r="D34" s="79"/>
      <c r="E34" s="79"/>
      <c r="F34" s="79"/>
      <c r="G34" s="79"/>
      <c r="H34" s="79"/>
      <c r="I34" s="79"/>
      <c r="J34" s="79"/>
      <c r="K34" s="79"/>
      <c r="L34" s="80"/>
      <c r="M34" s="48"/>
    </row>
    <row r="35" spans="1:13">
      <c r="A35" s="78"/>
      <c r="B35" s="85"/>
      <c r="C35" s="79"/>
      <c r="D35" s="79"/>
      <c r="E35" s="79"/>
      <c r="F35" s="79"/>
      <c r="G35" s="79"/>
      <c r="H35" s="79"/>
      <c r="I35" s="79"/>
      <c r="J35" s="79"/>
      <c r="K35" s="79"/>
      <c r="L35" s="80"/>
      <c r="M35" s="48"/>
    </row>
    <row r="36" spans="1:13">
      <c r="A36" s="78"/>
      <c r="B36" s="85"/>
      <c r="C36" s="79"/>
      <c r="D36" s="79"/>
      <c r="E36" s="79"/>
      <c r="F36" s="79"/>
      <c r="G36" s="79"/>
      <c r="H36" s="79"/>
      <c r="I36" s="79"/>
      <c r="J36" s="79"/>
      <c r="K36" s="79"/>
      <c r="L36" s="80"/>
      <c r="M36" s="48"/>
    </row>
    <row r="37" spans="1:13">
      <c r="A37" s="78"/>
      <c r="B37" s="85"/>
      <c r="C37" s="79"/>
      <c r="D37" s="79"/>
      <c r="E37" s="79"/>
      <c r="F37" s="79"/>
      <c r="G37" s="79"/>
      <c r="H37" s="79"/>
      <c r="I37" s="79"/>
      <c r="J37" s="79"/>
      <c r="K37" s="79"/>
      <c r="L37" s="80"/>
      <c r="M37" s="48"/>
    </row>
    <row r="38" spans="1:13">
      <c r="A38" s="78"/>
      <c r="B38" s="85"/>
      <c r="C38" s="79"/>
      <c r="D38" s="79"/>
      <c r="E38" s="79"/>
      <c r="F38" s="79"/>
      <c r="G38" s="79"/>
      <c r="H38" s="79"/>
      <c r="I38" s="79"/>
      <c r="J38" s="79"/>
      <c r="K38" s="79"/>
      <c r="L38" s="80"/>
      <c r="M38" s="48"/>
    </row>
    <row r="39" spans="1:13">
      <c r="A39" s="78"/>
      <c r="B39" s="85"/>
      <c r="C39" s="79"/>
      <c r="D39" s="79"/>
      <c r="E39" s="79"/>
      <c r="F39" s="79"/>
      <c r="G39" s="79"/>
      <c r="H39" s="79"/>
      <c r="I39" s="79"/>
      <c r="J39" s="79"/>
      <c r="K39" s="79"/>
      <c r="L39" s="80"/>
      <c r="M39" s="48"/>
    </row>
    <row r="40" spans="1:13">
      <c r="A40" s="78"/>
      <c r="B40" s="85"/>
      <c r="C40" s="79"/>
      <c r="D40" s="79"/>
      <c r="E40" s="79"/>
      <c r="F40" s="79"/>
      <c r="G40" s="79"/>
      <c r="H40" s="79"/>
      <c r="I40" s="79"/>
      <c r="J40" s="79"/>
      <c r="K40" s="79"/>
      <c r="L40" s="80"/>
      <c r="M40" s="48"/>
    </row>
    <row r="41" spans="1:13">
      <c r="A41" s="78"/>
      <c r="B41" s="85"/>
      <c r="C41" s="79"/>
      <c r="D41" s="79"/>
      <c r="E41" s="79"/>
      <c r="F41" s="79"/>
      <c r="G41" s="79"/>
      <c r="H41" s="79"/>
      <c r="I41" s="79"/>
      <c r="J41" s="79"/>
      <c r="K41" s="79"/>
      <c r="L41" s="80"/>
      <c r="M41" s="48"/>
    </row>
    <row r="42" spans="1:13">
      <c r="A42" s="78"/>
      <c r="B42" s="85"/>
      <c r="C42" s="79"/>
      <c r="D42" s="79"/>
      <c r="E42" s="79"/>
      <c r="F42" s="79"/>
      <c r="G42" s="79"/>
      <c r="H42" s="79"/>
      <c r="I42" s="79"/>
      <c r="J42" s="79"/>
      <c r="K42" s="79"/>
      <c r="L42" s="80"/>
      <c r="M42" s="48"/>
    </row>
    <row r="43" spans="1:13">
      <c r="A43" s="78"/>
      <c r="B43" s="85"/>
      <c r="C43" s="79"/>
      <c r="D43" s="79"/>
      <c r="E43" s="79"/>
      <c r="F43" s="79"/>
      <c r="G43" s="79"/>
      <c r="H43" s="79"/>
      <c r="I43" s="79"/>
      <c r="J43" s="79"/>
      <c r="K43" s="79"/>
      <c r="L43" s="80"/>
      <c r="M43" s="48"/>
    </row>
    <row r="44" spans="1:13">
      <c r="A44" s="78"/>
      <c r="B44" s="85"/>
      <c r="C44" s="79"/>
      <c r="D44" s="79"/>
      <c r="E44" s="79"/>
      <c r="F44" s="79"/>
      <c r="G44" s="79"/>
      <c r="H44" s="79"/>
      <c r="I44" s="79"/>
      <c r="J44" s="79"/>
      <c r="K44" s="79"/>
      <c r="L44" s="80"/>
      <c r="M44" s="48"/>
    </row>
    <row r="45" spans="1:13">
      <c r="A45" s="48"/>
      <c r="B45" s="48"/>
      <c r="C45" s="48"/>
      <c r="D45" s="48"/>
      <c r="E45" s="48"/>
      <c r="F45" s="48"/>
      <c r="G45" s="48"/>
      <c r="H45" s="48"/>
      <c r="I45" s="48"/>
      <c r="J45" s="48"/>
      <c r="K45" s="48"/>
      <c r="L45" s="48"/>
      <c r="M45" s="48"/>
    </row>
    <row r="47" spans="1:13">
      <c r="A47" s="175" t="s">
        <v>1882</v>
      </c>
      <c r="B47" s="175"/>
      <c r="C47" s="175"/>
      <c r="D47" s="175"/>
      <c r="E47" s="175"/>
      <c r="F47" s="175"/>
      <c r="G47" s="175"/>
      <c r="H47" s="175"/>
      <c r="I47" s="175"/>
      <c r="J47" s="175"/>
      <c r="K47" s="175"/>
      <c r="L47" s="175"/>
      <c r="M47" s="48"/>
    </row>
    <row r="48" spans="1:13" ht="50.25">
      <c r="A48" s="95" t="s">
        <v>494</v>
      </c>
      <c r="B48" s="95" t="s">
        <v>1883</v>
      </c>
      <c r="C48" s="95" t="s">
        <v>1884</v>
      </c>
      <c r="D48" s="95" t="s">
        <v>1885</v>
      </c>
      <c r="E48" s="95" t="s">
        <v>1886</v>
      </c>
      <c r="F48" s="95" t="s">
        <v>1887</v>
      </c>
      <c r="G48" s="95" t="s">
        <v>144</v>
      </c>
      <c r="H48" s="95" t="s">
        <v>145</v>
      </c>
      <c r="I48" s="48"/>
      <c r="J48" s="48"/>
      <c r="K48" s="48"/>
      <c r="L48" s="48"/>
      <c r="M48" s="48"/>
    </row>
    <row r="49" spans="1:13">
      <c r="A49" s="96"/>
      <c r="B49" s="79"/>
      <c r="C49" s="79"/>
      <c r="D49" s="79"/>
      <c r="E49" s="79"/>
      <c r="F49" s="79"/>
      <c r="G49" s="79"/>
      <c r="H49" s="80"/>
      <c r="I49" s="48"/>
      <c r="J49" s="48"/>
      <c r="K49" s="48"/>
      <c r="L49" s="48"/>
      <c r="M49" s="48"/>
    </row>
    <row r="50" spans="1:13">
      <c r="A50" s="96"/>
      <c r="B50" s="79"/>
      <c r="C50" s="79"/>
      <c r="D50" s="79"/>
      <c r="E50" s="79"/>
      <c r="F50" s="79"/>
      <c r="G50" s="79"/>
      <c r="H50" s="80"/>
      <c r="I50" s="48"/>
      <c r="J50" s="48"/>
      <c r="K50" s="48"/>
      <c r="L50" s="48"/>
      <c r="M50" s="48"/>
    </row>
    <row r="51" spans="1:13">
      <c r="A51" s="96"/>
      <c r="B51" s="79"/>
      <c r="C51" s="79"/>
      <c r="D51" s="79"/>
      <c r="E51" s="79"/>
      <c r="F51" s="79"/>
      <c r="G51" s="79"/>
      <c r="H51" s="80"/>
      <c r="I51" s="48"/>
      <c r="J51" s="48"/>
      <c r="K51" s="48"/>
      <c r="L51" s="48"/>
      <c r="M51" s="48"/>
    </row>
    <row r="52" spans="1:13">
      <c r="A52" s="96"/>
      <c r="B52" s="79"/>
      <c r="C52" s="79"/>
      <c r="D52" s="79"/>
      <c r="E52" s="79"/>
      <c r="F52" s="79"/>
      <c r="G52" s="79"/>
      <c r="H52" s="80"/>
      <c r="I52" s="48"/>
      <c r="J52" s="48"/>
      <c r="K52" s="48"/>
      <c r="L52" s="48"/>
      <c r="M52" s="48"/>
    </row>
    <row r="53" spans="1:13">
      <c r="A53" s="96"/>
      <c r="B53" s="79"/>
      <c r="C53" s="79"/>
      <c r="D53" s="79"/>
      <c r="E53" s="79"/>
      <c r="F53" s="79"/>
      <c r="G53" s="79"/>
      <c r="H53" s="80"/>
      <c r="I53" s="48"/>
      <c r="J53" s="48"/>
      <c r="K53" s="48"/>
      <c r="L53" s="48"/>
      <c r="M53" s="48"/>
    </row>
    <row r="54" spans="1:13">
      <c r="A54" s="96"/>
      <c r="B54" s="79"/>
      <c r="C54" s="79"/>
      <c r="D54" s="79"/>
      <c r="E54" s="79"/>
      <c r="F54" s="79"/>
      <c r="G54" s="79"/>
      <c r="H54" s="80"/>
      <c r="I54" s="48"/>
      <c r="J54" s="48"/>
      <c r="K54" s="48"/>
      <c r="L54" s="48"/>
      <c r="M54" s="48"/>
    </row>
    <row r="55" spans="1:13">
      <c r="A55" s="96"/>
      <c r="B55" s="79"/>
      <c r="C55" s="79"/>
      <c r="D55" s="79"/>
      <c r="E55" s="79"/>
      <c r="F55" s="79"/>
      <c r="G55" s="79"/>
      <c r="H55" s="80"/>
      <c r="I55" s="48"/>
      <c r="J55" s="48"/>
      <c r="K55" s="48"/>
      <c r="L55" s="48"/>
      <c r="M55" s="48"/>
    </row>
    <row r="56" spans="1:13">
      <c r="A56" s="96"/>
      <c r="B56" s="79"/>
      <c r="C56" s="79"/>
      <c r="D56" s="79"/>
      <c r="E56" s="79"/>
      <c r="F56" s="79"/>
      <c r="G56" s="79"/>
      <c r="H56" s="80"/>
      <c r="I56" s="48"/>
      <c r="J56" s="48"/>
      <c r="K56" s="48"/>
      <c r="L56" s="48"/>
      <c r="M56" s="48"/>
    </row>
    <row r="57" spans="1:13">
      <c r="A57" s="96"/>
      <c r="B57" s="79"/>
      <c r="C57" s="79"/>
      <c r="D57" s="79"/>
      <c r="E57" s="79"/>
      <c r="F57" s="79"/>
      <c r="G57" s="79"/>
      <c r="H57" s="80"/>
      <c r="I57" s="48"/>
      <c r="J57" s="48"/>
      <c r="K57" s="48"/>
      <c r="L57" s="48"/>
      <c r="M57" s="48"/>
    </row>
    <row r="58" spans="1:13">
      <c r="A58" s="96"/>
      <c r="B58" s="79"/>
      <c r="C58" s="79"/>
      <c r="D58" s="79"/>
      <c r="E58" s="79"/>
      <c r="F58" s="79"/>
      <c r="G58" s="79"/>
      <c r="H58" s="80"/>
      <c r="I58" s="48"/>
      <c r="J58" s="48"/>
      <c r="K58" s="48"/>
      <c r="L58" s="48"/>
      <c r="M58" s="48"/>
    </row>
    <row r="59" spans="1:13">
      <c r="A59" s="96"/>
      <c r="B59" s="79"/>
      <c r="C59" s="79"/>
      <c r="D59" s="79"/>
      <c r="E59" s="79"/>
      <c r="F59" s="79"/>
      <c r="G59" s="79"/>
      <c r="H59" s="80"/>
      <c r="I59" s="48"/>
      <c r="J59" s="48"/>
      <c r="K59" s="48"/>
      <c r="L59" s="48"/>
      <c r="M59" s="48"/>
    </row>
    <row r="60" spans="1:13">
      <c r="A60" s="96"/>
      <c r="B60" s="79"/>
      <c r="C60" s="79"/>
      <c r="D60" s="79"/>
      <c r="E60" s="79"/>
      <c r="F60" s="79"/>
      <c r="G60" s="79"/>
      <c r="H60" s="80"/>
      <c r="I60" s="48"/>
      <c r="J60" s="48"/>
      <c r="K60" s="48"/>
      <c r="L60" s="48"/>
      <c r="M60" s="48"/>
    </row>
    <row r="61" spans="1:13">
      <c r="A61" s="96"/>
      <c r="B61" s="79"/>
      <c r="C61" s="79"/>
      <c r="D61" s="79"/>
      <c r="E61" s="79"/>
      <c r="F61" s="79"/>
      <c r="G61" s="79"/>
      <c r="H61" s="80"/>
      <c r="I61" s="48"/>
      <c r="J61" s="48"/>
      <c r="K61" s="48"/>
      <c r="L61" s="48"/>
      <c r="M61" s="48"/>
    </row>
    <row r="62" spans="1:13">
      <c r="A62" s="96"/>
      <c r="B62" s="79"/>
      <c r="C62" s="79"/>
      <c r="D62" s="79"/>
      <c r="E62" s="79"/>
      <c r="F62" s="79"/>
      <c r="G62" s="79"/>
      <c r="H62" s="80"/>
      <c r="I62" s="48"/>
      <c r="J62" s="48"/>
      <c r="K62" s="48"/>
      <c r="L62" s="48"/>
      <c r="M62" s="48"/>
    </row>
    <row r="63" spans="1:13">
      <c r="A63" s="96"/>
      <c r="B63" s="79"/>
      <c r="C63" s="79"/>
      <c r="D63" s="79"/>
      <c r="E63" s="79"/>
      <c r="F63" s="79"/>
      <c r="G63" s="79"/>
      <c r="H63" s="80"/>
      <c r="I63" s="48"/>
      <c r="J63" s="48"/>
      <c r="K63" s="48"/>
      <c r="L63" s="48"/>
      <c r="M63" s="48"/>
    </row>
    <row r="64" spans="1:13">
      <c r="A64" s="96"/>
      <c r="B64" s="79"/>
      <c r="C64" s="79"/>
      <c r="D64" s="79"/>
      <c r="E64" s="79"/>
      <c r="F64" s="79"/>
      <c r="G64" s="79"/>
      <c r="H64" s="80"/>
      <c r="I64" s="48"/>
      <c r="J64" s="48"/>
      <c r="K64" s="48"/>
      <c r="L64" s="48"/>
      <c r="M64" s="48"/>
    </row>
    <row r="65" spans="1:13">
      <c r="A65" s="96"/>
      <c r="B65" s="79"/>
      <c r="C65" s="79"/>
      <c r="D65" s="79"/>
      <c r="E65" s="79"/>
      <c r="F65" s="79"/>
      <c r="G65" s="79"/>
      <c r="H65" s="80"/>
      <c r="I65" s="48"/>
      <c r="J65" s="48"/>
      <c r="K65" s="48"/>
      <c r="L65" s="48"/>
      <c r="M65" s="48"/>
    </row>
    <row r="66" spans="1:13">
      <c r="A66" s="96"/>
      <c r="B66" s="79"/>
      <c r="C66" s="79"/>
      <c r="D66" s="79"/>
      <c r="E66" s="79"/>
      <c r="F66" s="79"/>
      <c r="G66" s="79"/>
      <c r="H66" s="80"/>
      <c r="I66" s="48"/>
      <c r="J66" s="48"/>
      <c r="K66" s="48"/>
      <c r="L66" s="48"/>
      <c r="M66" s="48"/>
    </row>
    <row r="67" spans="1:13">
      <c r="A67" s="96"/>
      <c r="B67" s="79"/>
      <c r="C67" s="79"/>
      <c r="D67" s="79"/>
      <c r="E67" s="79"/>
      <c r="F67" s="79"/>
      <c r="G67" s="79"/>
      <c r="H67" s="80"/>
      <c r="I67" s="48"/>
      <c r="J67" s="48"/>
      <c r="K67" s="48"/>
      <c r="L67" s="48"/>
      <c r="M67" s="48"/>
    </row>
    <row r="68" spans="1:13">
      <c r="A68" s="96"/>
      <c r="B68" s="79"/>
      <c r="C68" s="79"/>
      <c r="D68" s="79"/>
      <c r="E68" s="79"/>
      <c r="F68" s="79"/>
      <c r="G68" s="79"/>
      <c r="H68" s="80"/>
      <c r="I68" s="48"/>
      <c r="J68" s="48"/>
      <c r="K68" s="48"/>
      <c r="L68" s="48"/>
      <c r="M68" s="48"/>
    </row>
    <row r="69" spans="1:13">
      <c r="A69" s="48"/>
      <c r="B69" s="48"/>
      <c r="C69" s="48"/>
      <c r="D69" s="48"/>
      <c r="E69" s="48"/>
      <c r="F69" s="48"/>
      <c r="G69" s="48"/>
      <c r="H69" s="48"/>
      <c r="I69" s="48"/>
      <c r="J69" s="48"/>
      <c r="K69" s="48"/>
      <c r="L69" s="48"/>
      <c r="M69" s="48"/>
    </row>
  </sheetData>
  <mergeCells count="27">
    <mergeCell ref="A1:M1"/>
    <mergeCell ref="A13:L13"/>
    <mergeCell ref="A47:L47"/>
    <mergeCell ref="A10:B10"/>
    <mergeCell ref="C10:F10"/>
    <mergeCell ref="G10:H10"/>
    <mergeCell ref="I10:L10"/>
    <mergeCell ref="A11:B11"/>
    <mergeCell ref="C11:F11"/>
    <mergeCell ref="G11:H11"/>
    <mergeCell ref="I11:L11"/>
    <mergeCell ref="A8:B8"/>
    <mergeCell ref="C8:F8"/>
    <mergeCell ref="G8:H8"/>
    <mergeCell ref="I8:L8"/>
    <mergeCell ref="A9:B9"/>
    <mergeCell ref="C9:F9"/>
    <mergeCell ref="G9:H9"/>
    <mergeCell ref="I9:L9"/>
    <mergeCell ref="A2:L2"/>
    <mergeCell ref="A3:L3"/>
    <mergeCell ref="A4:L4"/>
    <mergeCell ref="A6:L6"/>
    <mergeCell ref="A7:B7"/>
    <mergeCell ref="C7:F7"/>
    <mergeCell ref="G7:H7"/>
    <mergeCell ref="I7:L7"/>
  </mergeCells>
  <dataValidations count="4">
    <dataValidation type="list" allowBlank="1" showInputMessage="1" showErrorMessage="1" sqref="L15:L44" xr:uid="{5F7C8C1A-3A20-4D79-9442-1802ABC2146B}">
      <formula1>"Open,In progress,Superseded,Adopted,On hold,Closed"</formula1>
    </dataValidation>
    <dataValidation type="list" allowBlank="1" showInputMessage="1" showErrorMessage="1" sqref="H15:H44" xr:uid="{692640E9-D1D4-4C60-A7C8-C094EB6CBB99}">
      <formula1>"Iterate again,Adopt this version,Reject,Hold for testing,Escalate to NP"</formula1>
    </dataValidation>
    <dataValidation type="list" allowBlank="1" showInputMessage="1" showErrorMessage="1" sqref="H49:H68" xr:uid="{CD0EA7A7-510C-459D-B07E-1D851BDEFD71}">
      <formula1>"Open,In progress,Actioned,Closed"</formula1>
    </dataValidation>
    <dataValidation type="list" allowBlank="1" showInputMessage="1" showErrorMessage="1" sqref="I7:L7" xr:uid="{BDC468BA-9022-4180-9D0E-462C4946E1BD}">
      <formula1>"Not Started,In development,Under evaluation,Approved,On hold,Cancelled"</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L16"/>
  <sheetViews>
    <sheetView showGridLines="0" topLeftCell="A3" workbookViewId="0">
      <selection activeCell="O13" sqref="O13"/>
    </sheetView>
  </sheetViews>
  <sheetFormatPr defaultRowHeight="15"/>
  <cols>
    <col min="1" max="1" width="18" customWidth="1"/>
    <col min="2" max="2" width="16" customWidth="1"/>
    <col min="3" max="4" width="22" customWidth="1"/>
    <col min="5" max="6" width="28" customWidth="1"/>
    <col min="7" max="7" width="24" customWidth="1"/>
    <col min="8" max="8" width="30" customWidth="1"/>
    <col min="9" max="9" width="22" customWidth="1"/>
    <col min="10" max="10" width="18" customWidth="1"/>
    <col min="11" max="11" width="32" customWidth="1"/>
    <col min="12" max="12" width="34" customWidth="1"/>
  </cols>
  <sheetData>
    <row r="1" spans="1:12" s="48" customFormat="1" ht="50.25" customHeight="1">
      <c r="A1" s="176" t="s">
        <v>1888</v>
      </c>
      <c r="B1" s="176"/>
      <c r="C1" s="176"/>
      <c r="D1" s="176"/>
      <c r="E1" s="176"/>
      <c r="F1" s="176"/>
      <c r="G1" s="176"/>
      <c r="H1" s="176"/>
      <c r="I1" s="176"/>
      <c r="J1" s="176"/>
      <c r="K1" s="176"/>
      <c r="L1" s="176"/>
    </row>
    <row r="2" spans="1:12" ht="24" customHeight="1">
      <c r="A2" s="56" t="s">
        <v>0</v>
      </c>
      <c r="B2" s="56"/>
      <c r="C2" s="56"/>
      <c r="D2" s="56"/>
      <c r="E2" s="56"/>
      <c r="F2" s="56"/>
      <c r="G2" s="56"/>
      <c r="H2" s="56"/>
      <c r="I2" s="56"/>
      <c r="J2" s="56"/>
      <c r="K2" s="56"/>
      <c r="L2" s="56"/>
    </row>
    <row r="3" spans="1:12" ht="30" customHeight="1">
      <c r="A3" s="168" t="s">
        <v>1889</v>
      </c>
      <c r="B3" s="193"/>
      <c r="C3" s="193"/>
      <c r="D3" s="193"/>
      <c r="E3" s="193"/>
      <c r="F3" s="193"/>
      <c r="G3" s="193"/>
      <c r="H3" s="193"/>
      <c r="I3" s="193"/>
      <c r="J3" s="193"/>
      <c r="K3" s="193"/>
      <c r="L3" s="193"/>
    </row>
    <row r="4" spans="1:12" ht="30" customHeight="1">
      <c r="A4" s="44" t="s">
        <v>1890</v>
      </c>
      <c r="B4" s="44"/>
      <c r="C4" s="44"/>
      <c r="D4" s="44"/>
      <c r="E4" s="44"/>
      <c r="F4" s="44"/>
      <c r="G4" s="44"/>
      <c r="H4" s="44"/>
      <c r="I4" s="44"/>
      <c r="J4" s="44"/>
      <c r="K4" s="44"/>
      <c r="L4" s="44"/>
    </row>
    <row r="5" spans="1:12">
      <c r="A5" s="46"/>
      <c r="B5" s="46"/>
      <c r="C5" s="46"/>
      <c r="D5" s="46"/>
      <c r="E5" s="46"/>
      <c r="F5" s="46"/>
      <c r="G5" s="46"/>
      <c r="H5" s="46"/>
      <c r="I5" s="46"/>
      <c r="J5" s="46"/>
      <c r="K5" s="46"/>
      <c r="L5" s="46"/>
    </row>
    <row r="6" spans="1:12" ht="21.95" customHeight="1">
      <c r="A6" s="57" t="s">
        <v>1891</v>
      </c>
      <c r="B6" s="57"/>
      <c r="C6" s="57"/>
      <c r="D6" s="57"/>
      <c r="E6" s="57"/>
      <c r="F6" s="57"/>
      <c r="G6" s="57"/>
      <c r="H6" s="57"/>
      <c r="I6" s="57"/>
      <c r="J6" s="57"/>
      <c r="K6" s="57"/>
      <c r="L6" s="57"/>
    </row>
    <row r="7" spans="1:12" ht="33.950000000000003" customHeight="1">
      <c r="A7" s="36" t="s">
        <v>1757</v>
      </c>
      <c r="B7" s="36" t="s">
        <v>1892</v>
      </c>
      <c r="C7" s="36" t="s">
        <v>1893</v>
      </c>
      <c r="D7" s="36" t="s">
        <v>1894</v>
      </c>
      <c r="E7" s="36" t="s">
        <v>1895</v>
      </c>
      <c r="F7" s="36" t="s">
        <v>1896</v>
      </c>
      <c r="G7" s="36" t="s">
        <v>1897</v>
      </c>
      <c r="H7" s="36" t="s">
        <v>1898</v>
      </c>
      <c r="I7" s="36" t="s">
        <v>1899</v>
      </c>
      <c r="J7" s="36" t="s">
        <v>145</v>
      </c>
      <c r="K7" s="36" t="s">
        <v>1900</v>
      </c>
      <c r="L7" s="36" t="s">
        <v>499</v>
      </c>
    </row>
    <row r="8" spans="1:12">
      <c r="A8" s="37" t="s">
        <v>1901</v>
      </c>
      <c r="B8" s="37" t="s">
        <v>1902</v>
      </c>
      <c r="C8" s="37" t="s">
        <v>1903</v>
      </c>
      <c r="D8" s="37" t="s">
        <v>1904</v>
      </c>
      <c r="E8" s="37" t="s">
        <v>1905</v>
      </c>
      <c r="F8" s="37" t="s">
        <v>1906</v>
      </c>
      <c r="G8" s="37" t="s">
        <v>1907</v>
      </c>
      <c r="H8" s="37" t="s">
        <v>1578</v>
      </c>
      <c r="I8" s="42" t="s">
        <v>1908</v>
      </c>
      <c r="J8" s="37" t="s">
        <v>152</v>
      </c>
      <c r="K8" s="37" t="s">
        <v>1909</v>
      </c>
      <c r="L8" s="37" t="s">
        <v>1910</v>
      </c>
    </row>
    <row r="9" spans="1:12">
      <c r="A9" s="37" t="s">
        <v>1901</v>
      </c>
      <c r="B9" s="37" t="s">
        <v>1902</v>
      </c>
      <c r="C9" s="37" t="s">
        <v>1903</v>
      </c>
      <c r="D9" s="37" t="s">
        <v>1904</v>
      </c>
      <c r="E9" s="37" t="s">
        <v>1911</v>
      </c>
      <c r="F9" s="37" t="s">
        <v>1906</v>
      </c>
      <c r="G9" s="37" t="s">
        <v>1907</v>
      </c>
      <c r="H9" s="37" t="s">
        <v>1578</v>
      </c>
      <c r="I9" s="42" t="s">
        <v>1908</v>
      </c>
      <c r="J9" s="37" t="s">
        <v>152</v>
      </c>
      <c r="K9" s="37" t="s">
        <v>1912</v>
      </c>
      <c r="L9" s="37" t="s">
        <v>1913</v>
      </c>
    </row>
    <row r="10" spans="1:12">
      <c r="A10" s="37" t="s">
        <v>1901</v>
      </c>
      <c r="B10" s="37" t="s">
        <v>1902</v>
      </c>
      <c r="C10" s="37" t="s">
        <v>1903</v>
      </c>
      <c r="D10" s="37" t="s">
        <v>1904</v>
      </c>
      <c r="E10" s="37" t="s">
        <v>1914</v>
      </c>
      <c r="F10" s="37" t="s">
        <v>1906</v>
      </c>
      <c r="G10" s="37" t="s">
        <v>1907</v>
      </c>
      <c r="H10" s="37" t="s">
        <v>1578</v>
      </c>
      <c r="I10" s="42" t="s">
        <v>1908</v>
      </c>
      <c r="J10" s="37" t="s">
        <v>152</v>
      </c>
      <c r="K10" s="37" t="s">
        <v>269</v>
      </c>
      <c r="L10" s="37" t="s">
        <v>1915</v>
      </c>
    </row>
    <row r="11" spans="1:12">
      <c r="A11" s="37" t="s">
        <v>1901</v>
      </c>
      <c r="B11" s="37" t="s">
        <v>1902</v>
      </c>
      <c r="C11" s="37" t="s">
        <v>1903</v>
      </c>
      <c r="D11" s="37" t="s">
        <v>1904</v>
      </c>
      <c r="E11" s="37" t="s">
        <v>1916</v>
      </c>
      <c r="F11" s="37" t="s">
        <v>1906</v>
      </c>
      <c r="G11" s="37" t="s">
        <v>1907</v>
      </c>
      <c r="H11" s="37" t="s">
        <v>1578</v>
      </c>
      <c r="I11" s="42" t="s">
        <v>1917</v>
      </c>
      <c r="J11" s="37" t="s">
        <v>152</v>
      </c>
      <c r="K11" s="37" t="s">
        <v>1918</v>
      </c>
      <c r="L11" s="37" t="s">
        <v>1919</v>
      </c>
    </row>
    <row r="12" spans="1:12">
      <c r="A12" s="37" t="s">
        <v>1901</v>
      </c>
      <c r="B12" s="37" t="s">
        <v>1902</v>
      </c>
      <c r="C12" s="37" t="s">
        <v>1903</v>
      </c>
      <c r="D12" s="37" t="s">
        <v>1904</v>
      </c>
      <c r="E12" s="37" t="s">
        <v>1920</v>
      </c>
      <c r="F12" s="37" t="s">
        <v>1906</v>
      </c>
      <c r="G12" s="37" t="s">
        <v>1907</v>
      </c>
      <c r="H12" s="37" t="s">
        <v>1578</v>
      </c>
      <c r="I12" s="42" t="s">
        <v>1917</v>
      </c>
      <c r="J12" s="37" t="s">
        <v>152</v>
      </c>
      <c r="K12" s="37" t="s">
        <v>1921</v>
      </c>
      <c r="L12" s="37" t="s">
        <v>1922</v>
      </c>
    </row>
    <row r="13" spans="1:12" ht="25.5">
      <c r="A13" s="37" t="s">
        <v>1901</v>
      </c>
      <c r="B13" s="37" t="s">
        <v>1902</v>
      </c>
      <c r="C13" s="37" t="s">
        <v>1903</v>
      </c>
      <c r="D13" s="37" t="s">
        <v>1904</v>
      </c>
      <c r="E13" s="37" t="s">
        <v>1923</v>
      </c>
      <c r="F13" s="37" t="s">
        <v>1906</v>
      </c>
      <c r="G13" s="37" t="s">
        <v>1907</v>
      </c>
      <c r="H13" s="37" t="s">
        <v>1578</v>
      </c>
      <c r="I13" s="42" t="s">
        <v>1917</v>
      </c>
      <c r="J13" s="37" t="s">
        <v>152</v>
      </c>
      <c r="K13" s="37" t="s">
        <v>1924</v>
      </c>
      <c r="L13" s="37" t="s">
        <v>1925</v>
      </c>
    </row>
    <row r="14" spans="1:12" ht="25.5">
      <c r="A14" s="37" t="s">
        <v>1901</v>
      </c>
      <c r="B14" s="37" t="s">
        <v>1902</v>
      </c>
      <c r="C14" s="37" t="s">
        <v>1903</v>
      </c>
      <c r="D14" s="37" t="s">
        <v>1904</v>
      </c>
      <c r="E14" s="37" t="s">
        <v>1926</v>
      </c>
      <c r="F14" s="37" t="s">
        <v>1906</v>
      </c>
      <c r="G14" s="37" t="s">
        <v>1927</v>
      </c>
      <c r="H14" s="37" t="s">
        <v>1578</v>
      </c>
      <c r="I14" s="42" t="s">
        <v>1928</v>
      </c>
      <c r="J14" s="37" t="s">
        <v>152</v>
      </c>
      <c r="K14" s="37" t="s">
        <v>1929</v>
      </c>
      <c r="L14" s="37" t="s">
        <v>1930</v>
      </c>
    </row>
    <row r="15" spans="1:12">
      <c r="A15" s="46"/>
      <c r="B15" s="46"/>
      <c r="C15" s="46"/>
      <c r="D15" s="46"/>
      <c r="E15" s="46"/>
      <c r="F15" s="46"/>
      <c r="G15" s="46"/>
      <c r="H15" s="46"/>
      <c r="I15" s="46"/>
      <c r="J15" s="46"/>
      <c r="K15" s="46"/>
      <c r="L15" s="46"/>
    </row>
    <row r="16" spans="1:12">
      <c r="A16" s="48"/>
      <c r="B16" s="48"/>
      <c r="C16" s="48"/>
      <c r="D16" s="48"/>
      <c r="E16" s="48"/>
      <c r="F16" s="48"/>
      <c r="G16" s="48"/>
      <c r="H16" s="48"/>
      <c r="I16" s="48"/>
      <c r="J16" s="48"/>
      <c r="K16" s="48"/>
      <c r="L16" s="48"/>
    </row>
  </sheetData>
  <mergeCells count="2">
    <mergeCell ref="A3:L3"/>
    <mergeCell ref="A1:L1"/>
  </mergeCells>
  <dataValidations count="2">
    <dataValidation type="list" sqref="J7:J81" xr:uid="{00000000-0002-0000-2E00-000000000000}">
      <formula1>"Not Started,In Progress,Awaiting Guideline,Awaiting Evidence,Under Review,Approved,Approved with Limits,Rejected,Superseded,Closed"</formula1>
    </dataValidation>
    <dataValidation type="list" allowBlank="1" sqref="J8:J14" xr:uid="{00000000-0002-0000-2E00-000001000000}">
      <formula1>"Not Started,In Progress,Needs Review,Complete,Not Applicable,Blocked"</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M22"/>
  <sheetViews>
    <sheetView showGridLines="0" workbookViewId="0"/>
  </sheetViews>
  <sheetFormatPr defaultRowHeight="15"/>
  <cols>
    <col min="1" max="3" width="18" customWidth="1"/>
    <col min="4" max="4" width="24" customWidth="1"/>
    <col min="5" max="5" width="26" customWidth="1"/>
    <col min="6" max="6" width="28" customWidth="1"/>
    <col min="7" max="7" width="20" customWidth="1"/>
    <col min="8" max="8" width="22" customWidth="1"/>
    <col min="9" max="10" width="30" customWidth="1"/>
    <col min="11" max="11" width="18" customWidth="1"/>
    <col min="12" max="12" width="20" customWidth="1"/>
    <col min="13" max="13" width="32" customWidth="1"/>
  </cols>
  <sheetData>
    <row r="1" spans="1:13" s="48" customFormat="1">
      <c r="A1" s="176" t="s">
        <v>1931</v>
      </c>
      <c r="B1" s="176"/>
      <c r="C1" s="176"/>
      <c r="D1" s="176"/>
      <c r="E1" s="176"/>
      <c r="F1" s="176"/>
      <c r="G1" s="176"/>
      <c r="H1" s="176"/>
      <c r="I1" s="176"/>
      <c r="J1" s="176"/>
      <c r="K1" s="176"/>
      <c r="L1" s="176"/>
      <c r="M1" s="176"/>
    </row>
    <row r="2" spans="1:13" ht="24" customHeight="1">
      <c r="A2" s="56" t="s">
        <v>0</v>
      </c>
      <c r="B2" s="56"/>
      <c r="C2" s="56"/>
      <c r="D2" s="56"/>
      <c r="E2" s="56"/>
      <c r="F2" s="56"/>
      <c r="G2" s="56"/>
      <c r="H2" s="56"/>
      <c r="I2" s="56"/>
      <c r="J2" s="56"/>
      <c r="K2" s="56"/>
      <c r="L2" s="56"/>
      <c r="M2" s="56"/>
    </row>
    <row r="3" spans="1:13" ht="30" customHeight="1">
      <c r="A3" s="45" t="s">
        <v>1932</v>
      </c>
      <c r="B3" s="45"/>
      <c r="C3" s="45"/>
      <c r="D3" s="45"/>
      <c r="E3" s="45"/>
      <c r="F3" s="45"/>
      <c r="G3" s="45"/>
      <c r="H3" s="45"/>
      <c r="I3" s="45"/>
      <c r="J3" s="45"/>
      <c r="K3" s="45"/>
      <c r="L3" s="45"/>
      <c r="M3" s="45"/>
    </row>
    <row r="4" spans="1:13" ht="30" customHeight="1">
      <c r="A4" s="44" t="s">
        <v>1933</v>
      </c>
      <c r="B4" s="44"/>
      <c r="C4" s="44"/>
      <c r="D4" s="44"/>
      <c r="E4" s="44"/>
      <c r="F4" s="44"/>
      <c r="G4" s="44"/>
      <c r="H4" s="44"/>
      <c r="I4" s="44"/>
      <c r="J4" s="44"/>
      <c r="K4" s="44"/>
      <c r="L4" s="44"/>
      <c r="M4" s="44"/>
    </row>
    <row r="5" spans="1:13">
      <c r="A5" s="46"/>
      <c r="B5" s="46"/>
      <c r="C5" s="46"/>
      <c r="D5" s="46"/>
      <c r="E5" s="46"/>
      <c r="F5" s="46"/>
      <c r="G5" s="46"/>
      <c r="H5" s="46"/>
      <c r="I5" s="46"/>
      <c r="J5" s="46"/>
      <c r="K5" s="46"/>
      <c r="L5" s="46"/>
      <c r="M5" s="46"/>
    </row>
    <row r="6" spans="1:13" ht="21.95" customHeight="1">
      <c r="A6" s="57" t="s">
        <v>1934</v>
      </c>
      <c r="B6" s="57"/>
      <c r="C6" s="57"/>
      <c r="D6" s="57"/>
      <c r="E6" s="57"/>
      <c r="F6" s="57"/>
      <c r="G6" s="57"/>
      <c r="H6" s="57"/>
      <c r="I6" s="57"/>
      <c r="J6" s="57"/>
      <c r="K6" s="57"/>
      <c r="L6" s="57"/>
      <c r="M6" s="57"/>
    </row>
    <row r="7" spans="1:13" ht="33.950000000000003" customHeight="1">
      <c r="A7" s="36" t="s">
        <v>1757</v>
      </c>
      <c r="B7" s="36" t="s">
        <v>1019</v>
      </c>
      <c r="C7" s="36" t="s">
        <v>1935</v>
      </c>
      <c r="D7" s="36" t="s">
        <v>1936</v>
      </c>
      <c r="E7" s="36" t="s">
        <v>1937</v>
      </c>
      <c r="F7" s="36" t="s">
        <v>1938</v>
      </c>
      <c r="G7" s="36" t="s">
        <v>1939</v>
      </c>
      <c r="H7" s="36" t="s">
        <v>1940</v>
      </c>
      <c r="I7" s="36" t="s">
        <v>1941</v>
      </c>
      <c r="J7" s="36" t="s">
        <v>1942</v>
      </c>
      <c r="K7" s="36" t="s">
        <v>145</v>
      </c>
      <c r="L7" s="36" t="s">
        <v>144</v>
      </c>
      <c r="M7" s="36" t="s">
        <v>70</v>
      </c>
    </row>
    <row r="8" spans="1:13">
      <c r="A8" s="37"/>
      <c r="B8" s="37"/>
      <c r="C8" s="37"/>
      <c r="D8" s="37"/>
      <c r="E8" s="37"/>
      <c r="F8" s="37"/>
      <c r="G8" s="37"/>
      <c r="H8" s="37"/>
      <c r="I8" s="37"/>
      <c r="J8" s="37"/>
      <c r="K8" s="37" t="s">
        <v>152</v>
      </c>
      <c r="L8" s="37"/>
      <c r="M8" s="37"/>
    </row>
    <row r="9" spans="1:13">
      <c r="A9" s="37"/>
      <c r="B9" s="37"/>
      <c r="C9" s="37"/>
      <c r="D9" s="37"/>
      <c r="E9" s="37"/>
      <c r="F9" s="37"/>
      <c r="G9" s="37"/>
      <c r="H9" s="37"/>
      <c r="I9" s="37"/>
      <c r="J9" s="37"/>
      <c r="K9" s="37" t="s">
        <v>152</v>
      </c>
      <c r="L9" s="37"/>
      <c r="M9" s="37"/>
    </row>
    <row r="10" spans="1:13">
      <c r="A10" s="37"/>
      <c r="B10" s="37"/>
      <c r="C10" s="37"/>
      <c r="D10" s="37"/>
      <c r="E10" s="37"/>
      <c r="F10" s="37"/>
      <c r="G10" s="37"/>
      <c r="H10" s="37"/>
      <c r="I10" s="37"/>
      <c r="J10" s="37"/>
      <c r="K10" s="37" t="s">
        <v>152</v>
      </c>
      <c r="L10" s="37"/>
      <c r="M10" s="37"/>
    </row>
    <row r="11" spans="1:13">
      <c r="A11" s="37"/>
      <c r="B11" s="37"/>
      <c r="C11" s="37"/>
      <c r="D11" s="37"/>
      <c r="E11" s="37"/>
      <c r="F11" s="37"/>
      <c r="G11" s="37"/>
      <c r="H11" s="37"/>
      <c r="I11" s="37"/>
      <c r="J11" s="37"/>
      <c r="K11" s="37" t="s">
        <v>152</v>
      </c>
      <c r="L11" s="37"/>
      <c r="M11" s="37"/>
    </row>
    <row r="12" spans="1:13">
      <c r="A12" s="37"/>
      <c r="B12" s="37"/>
      <c r="C12" s="37"/>
      <c r="D12" s="37"/>
      <c r="E12" s="37"/>
      <c r="F12" s="37"/>
      <c r="G12" s="37"/>
      <c r="H12" s="37"/>
      <c r="I12" s="37"/>
      <c r="J12" s="37"/>
      <c r="K12" s="37" t="s">
        <v>152</v>
      </c>
      <c r="L12" s="37"/>
      <c r="M12" s="37"/>
    </row>
    <row r="13" spans="1:13">
      <c r="A13" s="37"/>
      <c r="B13" s="37"/>
      <c r="C13" s="37"/>
      <c r="D13" s="37"/>
      <c r="E13" s="37"/>
      <c r="F13" s="37"/>
      <c r="G13" s="37"/>
      <c r="H13" s="37"/>
      <c r="I13" s="37"/>
      <c r="J13" s="37"/>
      <c r="K13" s="37" t="s">
        <v>152</v>
      </c>
      <c r="L13" s="37"/>
      <c r="M13" s="37"/>
    </row>
    <row r="14" spans="1:13">
      <c r="A14" s="37"/>
      <c r="B14" s="37"/>
      <c r="C14" s="37"/>
      <c r="D14" s="37"/>
      <c r="E14" s="37"/>
      <c r="F14" s="37"/>
      <c r="G14" s="37"/>
      <c r="H14" s="37"/>
      <c r="I14" s="37"/>
      <c r="J14" s="37"/>
      <c r="K14" s="37" t="s">
        <v>152</v>
      </c>
      <c r="L14" s="37"/>
      <c r="M14" s="37"/>
    </row>
    <row r="15" spans="1:13">
      <c r="A15" s="37"/>
      <c r="B15" s="37"/>
      <c r="C15" s="37"/>
      <c r="D15" s="37"/>
      <c r="E15" s="37"/>
      <c r="F15" s="37"/>
      <c r="G15" s="37"/>
      <c r="H15" s="37"/>
      <c r="I15" s="37"/>
      <c r="J15" s="37"/>
      <c r="K15" s="37" t="s">
        <v>152</v>
      </c>
      <c r="L15" s="37"/>
      <c r="M15" s="37"/>
    </row>
    <row r="16" spans="1:13">
      <c r="A16" s="37"/>
      <c r="B16" s="37"/>
      <c r="C16" s="37"/>
      <c r="D16" s="37"/>
      <c r="E16" s="37"/>
      <c r="F16" s="37"/>
      <c r="G16" s="37"/>
      <c r="H16" s="37"/>
      <c r="I16" s="37"/>
      <c r="J16" s="37"/>
      <c r="K16" s="37" t="s">
        <v>152</v>
      </c>
      <c r="L16" s="37"/>
      <c r="M16" s="37"/>
    </row>
    <row r="17" spans="1:13">
      <c r="A17" s="37"/>
      <c r="B17" s="37"/>
      <c r="C17" s="37"/>
      <c r="D17" s="37"/>
      <c r="E17" s="37"/>
      <c r="F17" s="37"/>
      <c r="G17" s="37"/>
      <c r="H17" s="37"/>
      <c r="I17" s="37"/>
      <c r="J17" s="37"/>
      <c r="K17" s="37" t="s">
        <v>152</v>
      </c>
      <c r="L17" s="37"/>
      <c r="M17" s="37"/>
    </row>
    <row r="18" spans="1:13">
      <c r="A18" s="37"/>
      <c r="B18" s="37"/>
      <c r="C18" s="37"/>
      <c r="D18" s="37"/>
      <c r="E18" s="37"/>
      <c r="F18" s="37"/>
      <c r="G18" s="37"/>
      <c r="H18" s="37"/>
      <c r="I18" s="37"/>
      <c r="J18" s="37"/>
      <c r="K18" s="37" t="s">
        <v>152</v>
      </c>
      <c r="L18" s="37"/>
      <c r="M18" s="37"/>
    </row>
    <row r="19" spans="1:13">
      <c r="A19" s="37"/>
      <c r="B19" s="37"/>
      <c r="C19" s="37"/>
      <c r="D19" s="37"/>
      <c r="E19" s="37"/>
      <c r="F19" s="37"/>
      <c r="G19" s="37"/>
      <c r="H19" s="37"/>
      <c r="I19" s="37"/>
      <c r="J19" s="37"/>
      <c r="K19" s="37" t="s">
        <v>152</v>
      </c>
      <c r="L19" s="37"/>
      <c r="M19" s="37"/>
    </row>
    <row r="20" spans="1:13">
      <c r="A20" s="37"/>
      <c r="B20" s="37"/>
      <c r="C20" s="37"/>
      <c r="D20" s="37"/>
      <c r="E20" s="37"/>
      <c r="F20" s="37"/>
      <c r="G20" s="37"/>
      <c r="H20" s="37"/>
      <c r="I20" s="37"/>
      <c r="J20" s="37"/>
      <c r="K20" s="37" t="s">
        <v>152</v>
      </c>
      <c r="L20" s="37"/>
      <c r="M20" s="37"/>
    </row>
    <row r="21" spans="1:13">
      <c r="A21" s="37"/>
      <c r="B21" s="37"/>
      <c r="C21" s="37"/>
      <c r="D21" s="37"/>
      <c r="E21" s="37"/>
      <c r="F21" s="37"/>
      <c r="G21" s="37"/>
      <c r="H21" s="37"/>
      <c r="I21" s="37"/>
      <c r="J21" s="37"/>
      <c r="K21" s="37" t="s">
        <v>152</v>
      </c>
      <c r="L21" s="37"/>
      <c r="M21" s="37"/>
    </row>
    <row r="22" spans="1:13">
      <c r="A22" s="46"/>
      <c r="B22" s="46"/>
      <c r="C22" s="46"/>
      <c r="D22" s="46"/>
      <c r="E22" s="46"/>
      <c r="F22" s="46"/>
      <c r="G22" s="46"/>
      <c r="H22" s="46"/>
      <c r="I22" s="46"/>
      <c r="J22" s="46"/>
      <c r="K22" s="46"/>
      <c r="L22" s="46"/>
      <c r="M22" s="46"/>
    </row>
  </sheetData>
  <mergeCells count="1">
    <mergeCell ref="A1:M1"/>
  </mergeCells>
  <dataValidations count="2">
    <dataValidation type="list" allowBlank="1" sqref="H8:H21" xr:uid="{00000000-0002-0000-1400-000000000000}">
      <formula1>"Not Started,Approved,Conditional,Rejected,Needs Review,Not Applicable"</formula1>
    </dataValidation>
    <dataValidation type="list" allowBlank="1" sqref="K8:K21" xr:uid="{00000000-0002-0000-1400-000001000000}">
      <formula1>"Not Started,In Progress,Needs Review,Complete,Not Applicable,Blocked"</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N28"/>
  <sheetViews>
    <sheetView showGridLines="0" workbookViewId="0">
      <selection activeCell="G12" sqref="G12"/>
    </sheetView>
  </sheetViews>
  <sheetFormatPr defaultRowHeight="15"/>
  <cols>
    <col min="1" max="2" width="18" customWidth="1"/>
    <col min="3" max="3" width="24" customWidth="1"/>
    <col min="4" max="4" width="16" customWidth="1"/>
    <col min="5" max="5" width="20" customWidth="1"/>
    <col min="6" max="6" width="16" customWidth="1"/>
    <col min="7" max="7" width="22" customWidth="1"/>
    <col min="8" max="8" width="28" customWidth="1"/>
    <col min="9" max="9" width="20" customWidth="1"/>
    <col min="10" max="10" width="30" customWidth="1"/>
    <col min="11" max="11" width="20" customWidth="1"/>
    <col min="12" max="12" width="18" customWidth="1"/>
    <col min="13" max="13" width="20" customWidth="1"/>
    <col min="14" max="14" width="32" customWidth="1"/>
  </cols>
  <sheetData>
    <row r="1" spans="1:14" s="48" customFormat="1">
      <c r="A1" s="176" t="s">
        <v>1943</v>
      </c>
      <c r="B1" s="176"/>
      <c r="C1" s="176"/>
      <c r="D1" s="176"/>
      <c r="E1" s="176"/>
      <c r="F1" s="176"/>
      <c r="G1" s="176"/>
      <c r="H1" s="176"/>
      <c r="I1" s="176"/>
      <c r="J1" s="176"/>
      <c r="K1" s="176"/>
      <c r="L1" s="176"/>
      <c r="M1" s="176"/>
      <c r="N1" s="176"/>
    </row>
    <row r="2" spans="1:14" ht="24" customHeight="1">
      <c r="A2" s="56" t="s">
        <v>0</v>
      </c>
      <c r="B2" s="56"/>
      <c r="C2" s="56"/>
      <c r="D2" s="56"/>
      <c r="E2" s="56"/>
      <c r="F2" s="56"/>
      <c r="G2" s="56"/>
      <c r="H2" s="56"/>
      <c r="I2" s="56"/>
      <c r="J2" s="56"/>
      <c r="K2" s="56"/>
      <c r="L2" s="56"/>
      <c r="M2" s="56"/>
      <c r="N2" s="56"/>
    </row>
    <row r="3" spans="1:14" ht="30" customHeight="1">
      <c r="A3" s="45" t="s">
        <v>1944</v>
      </c>
      <c r="B3" s="45"/>
      <c r="C3" s="45"/>
      <c r="D3" s="45"/>
      <c r="E3" s="45"/>
      <c r="F3" s="45"/>
      <c r="G3" s="45"/>
      <c r="H3" s="45"/>
      <c r="I3" s="45"/>
      <c r="J3" s="45"/>
      <c r="K3" s="45"/>
      <c r="L3" s="45"/>
      <c r="M3" s="45"/>
      <c r="N3" s="45"/>
    </row>
    <row r="4" spans="1:14" ht="30" customHeight="1">
      <c r="A4" s="44" t="s">
        <v>1945</v>
      </c>
      <c r="B4" s="44"/>
      <c r="C4" s="44"/>
      <c r="D4" s="44"/>
      <c r="E4" s="44"/>
      <c r="F4" s="44"/>
      <c r="G4" s="44"/>
      <c r="H4" s="44"/>
      <c r="I4" s="44"/>
      <c r="J4" s="44"/>
      <c r="K4" s="44"/>
      <c r="L4" s="44"/>
      <c r="M4" s="44"/>
      <c r="N4" s="44"/>
    </row>
    <row r="5" spans="1:14">
      <c r="A5" s="46"/>
      <c r="B5" s="46"/>
      <c r="C5" s="46"/>
      <c r="D5" s="46"/>
      <c r="E5" s="46"/>
      <c r="F5" s="46"/>
      <c r="G5" s="46"/>
      <c r="H5" s="46"/>
      <c r="I5" s="46"/>
      <c r="J5" s="46"/>
      <c r="K5" s="46"/>
      <c r="L5" s="46"/>
      <c r="M5" s="46"/>
      <c r="N5" s="46"/>
    </row>
    <row r="6" spans="1:14" ht="21.95" customHeight="1">
      <c r="A6" s="57" t="s">
        <v>1946</v>
      </c>
      <c r="B6" s="57"/>
      <c r="C6" s="57"/>
      <c r="D6" s="57"/>
      <c r="E6" s="57"/>
      <c r="F6" s="57"/>
      <c r="G6" s="57"/>
      <c r="H6" s="57"/>
      <c r="I6" s="57"/>
      <c r="J6" s="57"/>
      <c r="K6" s="57"/>
      <c r="L6" s="57"/>
      <c r="M6" s="57"/>
      <c r="N6" s="57"/>
    </row>
    <row r="7" spans="1:14" ht="33.950000000000003" customHeight="1">
      <c r="A7" s="36" t="s">
        <v>1757</v>
      </c>
      <c r="B7" s="36" t="s">
        <v>1019</v>
      </c>
      <c r="C7" s="36" t="s">
        <v>1947</v>
      </c>
      <c r="D7" s="36" t="s">
        <v>1948</v>
      </c>
      <c r="E7" s="36" t="s">
        <v>1949</v>
      </c>
      <c r="F7" s="36" t="s">
        <v>1950</v>
      </c>
      <c r="G7" s="36" t="s">
        <v>322</v>
      </c>
      <c r="H7" s="36" t="s">
        <v>1938</v>
      </c>
      <c r="I7" s="36" t="s">
        <v>1951</v>
      </c>
      <c r="J7" s="36" t="s">
        <v>1941</v>
      </c>
      <c r="K7" s="36" t="s">
        <v>1952</v>
      </c>
      <c r="L7" s="36" t="s">
        <v>145</v>
      </c>
      <c r="M7" s="36" t="s">
        <v>144</v>
      </c>
      <c r="N7" s="36" t="s">
        <v>70</v>
      </c>
    </row>
    <row r="8" spans="1:14">
      <c r="A8" s="37"/>
      <c r="B8" s="37"/>
      <c r="C8" s="37"/>
      <c r="D8" s="37"/>
      <c r="E8" s="37"/>
      <c r="F8" s="37"/>
      <c r="G8" s="37"/>
      <c r="H8" s="37"/>
      <c r="I8" s="37"/>
      <c r="J8" s="37"/>
      <c r="K8" s="37"/>
      <c r="L8" s="37" t="s">
        <v>152</v>
      </c>
      <c r="M8" s="37"/>
      <c r="N8" s="37"/>
    </row>
    <row r="9" spans="1:14">
      <c r="A9" s="37"/>
      <c r="B9" s="37"/>
      <c r="C9" s="37"/>
      <c r="D9" s="37"/>
      <c r="E9" s="37"/>
      <c r="F9" s="37"/>
      <c r="G9" s="37"/>
      <c r="H9" s="37"/>
      <c r="I9" s="37"/>
      <c r="J9" s="37"/>
      <c r="K9" s="37"/>
      <c r="L9" s="37" t="s">
        <v>152</v>
      </c>
      <c r="M9" s="37"/>
      <c r="N9" s="37"/>
    </row>
    <row r="10" spans="1:14">
      <c r="A10" s="37"/>
      <c r="B10" s="37"/>
      <c r="C10" s="37"/>
      <c r="D10" s="37"/>
      <c r="E10" s="37"/>
      <c r="F10" s="37"/>
      <c r="G10" s="37"/>
      <c r="H10" s="37"/>
      <c r="I10" s="37"/>
      <c r="J10" s="37"/>
      <c r="K10" s="37"/>
      <c r="L10" s="37" t="s">
        <v>152</v>
      </c>
      <c r="M10" s="37"/>
      <c r="N10" s="37"/>
    </row>
    <row r="11" spans="1:14">
      <c r="A11" s="37"/>
      <c r="B11" s="37"/>
      <c r="C11" s="37"/>
      <c r="D11" s="37"/>
      <c r="E11" s="37"/>
      <c r="F11" s="37"/>
      <c r="G11" s="37"/>
      <c r="H11" s="37"/>
      <c r="I11" s="37"/>
      <c r="J11" s="37"/>
      <c r="K11" s="37"/>
      <c r="L11" s="37" t="s">
        <v>152</v>
      </c>
      <c r="M11" s="37"/>
      <c r="N11" s="37"/>
    </row>
    <row r="12" spans="1:14">
      <c r="A12" s="37"/>
      <c r="B12" s="37"/>
      <c r="C12" s="37"/>
      <c r="D12" s="37"/>
      <c r="E12" s="37"/>
      <c r="F12" s="37"/>
      <c r="G12" s="37"/>
      <c r="H12" s="37"/>
      <c r="I12" s="37"/>
      <c r="J12" s="37"/>
      <c r="K12" s="37"/>
      <c r="L12" s="37" t="s">
        <v>152</v>
      </c>
      <c r="M12" s="37"/>
      <c r="N12" s="37"/>
    </row>
    <row r="13" spans="1:14">
      <c r="A13" s="37"/>
      <c r="B13" s="37"/>
      <c r="C13" s="37"/>
      <c r="D13" s="37"/>
      <c r="E13" s="37"/>
      <c r="F13" s="37"/>
      <c r="G13" s="37"/>
      <c r="H13" s="37"/>
      <c r="I13" s="37"/>
      <c r="J13" s="37"/>
      <c r="K13" s="37"/>
      <c r="L13" s="37" t="s">
        <v>152</v>
      </c>
      <c r="M13" s="37"/>
      <c r="N13" s="37"/>
    </row>
    <row r="14" spans="1:14">
      <c r="A14" s="37"/>
      <c r="B14" s="37"/>
      <c r="C14" s="37"/>
      <c r="D14" s="37"/>
      <c r="E14" s="37"/>
      <c r="F14" s="37"/>
      <c r="G14" s="37"/>
      <c r="H14" s="37"/>
      <c r="I14" s="37"/>
      <c r="J14" s="37"/>
      <c r="K14" s="37"/>
      <c r="L14" s="37" t="s">
        <v>152</v>
      </c>
      <c r="M14" s="37"/>
      <c r="N14" s="37"/>
    </row>
    <row r="15" spans="1:14">
      <c r="A15" s="37"/>
      <c r="B15" s="37"/>
      <c r="C15" s="37"/>
      <c r="D15" s="37"/>
      <c r="E15" s="37"/>
      <c r="F15" s="37"/>
      <c r="G15" s="37"/>
      <c r="H15" s="37"/>
      <c r="I15" s="37"/>
      <c r="J15" s="37"/>
      <c r="K15" s="37"/>
      <c r="L15" s="37" t="s">
        <v>152</v>
      </c>
      <c r="M15" s="37"/>
      <c r="N15" s="37"/>
    </row>
    <row r="16" spans="1:14">
      <c r="A16" s="37"/>
      <c r="B16" s="37"/>
      <c r="C16" s="37"/>
      <c r="D16" s="37"/>
      <c r="E16" s="37"/>
      <c r="F16" s="37"/>
      <c r="G16" s="37"/>
      <c r="H16" s="37"/>
      <c r="I16" s="37"/>
      <c r="J16" s="37"/>
      <c r="K16" s="37"/>
      <c r="L16" s="37" t="s">
        <v>152</v>
      </c>
      <c r="M16" s="37"/>
      <c r="N16" s="37"/>
    </row>
    <row r="17" spans="1:14">
      <c r="A17" s="37"/>
      <c r="B17" s="37"/>
      <c r="C17" s="37"/>
      <c r="D17" s="37"/>
      <c r="E17" s="37"/>
      <c r="F17" s="37"/>
      <c r="G17" s="37"/>
      <c r="H17" s="37"/>
      <c r="I17" s="37"/>
      <c r="J17" s="37"/>
      <c r="K17" s="37"/>
      <c r="L17" s="37" t="s">
        <v>152</v>
      </c>
      <c r="M17" s="37"/>
      <c r="N17" s="37"/>
    </row>
    <row r="18" spans="1:14">
      <c r="A18" s="37"/>
      <c r="B18" s="37"/>
      <c r="C18" s="37"/>
      <c r="D18" s="37"/>
      <c r="E18" s="37"/>
      <c r="F18" s="37"/>
      <c r="G18" s="37"/>
      <c r="H18" s="37"/>
      <c r="I18" s="37"/>
      <c r="J18" s="37"/>
      <c r="K18" s="37"/>
      <c r="L18" s="37" t="s">
        <v>152</v>
      </c>
      <c r="M18" s="37"/>
      <c r="N18" s="37"/>
    </row>
    <row r="19" spans="1:14">
      <c r="A19" s="37"/>
      <c r="B19" s="37"/>
      <c r="C19" s="37"/>
      <c r="D19" s="37"/>
      <c r="E19" s="37"/>
      <c r="F19" s="37"/>
      <c r="G19" s="37"/>
      <c r="H19" s="37"/>
      <c r="I19" s="37"/>
      <c r="J19" s="37"/>
      <c r="K19" s="37"/>
      <c r="L19" s="37" t="s">
        <v>152</v>
      </c>
      <c r="M19" s="37"/>
      <c r="N19" s="37"/>
    </row>
    <row r="20" spans="1:14">
      <c r="A20" s="37"/>
      <c r="B20" s="37"/>
      <c r="C20" s="37"/>
      <c r="D20" s="37"/>
      <c r="E20" s="37"/>
      <c r="F20" s="37"/>
      <c r="G20" s="37"/>
      <c r="H20" s="37"/>
      <c r="I20" s="37"/>
      <c r="J20" s="37"/>
      <c r="K20" s="37"/>
      <c r="L20" s="37" t="s">
        <v>152</v>
      </c>
      <c r="M20" s="37"/>
      <c r="N20" s="37"/>
    </row>
    <row r="21" spans="1:14">
      <c r="A21" s="37"/>
      <c r="B21" s="37"/>
      <c r="C21" s="37"/>
      <c r="D21" s="37"/>
      <c r="E21" s="37"/>
      <c r="F21" s="37"/>
      <c r="G21" s="37"/>
      <c r="H21" s="37"/>
      <c r="I21" s="37"/>
      <c r="J21" s="37"/>
      <c r="K21" s="37"/>
      <c r="L21" s="37" t="s">
        <v>152</v>
      </c>
      <c r="M21" s="37"/>
      <c r="N21" s="37"/>
    </row>
    <row r="22" spans="1:14">
      <c r="A22" s="37"/>
      <c r="B22" s="37"/>
      <c r="C22" s="37"/>
      <c r="D22" s="37"/>
      <c r="E22" s="37"/>
      <c r="F22" s="37"/>
      <c r="G22" s="37"/>
      <c r="H22" s="37"/>
      <c r="I22" s="37"/>
      <c r="J22" s="37"/>
      <c r="K22" s="37"/>
      <c r="L22" s="37" t="s">
        <v>152</v>
      </c>
      <c r="M22" s="37"/>
      <c r="N22" s="37"/>
    </row>
    <row r="23" spans="1:14">
      <c r="A23" s="37"/>
      <c r="B23" s="37"/>
      <c r="C23" s="37"/>
      <c r="D23" s="37"/>
      <c r="E23" s="37"/>
      <c r="F23" s="37"/>
      <c r="G23" s="37"/>
      <c r="H23" s="37"/>
      <c r="I23" s="37"/>
      <c r="J23" s="37"/>
      <c r="K23" s="37"/>
      <c r="L23" s="37" t="s">
        <v>152</v>
      </c>
      <c r="M23" s="37"/>
      <c r="N23" s="37"/>
    </row>
    <row r="24" spans="1:14">
      <c r="A24" s="37"/>
      <c r="B24" s="37"/>
      <c r="C24" s="37"/>
      <c r="D24" s="37"/>
      <c r="E24" s="37"/>
      <c r="F24" s="37"/>
      <c r="G24" s="37"/>
      <c r="H24" s="37"/>
      <c r="I24" s="37"/>
      <c r="J24" s="37"/>
      <c r="K24" s="37"/>
      <c r="L24" s="37" t="s">
        <v>152</v>
      </c>
      <c r="M24" s="37"/>
      <c r="N24" s="37"/>
    </row>
    <row r="25" spans="1:14">
      <c r="A25" s="37"/>
      <c r="B25" s="37"/>
      <c r="C25" s="37"/>
      <c r="D25" s="37"/>
      <c r="E25" s="37"/>
      <c r="F25" s="37"/>
      <c r="G25" s="37"/>
      <c r="H25" s="37"/>
      <c r="I25" s="37"/>
      <c r="J25" s="37"/>
      <c r="K25" s="37"/>
      <c r="L25" s="37" t="s">
        <v>152</v>
      </c>
      <c r="M25" s="37"/>
      <c r="N25" s="37"/>
    </row>
    <row r="26" spans="1:14">
      <c r="A26" s="37"/>
      <c r="B26" s="37"/>
      <c r="C26" s="37"/>
      <c r="D26" s="37"/>
      <c r="E26" s="37"/>
      <c r="F26" s="37"/>
      <c r="G26" s="37"/>
      <c r="H26" s="37"/>
      <c r="I26" s="37"/>
      <c r="J26" s="37"/>
      <c r="K26" s="37"/>
      <c r="L26" s="37" t="s">
        <v>152</v>
      </c>
      <c r="M26" s="37"/>
      <c r="N26" s="37"/>
    </row>
    <row r="27" spans="1:14">
      <c r="A27" s="37"/>
      <c r="B27" s="37"/>
      <c r="C27" s="37"/>
      <c r="D27" s="37"/>
      <c r="E27" s="37"/>
      <c r="F27" s="37"/>
      <c r="G27" s="37"/>
      <c r="H27" s="37"/>
      <c r="I27" s="37"/>
      <c r="J27" s="37"/>
      <c r="K27" s="37"/>
      <c r="L27" s="37" t="s">
        <v>152</v>
      </c>
      <c r="M27" s="37"/>
      <c r="N27" s="37"/>
    </row>
    <row r="28" spans="1:14">
      <c r="A28" s="46"/>
      <c r="B28" s="46"/>
      <c r="C28" s="46"/>
      <c r="D28" s="46"/>
      <c r="E28" s="46"/>
      <c r="F28" s="46"/>
      <c r="G28" s="46"/>
      <c r="H28" s="46"/>
      <c r="I28" s="46"/>
      <c r="J28" s="46"/>
      <c r="K28" s="46"/>
      <c r="L28" s="46"/>
      <c r="M28" s="46"/>
      <c r="N28" s="46"/>
    </row>
  </sheetData>
  <mergeCells count="1">
    <mergeCell ref="A1:N1"/>
  </mergeCells>
  <dataValidations count="2">
    <dataValidation type="list" allowBlank="1" sqref="K8:K27" xr:uid="{00000000-0002-0000-1500-000000000000}">
      <formula1>"Not Started,Approved,Conditional,Rejected,Needs Review,Not Applicable"</formula1>
    </dataValidation>
    <dataValidation type="list" allowBlank="1" sqref="L8:L27" xr:uid="{00000000-0002-0000-1500-000001000000}">
      <formula1>"Not Started,In Progress,Needs Review,Complete,Not Applicable,Blocked"</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2E75B6"/>
  </sheetPr>
  <dimension ref="A1:V121"/>
  <sheetViews>
    <sheetView showGridLines="0" topLeftCell="A9" workbookViewId="0">
      <selection activeCell="A8" sqref="A8"/>
    </sheetView>
  </sheetViews>
  <sheetFormatPr defaultRowHeight="15"/>
  <cols>
    <col min="1" max="1" width="14" customWidth="1"/>
    <col min="2" max="2" width="18" customWidth="1"/>
    <col min="3" max="3" width="24" customWidth="1"/>
    <col min="4" max="5" width="28" customWidth="1"/>
    <col min="6" max="6" width="22" customWidth="1"/>
    <col min="7" max="7" width="28" customWidth="1"/>
    <col min="8" max="8" width="20" customWidth="1"/>
    <col min="9" max="9" width="22" customWidth="1"/>
    <col min="10" max="11" width="30" customWidth="1"/>
    <col min="12" max="12" width="18" customWidth="1"/>
    <col min="13" max="13" width="20" customWidth="1"/>
    <col min="14" max="15" width="16" customWidth="1"/>
    <col min="16" max="16" width="24" customWidth="1"/>
    <col min="17" max="17" width="16" customWidth="1"/>
    <col min="18" max="18" width="24" customWidth="1"/>
    <col min="19" max="19" width="28" customWidth="1"/>
    <col min="20" max="21" width="18" customWidth="1"/>
    <col min="22" max="22" width="35" customWidth="1"/>
  </cols>
  <sheetData>
    <row r="1" spans="1:22" s="48" customFormat="1">
      <c r="A1" s="177" t="s">
        <v>1953</v>
      </c>
      <c r="B1" s="177"/>
      <c r="C1" s="177"/>
      <c r="D1" s="177"/>
      <c r="E1" s="177"/>
      <c r="F1" s="177"/>
      <c r="G1" s="177"/>
      <c r="H1" s="177"/>
      <c r="I1" s="177"/>
      <c r="J1" s="177"/>
      <c r="K1" s="177"/>
      <c r="L1" s="177"/>
      <c r="M1" s="177"/>
      <c r="N1" s="177"/>
      <c r="O1" s="177"/>
      <c r="P1" s="177"/>
      <c r="Q1" s="177"/>
      <c r="R1" s="177"/>
      <c r="S1" s="177"/>
      <c r="T1" s="177"/>
      <c r="U1" s="177"/>
      <c r="V1" s="177"/>
    </row>
    <row r="2" spans="1:22" ht="24" customHeight="1">
      <c r="A2" s="56" t="s">
        <v>0</v>
      </c>
      <c r="B2" s="56"/>
      <c r="C2" s="56"/>
      <c r="D2" s="56"/>
      <c r="E2" s="56"/>
      <c r="F2" s="56"/>
      <c r="G2" s="56"/>
      <c r="H2" s="56"/>
      <c r="I2" s="56"/>
      <c r="J2" s="56"/>
      <c r="K2" s="56"/>
      <c r="L2" s="56"/>
      <c r="M2" s="56"/>
      <c r="N2" s="56"/>
      <c r="O2" s="56"/>
      <c r="P2" s="48"/>
      <c r="Q2" s="48"/>
      <c r="R2" s="48"/>
      <c r="S2" s="48"/>
      <c r="T2" s="48"/>
      <c r="U2" s="48"/>
      <c r="V2" s="48"/>
    </row>
    <row r="3" spans="1:22" ht="30" customHeight="1">
      <c r="A3" s="168" t="s">
        <v>698</v>
      </c>
      <c r="B3" s="193"/>
      <c r="C3" s="193"/>
      <c r="D3" s="193"/>
      <c r="E3" s="193"/>
      <c r="F3" s="193"/>
      <c r="G3" s="193"/>
      <c r="H3" s="193"/>
      <c r="I3" s="193"/>
      <c r="J3" s="193"/>
      <c r="K3" s="193"/>
      <c r="L3" s="193"/>
      <c r="M3" s="193"/>
      <c r="N3" s="193"/>
      <c r="O3" s="193"/>
      <c r="P3" s="193"/>
      <c r="Q3" s="193"/>
      <c r="R3" s="193"/>
      <c r="S3" s="193"/>
      <c r="T3" s="193"/>
      <c r="U3" s="193"/>
      <c r="V3" s="193"/>
    </row>
    <row r="4" spans="1:22" ht="30" customHeight="1">
      <c r="A4" s="167" t="s">
        <v>1954</v>
      </c>
      <c r="B4" s="193"/>
      <c r="C4" s="193"/>
      <c r="D4" s="193"/>
      <c r="E4" s="193"/>
      <c r="F4" s="193"/>
      <c r="G4" s="193"/>
      <c r="H4" s="193"/>
      <c r="I4" s="193"/>
      <c r="J4" s="193"/>
      <c r="K4" s="193"/>
      <c r="L4" s="193"/>
      <c r="M4" s="193"/>
      <c r="N4" s="193"/>
      <c r="O4" s="193"/>
      <c r="P4" s="193"/>
      <c r="Q4" s="193"/>
      <c r="R4" s="193"/>
      <c r="S4" s="193"/>
      <c r="T4" s="193"/>
      <c r="U4" s="193"/>
      <c r="V4" s="193"/>
    </row>
    <row r="5" spans="1:22">
      <c r="A5" s="46"/>
      <c r="B5" s="46"/>
      <c r="C5" s="46"/>
      <c r="D5" s="46"/>
      <c r="E5" s="46"/>
      <c r="F5" s="46"/>
      <c r="G5" s="46"/>
      <c r="H5" s="46"/>
      <c r="I5" s="46"/>
      <c r="J5" s="46"/>
      <c r="K5" s="46"/>
      <c r="L5" s="46"/>
      <c r="M5" s="46"/>
      <c r="N5" s="46"/>
      <c r="O5" s="46"/>
      <c r="P5" s="48"/>
      <c r="Q5" s="48"/>
      <c r="R5" s="48"/>
      <c r="S5" s="48"/>
      <c r="T5" s="48"/>
      <c r="U5" s="48"/>
      <c r="V5" s="48"/>
    </row>
    <row r="6" spans="1:22" ht="21.95" customHeight="1">
      <c r="A6" s="57" t="s">
        <v>1955</v>
      </c>
      <c r="B6" s="57"/>
      <c r="C6" s="57"/>
      <c r="D6" s="57"/>
      <c r="E6" s="57"/>
      <c r="F6" s="57"/>
      <c r="G6" s="57"/>
      <c r="H6" s="57"/>
      <c r="I6" s="57"/>
      <c r="J6" s="57"/>
      <c r="K6" s="57"/>
      <c r="L6" s="57"/>
      <c r="M6" s="57"/>
      <c r="N6" s="57"/>
      <c r="O6" s="57"/>
      <c r="P6" s="48"/>
      <c r="Q6" s="48"/>
      <c r="R6" s="48"/>
      <c r="S6" s="48"/>
      <c r="T6" s="48"/>
      <c r="U6" s="48"/>
      <c r="V6" s="48"/>
    </row>
    <row r="7" spans="1:22" ht="33.950000000000003" customHeight="1">
      <c r="A7" s="36" t="s">
        <v>1956</v>
      </c>
      <c r="B7" s="36" t="s">
        <v>1757</v>
      </c>
      <c r="C7" s="36" t="s">
        <v>1646</v>
      </c>
      <c r="D7" s="36" t="s">
        <v>1957</v>
      </c>
      <c r="E7" s="36" t="s">
        <v>1958</v>
      </c>
      <c r="F7" s="36" t="s">
        <v>1959</v>
      </c>
      <c r="G7" s="36" t="s">
        <v>1938</v>
      </c>
      <c r="H7" s="36" t="s">
        <v>1939</v>
      </c>
      <c r="I7" s="36" t="s">
        <v>1940</v>
      </c>
      <c r="J7" s="36" t="s">
        <v>1941</v>
      </c>
      <c r="K7" s="36" t="s">
        <v>1942</v>
      </c>
      <c r="L7" s="36" t="s">
        <v>145</v>
      </c>
      <c r="M7" s="36" t="s">
        <v>144</v>
      </c>
      <c r="N7" s="36" t="s">
        <v>1960</v>
      </c>
      <c r="O7" s="36" t="s">
        <v>1961</v>
      </c>
      <c r="P7" s="48"/>
      <c r="Q7" s="48"/>
      <c r="R7" s="48"/>
      <c r="S7" s="48"/>
      <c r="T7" s="48"/>
      <c r="U7" s="48"/>
      <c r="V7" s="48"/>
    </row>
    <row r="8" spans="1:22" ht="30" customHeight="1">
      <c r="A8" s="37" t="s">
        <v>1962</v>
      </c>
      <c r="B8" s="37"/>
      <c r="C8" s="37"/>
      <c r="D8" s="37"/>
      <c r="E8" s="37"/>
      <c r="F8" s="37"/>
      <c r="G8" s="37"/>
      <c r="H8" s="37"/>
      <c r="I8" s="37"/>
      <c r="J8" s="37"/>
      <c r="K8" s="37"/>
      <c r="L8" s="37" t="s">
        <v>152</v>
      </c>
      <c r="M8" s="37"/>
      <c r="N8" s="37"/>
      <c r="O8" s="37"/>
      <c r="P8" s="48"/>
      <c r="Q8" s="48"/>
      <c r="R8" s="48"/>
      <c r="S8" s="48"/>
      <c r="T8" s="48"/>
      <c r="U8" s="48"/>
      <c r="V8" s="48"/>
    </row>
    <row r="9" spans="1:22" ht="30" customHeight="1">
      <c r="A9" s="37" t="s">
        <v>1963</v>
      </c>
      <c r="B9" s="37"/>
      <c r="C9" s="37"/>
      <c r="D9" s="37"/>
      <c r="E9" s="37"/>
      <c r="F9" s="37"/>
      <c r="G9" s="37"/>
      <c r="H9" s="37"/>
      <c r="I9" s="37"/>
      <c r="J9" s="37"/>
      <c r="K9" s="37"/>
      <c r="L9" s="37" t="s">
        <v>152</v>
      </c>
      <c r="M9" s="37"/>
      <c r="N9" s="37"/>
      <c r="O9" s="37"/>
      <c r="P9" s="48"/>
      <c r="Q9" s="48"/>
      <c r="R9" s="48"/>
      <c r="S9" s="48"/>
      <c r="T9" s="48"/>
      <c r="U9" s="48"/>
      <c r="V9" s="48"/>
    </row>
    <row r="10" spans="1:22" ht="30" customHeight="1">
      <c r="A10" s="37" t="s">
        <v>1964</v>
      </c>
      <c r="B10" s="37"/>
      <c r="C10" s="37"/>
      <c r="D10" s="37"/>
      <c r="E10" s="37"/>
      <c r="F10" s="37"/>
      <c r="G10" s="37"/>
      <c r="H10" s="37"/>
      <c r="I10" s="37"/>
      <c r="J10" s="37"/>
      <c r="K10" s="37"/>
      <c r="L10" s="37" t="s">
        <v>152</v>
      </c>
      <c r="M10" s="37"/>
      <c r="N10" s="37"/>
      <c r="O10" s="37"/>
      <c r="P10" s="48"/>
      <c r="Q10" s="48"/>
      <c r="R10" s="48"/>
      <c r="S10" s="48"/>
      <c r="T10" s="48"/>
      <c r="U10" s="48"/>
      <c r="V10" s="48"/>
    </row>
    <row r="11" spans="1:22" ht="30" customHeight="1">
      <c r="A11" s="37" t="s">
        <v>1965</v>
      </c>
      <c r="B11" s="37"/>
      <c r="C11" s="37"/>
      <c r="D11" s="37"/>
      <c r="E11" s="37"/>
      <c r="F11" s="37"/>
      <c r="G11" s="37"/>
      <c r="H11" s="37"/>
      <c r="I11" s="37"/>
      <c r="J11" s="37"/>
      <c r="K11" s="37"/>
      <c r="L11" s="37" t="s">
        <v>152</v>
      </c>
      <c r="M11" s="37"/>
      <c r="N11" s="37"/>
      <c r="O11" s="37"/>
      <c r="P11" s="48"/>
      <c r="Q11" s="48"/>
      <c r="R11" s="48"/>
      <c r="S11" s="48"/>
      <c r="T11" s="48"/>
      <c r="U11" s="48"/>
      <c r="V11" s="48"/>
    </row>
    <row r="12" spans="1:22" ht="30" customHeight="1">
      <c r="A12" s="37" t="s">
        <v>1966</v>
      </c>
      <c r="B12" s="37"/>
      <c r="C12" s="37"/>
      <c r="D12" s="37"/>
      <c r="E12" s="37"/>
      <c r="F12" s="37"/>
      <c r="G12" s="37"/>
      <c r="H12" s="37"/>
      <c r="I12" s="37"/>
      <c r="J12" s="37"/>
      <c r="K12" s="37"/>
      <c r="L12" s="37" t="s">
        <v>152</v>
      </c>
      <c r="M12" s="37"/>
      <c r="N12" s="37"/>
      <c r="O12" s="37"/>
      <c r="P12" s="48"/>
      <c r="Q12" s="48"/>
      <c r="R12" s="48"/>
      <c r="S12" s="48"/>
      <c r="T12" s="48"/>
      <c r="U12" s="48"/>
      <c r="V12" s="48"/>
    </row>
    <row r="13" spans="1:22" ht="30" customHeight="1">
      <c r="A13" s="37" t="s">
        <v>1967</v>
      </c>
      <c r="B13" s="37"/>
      <c r="C13" s="37"/>
      <c r="D13" s="37"/>
      <c r="E13" s="37"/>
      <c r="F13" s="37"/>
      <c r="G13" s="37"/>
      <c r="H13" s="37"/>
      <c r="I13" s="37"/>
      <c r="J13" s="37"/>
      <c r="K13" s="37"/>
      <c r="L13" s="37" t="s">
        <v>152</v>
      </c>
      <c r="M13" s="37"/>
      <c r="N13" s="37"/>
      <c r="O13" s="37"/>
      <c r="P13" s="48"/>
      <c r="Q13" s="48"/>
      <c r="R13" s="48"/>
      <c r="S13" s="48"/>
      <c r="T13" s="48"/>
      <c r="U13" s="48"/>
      <c r="V13" s="48"/>
    </row>
    <row r="14" spans="1:22" ht="30" customHeight="1">
      <c r="A14" s="37" t="s">
        <v>1968</v>
      </c>
      <c r="B14" s="37"/>
      <c r="C14" s="37"/>
      <c r="D14" s="37"/>
      <c r="E14" s="37"/>
      <c r="F14" s="37"/>
      <c r="G14" s="37"/>
      <c r="H14" s="37"/>
      <c r="I14" s="37"/>
      <c r="J14" s="37"/>
      <c r="K14" s="37"/>
      <c r="L14" s="37" t="s">
        <v>152</v>
      </c>
      <c r="M14" s="37"/>
      <c r="N14" s="37"/>
      <c r="O14" s="37"/>
      <c r="P14" s="48"/>
      <c r="Q14" s="48"/>
      <c r="R14" s="48"/>
      <c r="S14" s="48"/>
      <c r="T14" s="48"/>
      <c r="U14" s="48"/>
      <c r="V14" s="48"/>
    </row>
    <row r="15" spans="1:22" ht="30" customHeight="1">
      <c r="A15" s="37" t="s">
        <v>1969</v>
      </c>
      <c r="B15" s="37"/>
      <c r="C15" s="37"/>
      <c r="D15" s="37"/>
      <c r="E15" s="37"/>
      <c r="F15" s="37"/>
      <c r="G15" s="37"/>
      <c r="H15" s="37"/>
      <c r="I15" s="37"/>
      <c r="J15" s="37"/>
      <c r="K15" s="37"/>
      <c r="L15" s="37" t="s">
        <v>152</v>
      </c>
      <c r="M15" s="37"/>
      <c r="N15" s="37"/>
      <c r="O15" s="37"/>
      <c r="P15" s="48"/>
      <c r="Q15" s="48"/>
      <c r="R15" s="48"/>
      <c r="S15" s="48"/>
      <c r="T15" s="48"/>
      <c r="U15" s="48"/>
      <c r="V15" s="48"/>
    </row>
    <row r="16" spans="1:22" ht="30" customHeight="1">
      <c r="A16" s="37" t="s">
        <v>1970</v>
      </c>
      <c r="B16" s="37"/>
      <c r="C16" s="37"/>
      <c r="D16" s="37"/>
      <c r="E16" s="37"/>
      <c r="F16" s="37"/>
      <c r="G16" s="37"/>
      <c r="H16" s="37"/>
      <c r="I16" s="37"/>
      <c r="J16" s="37"/>
      <c r="K16" s="37"/>
      <c r="L16" s="37" t="s">
        <v>152</v>
      </c>
      <c r="M16" s="37"/>
      <c r="N16" s="37"/>
      <c r="O16" s="37"/>
      <c r="P16" s="48"/>
      <c r="Q16" s="48"/>
      <c r="R16" s="48"/>
      <c r="S16" s="48"/>
      <c r="T16" s="48"/>
      <c r="U16" s="48"/>
      <c r="V16" s="48"/>
    </row>
    <row r="17" spans="1:22" ht="30" customHeight="1">
      <c r="A17" s="37" t="s">
        <v>1971</v>
      </c>
      <c r="B17" s="37"/>
      <c r="C17" s="37"/>
      <c r="D17" s="37"/>
      <c r="E17" s="37"/>
      <c r="F17" s="37"/>
      <c r="G17" s="37"/>
      <c r="H17" s="37"/>
      <c r="I17" s="37"/>
      <c r="J17" s="37"/>
      <c r="K17" s="37"/>
      <c r="L17" s="37" t="s">
        <v>152</v>
      </c>
      <c r="M17" s="37"/>
      <c r="N17" s="37"/>
      <c r="O17" s="37"/>
      <c r="P17" s="48"/>
      <c r="Q17" s="48"/>
      <c r="R17" s="48"/>
      <c r="S17" s="48"/>
      <c r="T17" s="48"/>
      <c r="U17" s="48"/>
      <c r="V17" s="48"/>
    </row>
    <row r="18" spans="1:22" ht="30" customHeight="1">
      <c r="A18" s="37" t="s">
        <v>1972</v>
      </c>
      <c r="B18" s="37"/>
      <c r="C18" s="37"/>
      <c r="D18" s="37"/>
      <c r="E18" s="37"/>
      <c r="F18" s="37"/>
      <c r="G18" s="37"/>
      <c r="H18" s="37"/>
      <c r="I18" s="37"/>
      <c r="J18" s="37"/>
      <c r="K18" s="37"/>
      <c r="L18" s="37" t="s">
        <v>152</v>
      </c>
      <c r="M18" s="37"/>
      <c r="N18" s="37"/>
      <c r="O18" s="37"/>
      <c r="P18" s="48"/>
      <c r="Q18" s="48"/>
      <c r="R18" s="48"/>
      <c r="S18" s="48"/>
      <c r="T18" s="48"/>
      <c r="U18" s="48"/>
      <c r="V18" s="48"/>
    </row>
    <row r="19" spans="1:22" ht="30" customHeight="1">
      <c r="A19" s="37" t="s">
        <v>1973</v>
      </c>
      <c r="B19" s="37"/>
      <c r="C19" s="37"/>
      <c r="D19" s="37"/>
      <c r="E19" s="37"/>
      <c r="F19" s="37"/>
      <c r="G19" s="37"/>
      <c r="H19" s="37"/>
      <c r="I19" s="37"/>
      <c r="J19" s="37"/>
      <c r="K19" s="37"/>
      <c r="L19" s="37" t="s">
        <v>152</v>
      </c>
      <c r="M19" s="37"/>
      <c r="N19" s="37"/>
      <c r="O19" s="37"/>
      <c r="P19" s="48"/>
      <c r="Q19" s="48"/>
      <c r="R19" s="48"/>
      <c r="S19" s="48"/>
      <c r="T19" s="48"/>
      <c r="U19" s="48"/>
      <c r="V19" s="48"/>
    </row>
    <row r="20" spans="1:22" ht="30" customHeight="1">
      <c r="A20" s="37" t="s">
        <v>1974</v>
      </c>
      <c r="B20" s="37"/>
      <c r="C20" s="37"/>
      <c r="D20" s="37"/>
      <c r="E20" s="37"/>
      <c r="F20" s="37"/>
      <c r="G20" s="37"/>
      <c r="H20" s="37"/>
      <c r="I20" s="37"/>
      <c r="J20" s="37"/>
      <c r="K20" s="37"/>
      <c r="L20" s="37" t="s">
        <v>152</v>
      </c>
      <c r="M20" s="37"/>
      <c r="N20" s="37"/>
      <c r="O20" s="37"/>
      <c r="P20" s="48"/>
      <c r="Q20" s="48"/>
      <c r="R20" s="48"/>
      <c r="S20" s="48"/>
      <c r="T20" s="48"/>
      <c r="U20" s="48"/>
      <c r="V20" s="48"/>
    </row>
    <row r="21" spans="1:22" ht="30" customHeight="1">
      <c r="A21" s="37" t="s">
        <v>1975</v>
      </c>
      <c r="B21" s="37"/>
      <c r="C21" s="37"/>
      <c r="D21" s="37"/>
      <c r="E21" s="37"/>
      <c r="F21" s="37"/>
      <c r="G21" s="37"/>
      <c r="H21" s="37"/>
      <c r="I21" s="37"/>
      <c r="J21" s="37"/>
      <c r="K21" s="37"/>
      <c r="L21" s="37" t="s">
        <v>152</v>
      </c>
      <c r="M21" s="37"/>
      <c r="N21" s="37"/>
      <c r="O21" s="37"/>
      <c r="P21" s="48"/>
      <c r="Q21" s="48"/>
      <c r="R21" s="48"/>
      <c r="S21" s="48"/>
      <c r="T21" s="48"/>
      <c r="U21" s="48"/>
      <c r="V21" s="48"/>
    </row>
    <row r="22" spans="1:22" ht="30" customHeight="1">
      <c r="A22" s="37" t="s">
        <v>1976</v>
      </c>
      <c r="B22" s="37"/>
      <c r="C22" s="37"/>
      <c r="D22" s="37"/>
      <c r="E22" s="37"/>
      <c r="F22" s="37"/>
      <c r="G22" s="37"/>
      <c r="H22" s="37"/>
      <c r="I22" s="37"/>
      <c r="J22" s="37"/>
      <c r="K22" s="37"/>
      <c r="L22" s="37" t="s">
        <v>152</v>
      </c>
      <c r="M22" s="37"/>
      <c r="N22" s="37"/>
      <c r="O22" s="37"/>
      <c r="P22" s="48"/>
      <c r="Q22" s="48"/>
      <c r="R22" s="48"/>
      <c r="S22" s="48"/>
      <c r="T22" s="48"/>
      <c r="U22" s="48"/>
      <c r="V22" s="48"/>
    </row>
    <row r="23" spans="1:22" ht="30" customHeight="1">
      <c r="A23" s="37" t="s">
        <v>1977</v>
      </c>
      <c r="B23" s="37"/>
      <c r="C23" s="37"/>
      <c r="D23" s="37"/>
      <c r="E23" s="37"/>
      <c r="F23" s="37"/>
      <c r="G23" s="37"/>
      <c r="H23" s="37"/>
      <c r="I23" s="37"/>
      <c r="J23" s="37"/>
      <c r="K23" s="37"/>
      <c r="L23" s="37" t="s">
        <v>152</v>
      </c>
      <c r="M23" s="37"/>
      <c r="N23" s="37"/>
      <c r="O23" s="37"/>
      <c r="P23" s="48"/>
      <c r="Q23" s="48"/>
      <c r="R23" s="48"/>
      <c r="S23" s="48"/>
      <c r="T23" s="48"/>
      <c r="U23" s="48"/>
      <c r="V23" s="48"/>
    </row>
    <row r="24" spans="1:22" ht="30" customHeight="1">
      <c r="A24" s="37" t="s">
        <v>1978</v>
      </c>
      <c r="B24" s="37"/>
      <c r="C24" s="37"/>
      <c r="D24" s="37"/>
      <c r="E24" s="37"/>
      <c r="F24" s="37"/>
      <c r="G24" s="37"/>
      <c r="H24" s="37"/>
      <c r="I24" s="37"/>
      <c r="J24" s="37"/>
      <c r="K24" s="37"/>
      <c r="L24" s="37" t="s">
        <v>152</v>
      </c>
      <c r="M24" s="37"/>
      <c r="N24" s="37"/>
      <c r="O24" s="37"/>
      <c r="P24" s="48"/>
      <c r="Q24" s="48"/>
      <c r="R24" s="48"/>
      <c r="S24" s="48"/>
      <c r="T24" s="48"/>
      <c r="U24" s="48"/>
      <c r="V24" s="48"/>
    </row>
    <row r="25" spans="1:22" ht="30" customHeight="1">
      <c r="A25" s="37" t="s">
        <v>1979</v>
      </c>
      <c r="B25" s="37"/>
      <c r="C25" s="37"/>
      <c r="D25" s="37"/>
      <c r="E25" s="37"/>
      <c r="F25" s="37"/>
      <c r="G25" s="37"/>
      <c r="H25" s="37"/>
      <c r="I25" s="37"/>
      <c r="J25" s="37"/>
      <c r="K25" s="37"/>
      <c r="L25" s="37" t="s">
        <v>152</v>
      </c>
      <c r="M25" s="37"/>
      <c r="N25" s="37"/>
      <c r="O25" s="37"/>
      <c r="P25" s="48"/>
      <c r="Q25" s="48"/>
      <c r="R25" s="48"/>
      <c r="S25" s="48"/>
      <c r="T25" s="48"/>
      <c r="U25" s="48"/>
      <c r="V25" s="48"/>
    </row>
    <row r="26" spans="1:22" ht="30" customHeight="1">
      <c r="A26" s="37" t="s">
        <v>1980</v>
      </c>
      <c r="B26" s="37"/>
      <c r="C26" s="37"/>
      <c r="D26" s="37"/>
      <c r="E26" s="37"/>
      <c r="F26" s="37"/>
      <c r="G26" s="37"/>
      <c r="H26" s="37"/>
      <c r="I26" s="37"/>
      <c r="J26" s="37"/>
      <c r="K26" s="37"/>
      <c r="L26" s="37" t="s">
        <v>152</v>
      </c>
      <c r="M26" s="37"/>
      <c r="N26" s="37"/>
      <c r="O26" s="37"/>
      <c r="P26" s="48"/>
      <c r="Q26" s="48"/>
      <c r="R26" s="48"/>
      <c r="S26" s="48"/>
      <c r="T26" s="48"/>
      <c r="U26" s="48"/>
      <c r="V26" s="48"/>
    </row>
    <row r="27" spans="1:22" ht="30" customHeight="1">
      <c r="A27" s="37" t="s">
        <v>1981</v>
      </c>
      <c r="B27" s="37"/>
      <c r="C27" s="37"/>
      <c r="D27" s="37"/>
      <c r="E27" s="37"/>
      <c r="F27" s="37"/>
      <c r="G27" s="37"/>
      <c r="H27" s="37"/>
      <c r="I27" s="37"/>
      <c r="J27" s="37"/>
      <c r="K27" s="37"/>
      <c r="L27" s="37" t="s">
        <v>152</v>
      </c>
      <c r="M27" s="37"/>
      <c r="N27" s="37"/>
      <c r="O27" s="37"/>
      <c r="P27" s="48"/>
      <c r="Q27" s="48"/>
      <c r="R27" s="48"/>
      <c r="S27" s="48"/>
      <c r="T27" s="48"/>
      <c r="U27" s="48"/>
      <c r="V27" s="48"/>
    </row>
    <row r="28" spans="1:22" ht="30" customHeight="1">
      <c r="A28" s="46"/>
      <c r="B28" s="46"/>
      <c r="C28" s="46"/>
      <c r="D28" s="46"/>
      <c r="E28" s="46"/>
      <c r="F28" s="46"/>
      <c r="G28" s="46"/>
      <c r="H28" s="46"/>
      <c r="I28" s="46"/>
      <c r="J28" s="46"/>
      <c r="K28" s="46"/>
      <c r="L28" s="46"/>
      <c r="M28" s="46"/>
      <c r="N28" s="46"/>
      <c r="O28" s="46"/>
      <c r="P28" s="48"/>
      <c r="Q28" s="48"/>
      <c r="R28" s="48"/>
      <c r="S28" s="48"/>
      <c r="T28" s="48"/>
      <c r="U28" s="48"/>
      <c r="V28" s="48"/>
    </row>
    <row r="29" spans="1:22" ht="30" customHeight="1">
      <c r="A29" s="48"/>
      <c r="B29" s="48"/>
      <c r="C29" s="48"/>
      <c r="D29" s="48"/>
      <c r="E29" s="48"/>
      <c r="F29" s="48"/>
      <c r="G29" s="48"/>
      <c r="H29" s="48"/>
      <c r="I29" s="48"/>
      <c r="J29" s="48"/>
      <c r="K29" s="48"/>
      <c r="L29" s="48"/>
      <c r="M29" s="48"/>
      <c r="N29" s="48"/>
      <c r="O29" s="48"/>
      <c r="P29" s="48"/>
      <c r="Q29" s="48"/>
      <c r="R29" s="48"/>
      <c r="S29" s="48"/>
      <c r="T29" s="48"/>
      <c r="U29" s="48"/>
      <c r="V29" s="48"/>
    </row>
    <row r="30" spans="1:22" ht="30" customHeight="1">
      <c r="A30" s="48"/>
      <c r="B30" s="48"/>
      <c r="C30" s="48"/>
      <c r="D30" s="48"/>
      <c r="E30" s="48"/>
      <c r="F30" s="48"/>
      <c r="G30" s="48"/>
      <c r="H30" s="48"/>
      <c r="I30" s="48"/>
      <c r="J30" s="48"/>
      <c r="K30" s="48"/>
      <c r="L30" s="48"/>
      <c r="M30" s="48"/>
      <c r="N30" s="48"/>
      <c r="O30" s="48"/>
      <c r="P30" s="48"/>
      <c r="Q30" s="48"/>
      <c r="R30" s="48"/>
      <c r="S30" s="48"/>
      <c r="T30" s="48"/>
      <c r="U30" s="48"/>
      <c r="V30" s="48"/>
    </row>
    <row r="31" spans="1:22" ht="30" customHeight="1">
      <c r="A31" s="48"/>
      <c r="B31" s="48"/>
      <c r="C31" s="48"/>
      <c r="D31" s="48"/>
      <c r="E31" s="48"/>
      <c r="F31" s="48"/>
      <c r="G31" s="48"/>
      <c r="H31" s="48"/>
      <c r="I31" s="48"/>
      <c r="J31" s="48"/>
      <c r="K31" s="48"/>
      <c r="L31" s="48"/>
      <c r="M31" s="48"/>
      <c r="N31" s="48"/>
      <c r="O31" s="48"/>
      <c r="P31" s="48"/>
      <c r="Q31" s="48"/>
      <c r="R31" s="48"/>
      <c r="S31" s="48"/>
      <c r="T31" s="48"/>
      <c r="U31" s="48"/>
      <c r="V31" s="48"/>
    </row>
    <row r="32" spans="1:22" ht="30" customHeight="1">
      <c r="A32" s="48"/>
      <c r="B32" s="48"/>
      <c r="C32" s="48"/>
      <c r="D32" s="48"/>
      <c r="E32" s="48"/>
      <c r="F32" s="48"/>
      <c r="G32" s="48"/>
      <c r="H32" s="48"/>
      <c r="I32" s="48"/>
      <c r="J32" s="48"/>
      <c r="K32" s="48"/>
      <c r="L32" s="48"/>
      <c r="M32" s="48"/>
      <c r="N32" s="48"/>
      <c r="O32" s="48"/>
      <c r="P32" s="48"/>
      <c r="Q32" s="48"/>
      <c r="R32" s="48"/>
      <c r="S32" s="48"/>
      <c r="T32" s="48"/>
      <c r="U32" s="48"/>
      <c r="V32" s="48"/>
    </row>
    <row r="33" spans="1:22" ht="30" customHeight="1">
      <c r="A33" s="48"/>
      <c r="B33" s="48"/>
      <c r="C33" s="48"/>
      <c r="D33" s="48"/>
      <c r="E33" s="48"/>
      <c r="F33" s="48"/>
      <c r="G33" s="48"/>
      <c r="H33" s="48"/>
      <c r="I33" s="48"/>
      <c r="J33" s="48"/>
      <c r="K33" s="48"/>
      <c r="L33" s="48"/>
      <c r="M33" s="48"/>
      <c r="N33" s="48"/>
      <c r="O33" s="48"/>
      <c r="P33" s="48"/>
      <c r="Q33" s="48"/>
      <c r="R33" s="48"/>
      <c r="S33" s="48"/>
      <c r="T33" s="48"/>
      <c r="U33" s="48"/>
      <c r="V33" s="48"/>
    </row>
    <row r="34" spans="1:22" ht="30" customHeight="1">
      <c r="A34" s="48"/>
      <c r="B34" s="48"/>
      <c r="C34" s="48"/>
      <c r="D34" s="48"/>
      <c r="E34" s="48"/>
      <c r="F34" s="48"/>
      <c r="G34" s="48"/>
      <c r="H34" s="48"/>
      <c r="I34" s="48"/>
      <c r="J34" s="48"/>
      <c r="K34" s="48"/>
      <c r="L34" s="48"/>
      <c r="M34" s="48"/>
      <c r="N34" s="48"/>
      <c r="O34" s="48"/>
      <c r="P34" s="48"/>
      <c r="Q34" s="48"/>
      <c r="R34" s="48"/>
      <c r="S34" s="48"/>
      <c r="T34" s="48"/>
      <c r="U34" s="48"/>
      <c r="V34" s="48"/>
    </row>
    <row r="35" spans="1:22" ht="30" customHeight="1">
      <c r="A35" s="48"/>
      <c r="B35" s="48"/>
      <c r="C35" s="48"/>
      <c r="D35" s="48"/>
      <c r="E35" s="48"/>
      <c r="F35" s="48"/>
      <c r="G35" s="48"/>
      <c r="H35" s="48"/>
      <c r="I35" s="48"/>
      <c r="J35" s="48"/>
      <c r="K35" s="48"/>
      <c r="L35" s="48"/>
      <c r="M35" s="48"/>
      <c r="N35" s="48"/>
      <c r="O35" s="48"/>
      <c r="P35" s="48"/>
      <c r="Q35" s="48"/>
      <c r="R35" s="48"/>
      <c r="S35" s="48"/>
      <c r="T35" s="48"/>
      <c r="U35" s="48"/>
      <c r="V35" s="48"/>
    </row>
    <row r="36" spans="1:22" ht="30" customHeight="1">
      <c r="A36" s="48"/>
      <c r="B36" s="48"/>
      <c r="C36" s="48"/>
      <c r="D36" s="48"/>
      <c r="E36" s="48"/>
      <c r="F36" s="48"/>
      <c r="G36" s="48"/>
      <c r="H36" s="48"/>
      <c r="I36" s="48"/>
      <c r="J36" s="48"/>
      <c r="K36" s="48"/>
      <c r="L36" s="48"/>
      <c r="M36" s="48"/>
      <c r="N36" s="48"/>
      <c r="O36" s="48"/>
      <c r="P36" s="48"/>
      <c r="Q36" s="48"/>
      <c r="R36" s="48"/>
      <c r="S36" s="48"/>
      <c r="T36" s="48"/>
      <c r="U36" s="48"/>
      <c r="V36" s="48"/>
    </row>
    <row r="37" spans="1:22" ht="30" customHeight="1">
      <c r="A37" s="48"/>
      <c r="B37" s="48"/>
      <c r="C37" s="48"/>
      <c r="D37" s="48"/>
      <c r="E37" s="48"/>
      <c r="F37" s="48"/>
      <c r="G37" s="48"/>
      <c r="H37" s="48"/>
      <c r="I37" s="48"/>
      <c r="J37" s="48"/>
      <c r="K37" s="48"/>
      <c r="L37" s="48"/>
      <c r="M37" s="48"/>
      <c r="N37" s="48"/>
      <c r="O37" s="48"/>
      <c r="P37" s="48"/>
      <c r="Q37" s="48"/>
      <c r="R37" s="48"/>
      <c r="S37" s="48"/>
      <c r="T37" s="48"/>
      <c r="U37" s="48"/>
      <c r="V37" s="48"/>
    </row>
    <row r="38" spans="1:22" ht="30" customHeight="1">
      <c r="A38" s="48"/>
      <c r="B38" s="48"/>
      <c r="C38" s="48"/>
      <c r="D38" s="48"/>
      <c r="E38" s="48"/>
      <c r="F38" s="48"/>
      <c r="G38" s="48"/>
      <c r="H38" s="48"/>
      <c r="I38" s="48"/>
      <c r="J38" s="48"/>
      <c r="K38" s="48"/>
      <c r="L38" s="48"/>
      <c r="M38" s="48"/>
      <c r="N38" s="48"/>
      <c r="O38" s="48"/>
      <c r="P38" s="48"/>
      <c r="Q38" s="48"/>
      <c r="R38" s="48"/>
      <c r="S38" s="48"/>
      <c r="T38" s="48"/>
      <c r="U38" s="48"/>
      <c r="V38" s="48"/>
    </row>
    <row r="39" spans="1:22" ht="30" customHeight="1">
      <c r="A39" s="48"/>
      <c r="B39" s="48"/>
      <c r="C39" s="48"/>
      <c r="D39" s="48"/>
      <c r="E39" s="48"/>
      <c r="F39" s="48"/>
      <c r="G39" s="48"/>
      <c r="H39" s="48"/>
      <c r="I39" s="48"/>
      <c r="J39" s="48"/>
      <c r="K39" s="48"/>
      <c r="L39" s="48"/>
      <c r="M39" s="48"/>
      <c r="N39" s="48"/>
      <c r="O39" s="48"/>
      <c r="P39" s="48"/>
      <c r="Q39" s="48"/>
      <c r="R39" s="48"/>
      <c r="S39" s="48"/>
      <c r="T39" s="48"/>
      <c r="U39" s="48"/>
      <c r="V39" s="48"/>
    </row>
    <row r="40" spans="1:22" ht="30" customHeight="1">
      <c r="A40" s="48"/>
      <c r="B40" s="48"/>
      <c r="C40" s="48"/>
      <c r="D40" s="48"/>
      <c r="E40" s="48"/>
      <c r="F40" s="48"/>
      <c r="G40" s="48"/>
      <c r="H40" s="48"/>
      <c r="I40" s="48"/>
      <c r="J40" s="48"/>
      <c r="K40" s="48"/>
      <c r="L40" s="48"/>
      <c r="M40" s="48"/>
      <c r="N40" s="48"/>
      <c r="O40" s="48"/>
      <c r="P40" s="48"/>
      <c r="Q40" s="48"/>
      <c r="R40" s="48"/>
      <c r="S40" s="48"/>
      <c r="T40" s="48"/>
      <c r="U40" s="48"/>
      <c r="V40" s="48"/>
    </row>
    <row r="41" spans="1:22" ht="30" customHeight="1">
      <c r="A41" s="48"/>
      <c r="B41" s="48"/>
      <c r="C41" s="48"/>
      <c r="D41" s="48"/>
      <c r="E41" s="48"/>
      <c r="F41" s="48"/>
      <c r="G41" s="48"/>
      <c r="H41" s="48"/>
      <c r="I41" s="48"/>
      <c r="J41" s="48"/>
      <c r="K41" s="48"/>
      <c r="L41" s="48"/>
      <c r="M41" s="48"/>
      <c r="N41" s="48"/>
      <c r="O41" s="48"/>
      <c r="P41" s="48"/>
      <c r="Q41" s="48"/>
      <c r="R41" s="48"/>
      <c r="S41" s="48"/>
      <c r="T41" s="48"/>
      <c r="U41" s="48"/>
      <c r="V41" s="48"/>
    </row>
    <row r="42" spans="1:22" ht="30" customHeight="1">
      <c r="A42" s="48"/>
      <c r="B42" s="48"/>
      <c r="C42" s="48"/>
      <c r="D42" s="48"/>
      <c r="E42" s="48"/>
      <c r="F42" s="48"/>
      <c r="G42" s="48"/>
      <c r="H42" s="48"/>
      <c r="I42" s="48"/>
      <c r="J42" s="48"/>
      <c r="K42" s="48"/>
      <c r="L42" s="48"/>
      <c r="M42" s="48"/>
      <c r="N42" s="48"/>
      <c r="O42" s="48"/>
      <c r="P42" s="48"/>
      <c r="Q42" s="48"/>
      <c r="R42" s="48"/>
      <c r="S42" s="48"/>
      <c r="T42" s="48"/>
      <c r="U42" s="48"/>
      <c r="V42" s="48"/>
    </row>
    <row r="43" spans="1:22" ht="30" customHeight="1">
      <c r="A43" s="48"/>
      <c r="B43" s="48"/>
      <c r="C43" s="48"/>
      <c r="D43" s="48"/>
      <c r="E43" s="48"/>
      <c r="F43" s="48"/>
      <c r="G43" s="48"/>
      <c r="H43" s="48"/>
      <c r="I43" s="48"/>
      <c r="J43" s="48"/>
      <c r="K43" s="48"/>
      <c r="L43" s="48"/>
      <c r="M43" s="48"/>
      <c r="N43" s="48"/>
      <c r="O43" s="48"/>
      <c r="P43" s="48"/>
      <c r="Q43" s="48"/>
      <c r="R43" s="48"/>
      <c r="S43" s="48"/>
      <c r="T43" s="48"/>
      <c r="U43" s="48"/>
      <c r="V43" s="48"/>
    </row>
    <row r="44" spans="1:22" ht="30" customHeight="1">
      <c r="A44" s="48"/>
      <c r="B44" s="48"/>
      <c r="C44" s="48"/>
      <c r="D44" s="48"/>
      <c r="E44" s="48"/>
      <c r="F44" s="48"/>
      <c r="G44" s="48"/>
      <c r="H44" s="48"/>
      <c r="I44" s="48"/>
      <c r="J44" s="48"/>
      <c r="K44" s="48"/>
      <c r="L44" s="48"/>
      <c r="M44" s="48"/>
      <c r="N44" s="48"/>
      <c r="O44" s="48"/>
      <c r="P44" s="48"/>
      <c r="Q44" s="48"/>
      <c r="R44" s="48"/>
      <c r="S44" s="48"/>
      <c r="T44" s="48"/>
      <c r="U44" s="48"/>
      <c r="V44" s="48"/>
    </row>
    <row r="45" spans="1:22" ht="30" customHeight="1">
      <c r="A45" s="48"/>
      <c r="B45" s="48"/>
      <c r="C45" s="48"/>
      <c r="D45" s="48"/>
      <c r="E45" s="48"/>
      <c r="F45" s="48"/>
      <c r="G45" s="48"/>
      <c r="H45" s="48"/>
      <c r="I45" s="48"/>
      <c r="J45" s="48"/>
      <c r="K45" s="48"/>
      <c r="L45" s="48"/>
      <c r="M45" s="48"/>
      <c r="N45" s="48"/>
      <c r="O45" s="48"/>
      <c r="P45" s="48"/>
      <c r="Q45" s="48"/>
      <c r="R45" s="48"/>
      <c r="S45" s="48"/>
      <c r="T45" s="48"/>
      <c r="U45" s="48"/>
      <c r="V45" s="48"/>
    </row>
    <row r="46" spans="1:22" ht="30" customHeight="1">
      <c r="A46" s="48"/>
      <c r="B46" s="48"/>
      <c r="C46" s="48"/>
      <c r="D46" s="48"/>
      <c r="E46" s="48"/>
      <c r="F46" s="48"/>
      <c r="G46" s="48"/>
      <c r="H46" s="48"/>
      <c r="I46" s="48"/>
      <c r="J46" s="48"/>
      <c r="K46" s="48"/>
      <c r="L46" s="48"/>
      <c r="M46" s="48"/>
      <c r="N46" s="48"/>
      <c r="O46" s="48"/>
      <c r="P46" s="48"/>
      <c r="Q46" s="48"/>
      <c r="R46" s="48"/>
      <c r="S46" s="48"/>
      <c r="T46" s="48"/>
      <c r="U46" s="48"/>
      <c r="V46" s="48"/>
    </row>
    <row r="47" spans="1:22" ht="30" customHeight="1">
      <c r="A47" s="48"/>
      <c r="B47" s="48"/>
      <c r="C47" s="48"/>
      <c r="D47" s="48"/>
      <c r="E47" s="48"/>
      <c r="F47" s="48"/>
      <c r="G47" s="48"/>
      <c r="H47" s="48"/>
      <c r="I47" s="48"/>
      <c r="J47" s="48"/>
      <c r="K47" s="48"/>
      <c r="L47" s="48"/>
      <c r="M47" s="48"/>
      <c r="N47" s="48"/>
      <c r="O47" s="48"/>
      <c r="P47" s="48"/>
      <c r="Q47" s="48"/>
      <c r="R47" s="48"/>
      <c r="S47" s="48"/>
      <c r="T47" s="48"/>
      <c r="U47" s="48"/>
      <c r="V47" s="48"/>
    </row>
    <row r="48" spans="1:22" ht="30" customHeight="1">
      <c r="A48" s="48"/>
      <c r="B48" s="48"/>
      <c r="C48" s="48"/>
      <c r="D48" s="48"/>
      <c r="E48" s="48"/>
      <c r="F48" s="48"/>
      <c r="G48" s="48"/>
      <c r="H48" s="48"/>
      <c r="I48" s="48"/>
      <c r="J48" s="48"/>
      <c r="K48" s="48"/>
      <c r="L48" s="48"/>
      <c r="M48" s="48"/>
      <c r="N48" s="48"/>
      <c r="O48" s="48"/>
      <c r="P48" s="48"/>
      <c r="Q48" s="48"/>
      <c r="R48" s="48"/>
      <c r="S48" s="48"/>
      <c r="T48" s="48"/>
      <c r="U48" s="48"/>
      <c r="V48" s="48"/>
    </row>
    <row r="49" spans="1:22" ht="30" customHeight="1">
      <c r="A49" s="48"/>
      <c r="B49" s="48"/>
      <c r="C49" s="48"/>
      <c r="D49" s="48"/>
      <c r="E49" s="48"/>
      <c r="F49" s="48"/>
      <c r="G49" s="48"/>
      <c r="H49" s="48"/>
      <c r="I49" s="48"/>
      <c r="J49" s="48"/>
      <c r="K49" s="48"/>
      <c r="L49" s="48"/>
      <c r="M49" s="48"/>
      <c r="N49" s="48"/>
      <c r="O49" s="48"/>
      <c r="P49" s="48"/>
      <c r="Q49" s="48"/>
      <c r="R49" s="48"/>
      <c r="S49" s="48"/>
      <c r="T49" s="48"/>
      <c r="U49" s="48"/>
      <c r="V49" s="48"/>
    </row>
    <row r="50" spans="1:22" ht="30" customHeight="1">
      <c r="A50" s="48"/>
      <c r="B50" s="48"/>
      <c r="C50" s="48"/>
      <c r="D50" s="48"/>
      <c r="E50" s="48"/>
      <c r="F50" s="48"/>
      <c r="G50" s="48"/>
      <c r="H50" s="48"/>
      <c r="I50" s="48"/>
      <c r="J50" s="48"/>
      <c r="K50" s="48"/>
      <c r="L50" s="48"/>
      <c r="M50" s="48"/>
      <c r="N50" s="48"/>
      <c r="O50" s="48"/>
      <c r="P50" s="48"/>
      <c r="Q50" s="48"/>
      <c r="R50" s="48"/>
      <c r="S50" s="48"/>
      <c r="T50" s="48"/>
      <c r="U50" s="48"/>
      <c r="V50" s="48"/>
    </row>
    <row r="51" spans="1:22" ht="30" customHeight="1">
      <c r="A51" s="48"/>
      <c r="B51" s="48"/>
      <c r="C51" s="48"/>
      <c r="D51" s="48"/>
      <c r="E51" s="48"/>
      <c r="F51" s="48"/>
      <c r="G51" s="48"/>
      <c r="H51" s="48"/>
      <c r="I51" s="48"/>
      <c r="J51" s="48"/>
      <c r="K51" s="48"/>
      <c r="L51" s="48"/>
      <c r="M51" s="48"/>
      <c r="N51" s="48"/>
      <c r="O51" s="48"/>
      <c r="P51" s="48"/>
      <c r="Q51" s="48"/>
      <c r="R51" s="48"/>
      <c r="S51" s="48"/>
      <c r="T51" s="48"/>
      <c r="U51" s="48"/>
      <c r="V51" s="48"/>
    </row>
    <row r="52" spans="1:22" ht="30" customHeight="1">
      <c r="A52" s="48"/>
      <c r="B52" s="48"/>
      <c r="C52" s="48"/>
      <c r="D52" s="48"/>
      <c r="E52" s="48"/>
      <c r="F52" s="48"/>
      <c r="G52" s="48"/>
      <c r="H52" s="48"/>
      <c r="I52" s="48"/>
      <c r="J52" s="48"/>
      <c r="K52" s="48"/>
      <c r="L52" s="48"/>
      <c r="M52" s="48"/>
      <c r="N52" s="48"/>
      <c r="O52" s="48"/>
      <c r="P52" s="48"/>
      <c r="Q52" s="48"/>
      <c r="R52" s="48"/>
      <c r="S52" s="48"/>
      <c r="T52" s="48"/>
      <c r="U52" s="48"/>
      <c r="V52" s="48"/>
    </row>
    <row r="53" spans="1:22" ht="30" customHeight="1">
      <c r="A53" s="48"/>
      <c r="B53" s="48"/>
      <c r="C53" s="48"/>
      <c r="D53" s="48"/>
      <c r="E53" s="48"/>
      <c r="F53" s="48"/>
      <c r="G53" s="48"/>
      <c r="H53" s="48"/>
      <c r="I53" s="48"/>
      <c r="J53" s="48"/>
      <c r="K53" s="48"/>
      <c r="L53" s="48"/>
      <c r="M53" s="48"/>
      <c r="N53" s="48"/>
      <c r="O53" s="48"/>
      <c r="P53" s="48"/>
      <c r="Q53" s="48"/>
      <c r="R53" s="48"/>
      <c r="S53" s="48"/>
      <c r="T53" s="48"/>
      <c r="U53" s="48"/>
      <c r="V53" s="48"/>
    </row>
    <row r="54" spans="1:22" ht="30" customHeight="1">
      <c r="A54" s="48"/>
      <c r="B54" s="48"/>
      <c r="C54" s="48"/>
      <c r="D54" s="48"/>
      <c r="E54" s="48"/>
      <c r="F54" s="48"/>
      <c r="G54" s="48"/>
      <c r="H54" s="48"/>
      <c r="I54" s="48"/>
      <c r="J54" s="48"/>
      <c r="K54" s="48"/>
      <c r="L54" s="48"/>
      <c r="M54" s="48"/>
      <c r="N54" s="48"/>
      <c r="O54" s="48"/>
      <c r="P54" s="48"/>
      <c r="Q54" s="48"/>
      <c r="R54" s="48"/>
      <c r="S54" s="48"/>
      <c r="T54" s="48"/>
      <c r="U54" s="48"/>
      <c r="V54" s="48"/>
    </row>
    <row r="55" spans="1:22" ht="30" customHeight="1">
      <c r="A55" s="48"/>
      <c r="B55" s="48"/>
      <c r="C55" s="48"/>
      <c r="D55" s="48"/>
      <c r="E55" s="48"/>
      <c r="F55" s="48"/>
      <c r="G55" s="48"/>
      <c r="H55" s="48"/>
      <c r="I55" s="48"/>
      <c r="J55" s="48"/>
      <c r="K55" s="48"/>
      <c r="L55" s="48"/>
      <c r="M55" s="48"/>
      <c r="N55" s="48"/>
      <c r="O55" s="48"/>
      <c r="P55" s="48"/>
      <c r="Q55" s="48"/>
      <c r="R55" s="48"/>
      <c r="S55" s="48"/>
      <c r="T55" s="48"/>
      <c r="U55" s="48"/>
      <c r="V55" s="48"/>
    </row>
    <row r="56" spans="1:22" ht="30" customHeight="1">
      <c r="A56" s="48"/>
      <c r="B56" s="48"/>
      <c r="C56" s="48"/>
      <c r="D56" s="48"/>
      <c r="E56" s="48"/>
      <c r="F56" s="48"/>
      <c r="G56" s="48"/>
      <c r="H56" s="48"/>
      <c r="I56" s="48"/>
      <c r="J56" s="48"/>
      <c r="K56" s="48"/>
      <c r="L56" s="48"/>
      <c r="M56" s="48"/>
      <c r="N56" s="48"/>
      <c r="O56" s="48"/>
      <c r="P56" s="48"/>
      <c r="Q56" s="48"/>
      <c r="R56" s="48"/>
      <c r="S56" s="48"/>
      <c r="T56" s="48"/>
      <c r="U56" s="48"/>
      <c r="V56" s="48"/>
    </row>
    <row r="57" spans="1:22" ht="30" customHeight="1">
      <c r="A57" s="48"/>
      <c r="B57" s="48"/>
      <c r="C57" s="48"/>
      <c r="D57" s="48"/>
      <c r="E57" s="48"/>
      <c r="F57" s="48"/>
      <c r="G57" s="48"/>
      <c r="H57" s="48"/>
      <c r="I57" s="48"/>
      <c r="J57" s="48"/>
      <c r="K57" s="48"/>
      <c r="L57" s="48"/>
      <c r="M57" s="48"/>
      <c r="N57" s="48"/>
      <c r="O57" s="48"/>
      <c r="P57" s="48"/>
      <c r="Q57" s="48"/>
      <c r="R57" s="48"/>
      <c r="S57" s="48"/>
      <c r="T57" s="48"/>
      <c r="U57" s="48"/>
      <c r="V57" s="48"/>
    </row>
    <row r="58" spans="1:22" ht="30" customHeight="1">
      <c r="A58" s="48"/>
      <c r="B58" s="48"/>
      <c r="C58" s="48"/>
      <c r="D58" s="48"/>
      <c r="E58" s="48"/>
      <c r="F58" s="48"/>
      <c r="G58" s="48"/>
      <c r="H58" s="48"/>
      <c r="I58" s="48"/>
      <c r="J58" s="48"/>
      <c r="K58" s="48"/>
      <c r="L58" s="48"/>
      <c r="M58" s="48"/>
      <c r="N58" s="48"/>
      <c r="O58" s="48"/>
      <c r="P58" s="48"/>
      <c r="Q58" s="48"/>
      <c r="R58" s="48"/>
      <c r="S58" s="48"/>
      <c r="T58" s="48"/>
      <c r="U58" s="48"/>
      <c r="V58" s="48"/>
    </row>
    <row r="59" spans="1:22" ht="30" customHeight="1">
      <c r="A59" s="48"/>
      <c r="B59" s="48"/>
      <c r="C59" s="48"/>
      <c r="D59" s="48"/>
      <c r="E59" s="48"/>
      <c r="F59" s="48"/>
      <c r="G59" s="48"/>
      <c r="H59" s="48"/>
      <c r="I59" s="48"/>
      <c r="J59" s="48"/>
      <c r="K59" s="48"/>
      <c r="L59" s="48"/>
      <c r="M59" s="48"/>
      <c r="N59" s="48"/>
      <c r="O59" s="48"/>
      <c r="P59" s="48"/>
      <c r="Q59" s="48"/>
      <c r="R59" s="48"/>
      <c r="S59" s="48"/>
      <c r="T59" s="48"/>
      <c r="U59" s="48"/>
      <c r="V59" s="48"/>
    </row>
    <row r="60" spans="1:22" ht="30" customHeight="1">
      <c r="A60" s="48"/>
      <c r="B60" s="48"/>
      <c r="C60" s="48"/>
      <c r="D60" s="48"/>
      <c r="E60" s="48"/>
      <c r="F60" s="48"/>
      <c r="G60" s="48"/>
      <c r="H60" s="48"/>
      <c r="I60" s="48"/>
      <c r="J60" s="48"/>
      <c r="K60" s="48"/>
      <c r="L60" s="48"/>
      <c r="M60" s="48"/>
      <c r="N60" s="48"/>
      <c r="O60" s="48"/>
      <c r="P60" s="48"/>
      <c r="Q60" s="48"/>
      <c r="R60" s="48"/>
      <c r="S60" s="48"/>
      <c r="T60" s="48"/>
      <c r="U60" s="48"/>
      <c r="V60" s="48"/>
    </row>
    <row r="61" spans="1:22" ht="30" customHeight="1">
      <c r="A61" s="48"/>
      <c r="B61" s="48"/>
      <c r="C61" s="48"/>
      <c r="D61" s="48"/>
      <c r="E61" s="48"/>
      <c r="F61" s="48"/>
      <c r="G61" s="48"/>
      <c r="H61" s="48"/>
      <c r="I61" s="48"/>
      <c r="J61" s="48"/>
      <c r="K61" s="48"/>
      <c r="L61" s="48"/>
      <c r="M61" s="48"/>
      <c r="N61" s="48"/>
      <c r="O61" s="48"/>
      <c r="P61" s="48"/>
      <c r="Q61" s="48"/>
      <c r="R61" s="48"/>
      <c r="S61" s="48"/>
      <c r="T61" s="48"/>
      <c r="U61" s="48"/>
      <c r="V61" s="48"/>
    </row>
    <row r="62" spans="1:22" ht="30" customHeight="1">
      <c r="A62" s="48"/>
      <c r="B62" s="48"/>
      <c r="C62" s="48"/>
      <c r="D62" s="48"/>
      <c r="E62" s="48"/>
      <c r="F62" s="48"/>
      <c r="G62" s="48"/>
      <c r="H62" s="48"/>
      <c r="I62" s="48"/>
      <c r="J62" s="48"/>
      <c r="K62" s="48"/>
      <c r="L62" s="48"/>
      <c r="M62" s="48"/>
      <c r="N62" s="48"/>
      <c r="O62" s="48"/>
      <c r="P62" s="48"/>
      <c r="Q62" s="48"/>
      <c r="R62" s="48"/>
      <c r="S62" s="48"/>
      <c r="T62" s="48"/>
      <c r="U62" s="48"/>
      <c r="V62" s="48"/>
    </row>
    <row r="63" spans="1:22" ht="30" customHeight="1">
      <c r="A63" s="48"/>
      <c r="B63" s="48"/>
      <c r="C63" s="48"/>
      <c r="D63" s="48"/>
      <c r="E63" s="48"/>
      <c r="F63" s="48"/>
      <c r="G63" s="48"/>
      <c r="H63" s="48"/>
      <c r="I63" s="48"/>
      <c r="J63" s="48"/>
      <c r="K63" s="48"/>
      <c r="L63" s="48"/>
      <c r="M63" s="48"/>
      <c r="N63" s="48"/>
      <c r="O63" s="48"/>
      <c r="P63" s="48"/>
      <c r="Q63" s="48"/>
      <c r="R63" s="48"/>
      <c r="S63" s="48"/>
      <c r="T63" s="48"/>
      <c r="U63" s="48"/>
      <c r="V63" s="48"/>
    </row>
    <row r="64" spans="1:22" ht="30" customHeight="1">
      <c r="A64" s="48"/>
      <c r="B64" s="48"/>
      <c r="C64" s="48"/>
      <c r="D64" s="48"/>
      <c r="E64" s="48"/>
      <c r="F64" s="48"/>
      <c r="G64" s="48"/>
      <c r="H64" s="48"/>
      <c r="I64" s="48"/>
      <c r="J64" s="48"/>
      <c r="K64" s="48"/>
      <c r="L64" s="48"/>
      <c r="M64" s="48"/>
      <c r="N64" s="48"/>
      <c r="O64" s="48"/>
      <c r="P64" s="48"/>
      <c r="Q64" s="48"/>
      <c r="R64" s="48"/>
      <c r="S64" s="48"/>
      <c r="T64" s="48"/>
      <c r="U64" s="48"/>
      <c r="V64" s="48"/>
    </row>
    <row r="65" spans="1:22" ht="30" customHeight="1">
      <c r="A65" s="48"/>
      <c r="B65" s="48"/>
      <c r="C65" s="48"/>
      <c r="D65" s="48"/>
      <c r="E65" s="48"/>
      <c r="F65" s="48"/>
      <c r="G65" s="48"/>
      <c r="H65" s="48"/>
      <c r="I65" s="48"/>
      <c r="J65" s="48"/>
      <c r="K65" s="48"/>
      <c r="L65" s="48"/>
      <c r="M65" s="48"/>
      <c r="N65" s="48"/>
      <c r="O65" s="48"/>
      <c r="P65" s="48"/>
      <c r="Q65" s="48"/>
      <c r="R65" s="48"/>
      <c r="S65" s="48"/>
      <c r="T65" s="48"/>
      <c r="U65" s="48"/>
      <c r="V65" s="48"/>
    </row>
    <row r="66" spans="1:22" ht="30" customHeight="1">
      <c r="A66" s="48"/>
      <c r="B66" s="48"/>
      <c r="C66" s="48"/>
      <c r="D66" s="48"/>
      <c r="E66" s="48"/>
      <c r="F66" s="48"/>
      <c r="G66" s="48"/>
      <c r="H66" s="48"/>
      <c r="I66" s="48"/>
      <c r="J66" s="48"/>
      <c r="K66" s="48"/>
      <c r="L66" s="48"/>
      <c r="M66" s="48"/>
      <c r="N66" s="48"/>
      <c r="O66" s="48"/>
      <c r="P66" s="48"/>
      <c r="Q66" s="48"/>
      <c r="R66" s="48"/>
      <c r="S66" s="48"/>
      <c r="T66" s="48"/>
      <c r="U66" s="48"/>
      <c r="V66" s="48"/>
    </row>
    <row r="67" spans="1:22" ht="30" customHeight="1">
      <c r="A67" s="48"/>
      <c r="B67" s="48"/>
      <c r="C67" s="48"/>
      <c r="D67" s="48"/>
      <c r="E67" s="48"/>
      <c r="F67" s="48"/>
      <c r="G67" s="48"/>
      <c r="H67" s="48"/>
      <c r="I67" s="48"/>
      <c r="J67" s="48"/>
      <c r="K67" s="48"/>
      <c r="L67" s="48"/>
      <c r="M67" s="48"/>
      <c r="N67" s="48"/>
      <c r="O67" s="48"/>
      <c r="P67" s="48"/>
      <c r="Q67" s="48"/>
      <c r="R67" s="48"/>
      <c r="S67" s="48"/>
      <c r="T67" s="48"/>
      <c r="U67" s="48"/>
      <c r="V67" s="48"/>
    </row>
    <row r="68" spans="1:22" ht="30" customHeight="1">
      <c r="A68" s="48"/>
      <c r="B68" s="48"/>
      <c r="C68" s="48"/>
      <c r="D68" s="48"/>
      <c r="E68" s="48"/>
      <c r="F68" s="48"/>
      <c r="G68" s="48"/>
      <c r="H68" s="48"/>
      <c r="I68" s="48"/>
      <c r="J68" s="48"/>
      <c r="K68" s="48"/>
      <c r="L68" s="48"/>
      <c r="M68" s="48"/>
      <c r="N68" s="48"/>
      <c r="O68" s="48"/>
      <c r="P68" s="48"/>
      <c r="Q68" s="48"/>
      <c r="R68" s="48"/>
      <c r="S68" s="48"/>
      <c r="T68" s="48"/>
      <c r="U68" s="48"/>
      <c r="V68" s="48"/>
    </row>
    <row r="69" spans="1:22" ht="30" customHeight="1">
      <c r="A69" s="48"/>
      <c r="B69" s="48"/>
      <c r="C69" s="48"/>
      <c r="D69" s="48"/>
      <c r="E69" s="48"/>
      <c r="F69" s="48"/>
      <c r="G69" s="48"/>
      <c r="H69" s="48"/>
      <c r="I69" s="48"/>
      <c r="J69" s="48"/>
      <c r="K69" s="48"/>
      <c r="L69" s="48"/>
      <c r="M69" s="48"/>
      <c r="N69" s="48"/>
      <c r="O69" s="48"/>
      <c r="P69" s="48"/>
      <c r="Q69" s="48"/>
      <c r="R69" s="48"/>
      <c r="S69" s="48"/>
      <c r="T69" s="48"/>
      <c r="U69" s="48"/>
      <c r="V69" s="48"/>
    </row>
    <row r="70" spans="1:22" ht="30" customHeight="1">
      <c r="A70" s="48"/>
      <c r="B70" s="48"/>
      <c r="C70" s="48"/>
      <c r="D70" s="48"/>
      <c r="E70" s="48"/>
      <c r="F70" s="48"/>
      <c r="G70" s="48"/>
      <c r="H70" s="48"/>
      <c r="I70" s="48"/>
      <c r="J70" s="48"/>
      <c r="K70" s="48"/>
      <c r="L70" s="48"/>
      <c r="M70" s="48"/>
      <c r="N70" s="48"/>
      <c r="O70" s="48"/>
      <c r="P70" s="48"/>
      <c r="Q70" s="48"/>
      <c r="R70" s="48"/>
      <c r="S70" s="48"/>
      <c r="T70" s="48"/>
      <c r="U70" s="48"/>
      <c r="V70" s="48"/>
    </row>
    <row r="71" spans="1:22" ht="30" customHeight="1">
      <c r="A71" s="48"/>
      <c r="B71" s="48"/>
      <c r="C71" s="48"/>
      <c r="D71" s="48"/>
      <c r="E71" s="48"/>
      <c r="F71" s="48"/>
      <c r="G71" s="48"/>
      <c r="H71" s="48"/>
      <c r="I71" s="48"/>
      <c r="J71" s="48"/>
      <c r="K71" s="48"/>
      <c r="L71" s="48"/>
      <c r="M71" s="48"/>
      <c r="N71" s="48"/>
      <c r="O71" s="48"/>
      <c r="P71" s="48"/>
      <c r="Q71" s="48"/>
      <c r="R71" s="48"/>
      <c r="S71" s="48"/>
      <c r="T71" s="48"/>
      <c r="U71" s="48"/>
      <c r="V71" s="48"/>
    </row>
    <row r="72" spans="1:22" ht="30" customHeight="1">
      <c r="A72" s="48"/>
      <c r="B72" s="48"/>
      <c r="C72" s="48"/>
      <c r="D72" s="48"/>
      <c r="E72" s="48"/>
      <c r="F72" s="48"/>
      <c r="G72" s="48"/>
      <c r="H72" s="48"/>
      <c r="I72" s="48"/>
      <c r="J72" s="48"/>
      <c r="K72" s="48"/>
      <c r="L72" s="48"/>
      <c r="M72" s="48"/>
      <c r="N72" s="48"/>
      <c r="O72" s="48"/>
      <c r="P72" s="48"/>
      <c r="Q72" s="48"/>
      <c r="R72" s="48"/>
      <c r="S72" s="48"/>
      <c r="T72" s="48"/>
      <c r="U72" s="48"/>
      <c r="V72" s="48"/>
    </row>
    <row r="73" spans="1:22" ht="30" customHeight="1">
      <c r="A73" s="48"/>
      <c r="B73" s="48"/>
      <c r="C73" s="48"/>
      <c r="D73" s="48"/>
      <c r="E73" s="48"/>
      <c r="F73" s="48"/>
      <c r="G73" s="48"/>
      <c r="H73" s="48"/>
      <c r="I73" s="48"/>
      <c r="J73" s="48"/>
      <c r="K73" s="48"/>
      <c r="L73" s="48"/>
      <c r="M73" s="48"/>
      <c r="N73" s="48"/>
      <c r="O73" s="48"/>
      <c r="P73" s="48"/>
      <c r="Q73" s="48"/>
      <c r="R73" s="48"/>
      <c r="S73" s="48"/>
      <c r="T73" s="48"/>
      <c r="U73" s="48"/>
      <c r="V73" s="48"/>
    </row>
    <row r="74" spans="1:22" ht="30" customHeight="1">
      <c r="A74" s="48"/>
      <c r="B74" s="48"/>
      <c r="C74" s="48"/>
      <c r="D74" s="48"/>
      <c r="E74" s="48"/>
      <c r="F74" s="48"/>
      <c r="G74" s="48"/>
      <c r="H74" s="48"/>
      <c r="I74" s="48"/>
      <c r="J74" s="48"/>
      <c r="K74" s="48"/>
      <c r="L74" s="48"/>
      <c r="M74" s="48"/>
      <c r="N74" s="48"/>
      <c r="O74" s="48"/>
      <c r="P74" s="48"/>
      <c r="Q74" s="48"/>
      <c r="R74" s="48"/>
      <c r="S74" s="48"/>
      <c r="T74" s="48"/>
      <c r="U74" s="48"/>
      <c r="V74" s="48"/>
    </row>
    <row r="75" spans="1:22" ht="30" customHeight="1">
      <c r="A75" s="48"/>
      <c r="B75" s="48"/>
      <c r="C75" s="48"/>
      <c r="D75" s="48"/>
      <c r="E75" s="48"/>
      <c r="F75" s="48"/>
      <c r="G75" s="48"/>
      <c r="H75" s="48"/>
      <c r="I75" s="48"/>
      <c r="J75" s="48"/>
      <c r="K75" s="48"/>
      <c r="L75" s="48"/>
      <c r="M75" s="48"/>
      <c r="N75" s="48"/>
      <c r="O75" s="48"/>
      <c r="P75" s="48"/>
      <c r="Q75" s="48"/>
      <c r="R75" s="48"/>
      <c r="S75" s="48"/>
      <c r="T75" s="48"/>
      <c r="U75" s="48"/>
      <c r="V75" s="48"/>
    </row>
    <row r="76" spans="1:22" ht="30" customHeight="1">
      <c r="A76" s="48"/>
      <c r="B76" s="48"/>
      <c r="C76" s="48"/>
      <c r="D76" s="48"/>
      <c r="E76" s="48"/>
      <c r="F76" s="48"/>
      <c r="G76" s="48"/>
      <c r="H76" s="48"/>
      <c r="I76" s="48"/>
      <c r="J76" s="48"/>
      <c r="K76" s="48"/>
      <c r="L76" s="48"/>
      <c r="M76" s="48"/>
      <c r="N76" s="48"/>
      <c r="O76" s="48"/>
      <c r="P76" s="48"/>
      <c r="Q76" s="48"/>
      <c r="R76" s="48"/>
      <c r="S76" s="48"/>
      <c r="T76" s="48"/>
      <c r="U76" s="48"/>
      <c r="V76" s="48"/>
    </row>
    <row r="77" spans="1:22" ht="30" customHeight="1">
      <c r="A77" s="48"/>
      <c r="B77" s="48"/>
      <c r="C77" s="48"/>
      <c r="D77" s="48"/>
      <c r="E77" s="48"/>
      <c r="F77" s="48"/>
      <c r="G77" s="48"/>
      <c r="H77" s="48"/>
      <c r="I77" s="48"/>
      <c r="J77" s="48"/>
      <c r="K77" s="48"/>
      <c r="L77" s="48"/>
      <c r="M77" s="48"/>
      <c r="N77" s="48"/>
      <c r="O77" s="48"/>
      <c r="P77" s="48"/>
      <c r="Q77" s="48"/>
      <c r="R77" s="48"/>
      <c r="S77" s="48"/>
      <c r="T77" s="48"/>
      <c r="U77" s="48"/>
      <c r="V77" s="48"/>
    </row>
    <row r="78" spans="1:22" ht="30" customHeight="1">
      <c r="A78" s="48"/>
      <c r="B78" s="48"/>
      <c r="C78" s="48"/>
      <c r="D78" s="48"/>
      <c r="E78" s="48"/>
      <c r="F78" s="48"/>
      <c r="G78" s="48"/>
      <c r="H78" s="48"/>
      <c r="I78" s="48"/>
      <c r="J78" s="48"/>
      <c r="K78" s="48"/>
      <c r="L78" s="48"/>
      <c r="M78" s="48"/>
      <c r="N78" s="48"/>
      <c r="O78" s="48"/>
      <c r="P78" s="48"/>
      <c r="Q78" s="48"/>
      <c r="R78" s="48"/>
      <c r="S78" s="48"/>
      <c r="T78" s="48"/>
      <c r="U78" s="48"/>
      <c r="V78" s="48"/>
    </row>
    <row r="79" spans="1:22" ht="30" customHeight="1">
      <c r="A79" s="48"/>
      <c r="B79" s="48"/>
      <c r="C79" s="48"/>
      <c r="D79" s="48"/>
      <c r="E79" s="48"/>
      <c r="F79" s="48"/>
      <c r="G79" s="48"/>
      <c r="H79" s="48"/>
      <c r="I79" s="48"/>
      <c r="J79" s="48"/>
      <c r="K79" s="48"/>
      <c r="L79" s="48"/>
      <c r="M79" s="48"/>
      <c r="N79" s="48"/>
      <c r="O79" s="48"/>
      <c r="P79" s="48"/>
      <c r="Q79" s="48"/>
      <c r="R79" s="48"/>
      <c r="S79" s="48"/>
      <c r="T79" s="48"/>
      <c r="U79" s="48"/>
      <c r="V79" s="48"/>
    </row>
    <row r="80" spans="1:22" ht="30" customHeight="1">
      <c r="A80" s="48"/>
      <c r="B80" s="48"/>
      <c r="C80" s="48"/>
      <c r="D80" s="48"/>
      <c r="E80" s="48"/>
      <c r="F80" s="48"/>
      <c r="G80" s="48"/>
      <c r="H80" s="48"/>
      <c r="I80" s="48"/>
      <c r="J80" s="48"/>
      <c r="K80" s="48"/>
      <c r="L80" s="48"/>
      <c r="M80" s="48"/>
      <c r="N80" s="48"/>
      <c r="O80" s="48"/>
      <c r="P80" s="48"/>
      <c r="Q80" s="48"/>
      <c r="R80" s="48"/>
      <c r="S80" s="48"/>
      <c r="T80" s="48"/>
      <c r="U80" s="48"/>
      <c r="V80" s="48"/>
    </row>
    <row r="81" spans="1:22" ht="30" customHeight="1">
      <c r="A81" s="48"/>
      <c r="B81" s="48"/>
      <c r="C81" s="48"/>
      <c r="D81" s="48"/>
      <c r="E81" s="48"/>
      <c r="F81" s="48"/>
      <c r="G81" s="48"/>
      <c r="H81" s="48"/>
      <c r="I81" s="48"/>
      <c r="J81" s="48"/>
      <c r="K81" s="48"/>
      <c r="L81" s="48"/>
      <c r="M81" s="48"/>
      <c r="N81" s="48"/>
      <c r="O81" s="48"/>
      <c r="P81" s="48"/>
      <c r="Q81" s="48"/>
      <c r="R81" s="48"/>
      <c r="S81" s="48"/>
      <c r="T81" s="48"/>
      <c r="U81" s="48"/>
      <c r="V81" s="48"/>
    </row>
    <row r="82" spans="1:22" ht="30" customHeight="1">
      <c r="A82" s="48"/>
      <c r="B82" s="48"/>
      <c r="C82" s="48"/>
      <c r="D82" s="48"/>
      <c r="E82" s="48"/>
      <c r="F82" s="48"/>
      <c r="G82" s="48"/>
      <c r="H82" s="48"/>
      <c r="I82" s="48"/>
      <c r="J82" s="48"/>
      <c r="K82" s="48"/>
      <c r="L82" s="48"/>
      <c r="M82" s="48"/>
      <c r="N82" s="48"/>
      <c r="O82" s="48"/>
      <c r="P82" s="48"/>
      <c r="Q82" s="48"/>
      <c r="R82" s="48"/>
      <c r="S82" s="48"/>
      <c r="T82" s="48"/>
      <c r="U82" s="48"/>
      <c r="V82" s="48"/>
    </row>
    <row r="83" spans="1:22" ht="30" customHeight="1">
      <c r="A83" s="48"/>
      <c r="B83" s="48"/>
      <c r="C83" s="48"/>
      <c r="D83" s="48"/>
      <c r="E83" s="48"/>
      <c r="F83" s="48"/>
      <c r="G83" s="48"/>
      <c r="H83" s="48"/>
      <c r="I83" s="48"/>
      <c r="J83" s="48"/>
      <c r="K83" s="48"/>
      <c r="L83" s="48"/>
      <c r="M83" s="48"/>
      <c r="N83" s="48"/>
      <c r="O83" s="48"/>
      <c r="P83" s="48"/>
      <c r="Q83" s="48"/>
      <c r="R83" s="48"/>
      <c r="S83" s="48"/>
      <c r="T83" s="48"/>
      <c r="U83" s="48"/>
      <c r="V83" s="48"/>
    </row>
    <row r="84" spans="1:22" ht="30" customHeight="1">
      <c r="A84" s="48"/>
      <c r="B84" s="48"/>
      <c r="C84" s="48"/>
      <c r="D84" s="48"/>
      <c r="E84" s="48"/>
      <c r="F84" s="48"/>
      <c r="G84" s="48"/>
      <c r="H84" s="48"/>
      <c r="I84" s="48"/>
      <c r="J84" s="48"/>
      <c r="K84" s="48"/>
      <c r="L84" s="48"/>
      <c r="M84" s="48"/>
      <c r="N84" s="48"/>
      <c r="O84" s="48"/>
      <c r="P84" s="48"/>
      <c r="Q84" s="48"/>
      <c r="R84" s="48"/>
      <c r="S84" s="48"/>
      <c r="T84" s="48"/>
      <c r="U84" s="48"/>
      <c r="V84" s="48"/>
    </row>
    <row r="85" spans="1:22" ht="30" customHeight="1">
      <c r="A85" s="48"/>
      <c r="B85" s="48"/>
      <c r="C85" s="48"/>
      <c r="D85" s="48"/>
      <c r="E85" s="48"/>
      <c r="F85" s="48"/>
      <c r="G85" s="48"/>
      <c r="H85" s="48"/>
      <c r="I85" s="48"/>
      <c r="J85" s="48"/>
      <c r="K85" s="48"/>
      <c r="L85" s="48"/>
      <c r="M85" s="48"/>
      <c r="N85" s="48"/>
      <c r="O85" s="48"/>
      <c r="P85" s="48"/>
      <c r="Q85" s="48"/>
      <c r="R85" s="48"/>
      <c r="S85" s="48"/>
      <c r="T85" s="48"/>
      <c r="U85" s="48"/>
      <c r="V85" s="48"/>
    </row>
    <row r="86" spans="1:22" ht="30" customHeight="1">
      <c r="A86" s="48"/>
      <c r="B86" s="48"/>
      <c r="C86" s="48"/>
      <c r="D86" s="48"/>
      <c r="E86" s="48"/>
      <c r="F86" s="48"/>
      <c r="G86" s="48"/>
      <c r="H86" s="48"/>
      <c r="I86" s="48"/>
      <c r="J86" s="48"/>
      <c r="K86" s="48"/>
      <c r="L86" s="48"/>
      <c r="M86" s="48"/>
      <c r="N86" s="48"/>
      <c r="O86" s="48"/>
      <c r="P86" s="48"/>
      <c r="Q86" s="48"/>
      <c r="R86" s="48"/>
      <c r="S86" s="48"/>
      <c r="T86" s="48"/>
      <c r="U86" s="48"/>
      <c r="V86" s="48"/>
    </row>
    <row r="87" spans="1:22" ht="30" customHeight="1">
      <c r="A87" s="48"/>
      <c r="B87" s="48"/>
      <c r="C87" s="48"/>
      <c r="D87" s="48"/>
      <c r="E87" s="48"/>
      <c r="F87" s="48"/>
      <c r="G87" s="48"/>
      <c r="H87" s="48"/>
      <c r="I87" s="48"/>
      <c r="J87" s="48"/>
      <c r="K87" s="48"/>
      <c r="L87" s="48"/>
      <c r="M87" s="48"/>
      <c r="N87" s="48"/>
      <c r="O87" s="48"/>
      <c r="P87" s="48"/>
      <c r="Q87" s="48"/>
      <c r="R87" s="48"/>
      <c r="S87" s="48"/>
      <c r="T87" s="48"/>
      <c r="U87" s="48"/>
      <c r="V87" s="48"/>
    </row>
    <row r="88" spans="1:22" ht="30" customHeight="1">
      <c r="A88" s="48"/>
      <c r="B88" s="48"/>
      <c r="C88" s="48"/>
      <c r="D88" s="48"/>
      <c r="E88" s="48"/>
      <c r="F88" s="48"/>
      <c r="G88" s="48"/>
      <c r="H88" s="48"/>
      <c r="I88" s="48"/>
      <c r="J88" s="48"/>
      <c r="K88" s="48"/>
      <c r="L88" s="48"/>
      <c r="M88" s="48"/>
      <c r="N88" s="48"/>
      <c r="O88" s="48"/>
      <c r="P88" s="48"/>
      <c r="Q88" s="48"/>
      <c r="R88" s="48"/>
      <c r="S88" s="48"/>
      <c r="T88" s="48"/>
      <c r="U88" s="48"/>
      <c r="V88" s="48"/>
    </row>
    <row r="89" spans="1:22" ht="30" customHeight="1">
      <c r="A89" s="48"/>
      <c r="B89" s="48"/>
      <c r="C89" s="48"/>
      <c r="D89" s="48"/>
      <c r="E89" s="48"/>
      <c r="F89" s="48"/>
      <c r="G89" s="48"/>
      <c r="H89" s="48"/>
      <c r="I89" s="48"/>
      <c r="J89" s="48"/>
      <c r="K89" s="48"/>
      <c r="L89" s="48"/>
      <c r="M89" s="48"/>
      <c r="N89" s="48"/>
      <c r="O89" s="48"/>
      <c r="P89" s="48"/>
      <c r="Q89" s="48"/>
      <c r="R89" s="48"/>
      <c r="S89" s="48"/>
      <c r="T89" s="48"/>
      <c r="U89" s="48"/>
      <c r="V89" s="48"/>
    </row>
    <row r="90" spans="1:22" ht="30" customHeight="1">
      <c r="A90" s="48"/>
      <c r="B90" s="48"/>
      <c r="C90" s="48"/>
      <c r="D90" s="48"/>
      <c r="E90" s="48"/>
      <c r="F90" s="48"/>
      <c r="G90" s="48"/>
      <c r="H90" s="48"/>
      <c r="I90" s="48"/>
      <c r="J90" s="48"/>
      <c r="K90" s="48"/>
      <c r="L90" s="48"/>
      <c r="M90" s="48"/>
      <c r="N90" s="48"/>
      <c r="O90" s="48"/>
      <c r="P90" s="48"/>
      <c r="Q90" s="48"/>
      <c r="R90" s="48"/>
      <c r="S90" s="48"/>
      <c r="T90" s="48"/>
      <c r="U90" s="48"/>
      <c r="V90" s="48"/>
    </row>
    <row r="91" spans="1:22" ht="30" customHeight="1">
      <c r="A91" s="48"/>
      <c r="B91" s="48"/>
      <c r="C91" s="48"/>
      <c r="D91" s="48"/>
      <c r="E91" s="48"/>
      <c r="F91" s="48"/>
      <c r="G91" s="48"/>
      <c r="H91" s="48"/>
      <c r="I91" s="48"/>
      <c r="J91" s="48"/>
      <c r="K91" s="48"/>
      <c r="L91" s="48"/>
      <c r="M91" s="48"/>
      <c r="N91" s="48"/>
      <c r="O91" s="48"/>
      <c r="P91" s="48"/>
      <c r="Q91" s="48"/>
      <c r="R91" s="48"/>
      <c r="S91" s="48"/>
      <c r="T91" s="48"/>
      <c r="U91" s="48"/>
      <c r="V91" s="48"/>
    </row>
    <row r="92" spans="1:22" ht="30" customHeight="1">
      <c r="A92" s="48"/>
      <c r="B92" s="48"/>
      <c r="C92" s="48"/>
      <c r="D92" s="48"/>
      <c r="E92" s="48"/>
      <c r="F92" s="48"/>
      <c r="G92" s="48"/>
      <c r="H92" s="48"/>
      <c r="I92" s="48"/>
      <c r="J92" s="48"/>
      <c r="K92" s="48"/>
      <c r="L92" s="48"/>
      <c r="M92" s="48"/>
      <c r="N92" s="48"/>
      <c r="O92" s="48"/>
      <c r="P92" s="48"/>
      <c r="Q92" s="48"/>
      <c r="R92" s="48"/>
      <c r="S92" s="48"/>
      <c r="T92" s="48"/>
      <c r="U92" s="48"/>
      <c r="V92" s="48"/>
    </row>
    <row r="93" spans="1:22" ht="30" customHeight="1">
      <c r="A93" s="48"/>
      <c r="B93" s="48"/>
      <c r="C93" s="48"/>
      <c r="D93" s="48"/>
      <c r="E93" s="48"/>
      <c r="F93" s="48"/>
      <c r="G93" s="48"/>
      <c r="H93" s="48"/>
      <c r="I93" s="48"/>
      <c r="J93" s="48"/>
      <c r="K93" s="48"/>
      <c r="L93" s="48"/>
      <c r="M93" s="48"/>
      <c r="N93" s="48"/>
      <c r="O93" s="48"/>
      <c r="P93" s="48"/>
      <c r="Q93" s="48"/>
      <c r="R93" s="48"/>
      <c r="S93" s="48"/>
      <c r="T93" s="48"/>
      <c r="U93" s="48"/>
      <c r="V93" s="48"/>
    </row>
    <row r="94" spans="1:22" ht="30" customHeight="1">
      <c r="A94" s="48"/>
      <c r="B94" s="48"/>
      <c r="C94" s="48"/>
      <c r="D94" s="48"/>
      <c r="E94" s="48"/>
      <c r="F94" s="48"/>
      <c r="G94" s="48"/>
      <c r="H94" s="48"/>
      <c r="I94" s="48"/>
      <c r="J94" s="48"/>
      <c r="K94" s="48"/>
      <c r="L94" s="48"/>
      <c r="M94" s="48"/>
      <c r="N94" s="48"/>
      <c r="O94" s="48"/>
      <c r="P94" s="48"/>
      <c r="Q94" s="48"/>
      <c r="R94" s="48"/>
      <c r="S94" s="48"/>
      <c r="T94" s="48"/>
      <c r="U94" s="48"/>
      <c r="V94" s="48"/>
    </row>
    <row r="95" spans="1:22" ht="30" customHeight="1">
      <c r="A95" s="48"/>
      <c r="B95" s="48"/>
      <c r="C95" s="48"/>
      <c r="D95" s="48"/>
      <c r="E95" s="48"/>
      <c r="F95" s="48"/>
      <c r="G95" s="48"/>
      <c r="H95" s="48"/>
      <c r="I95" s="48"/>
      <c r="J95" s="48"/>
      <c r="K95" s="48"/>
      <c r="L95" s="48"/>
      <c r="M95" s="48"/>
      <c r="N95" s="48"/>
      <c r="O95" s="48"/>
      <c r="P95" s="48"/>
      <c r="Q95" s="48"/>
      <c r="R95" s="48"/>
      <c r="S95" s="48"/>
      <c r="T95" s="48"/>
      <c r="U95" s="48"/>
      <c r="V95" s="48"/>
    </row>
    <row r="96" spans="1:22" ht="30" customHeight="1">
      <c r="A96" s="48"/>
      <c r="B96" s="48"/>
      <c r="C96" s="48"/>
      <c r="D96" s="48"/>
      <c r="E96" s="48"/>
      <c r="F96" s="48"/>
      <c r="G96" s="48"/>
      <c r="H96" s="48"/>
      <c r="I96" s="48"/>
      <c r="J96" s="48"/>
      <c r="K96" s="48"/>
      <c r="L96" s="48"/>
      <c r="M96" s="48"/>
      <c r="N96" s="48"/>
      <c r="O96" s="48"/>
      <c r="P96" s="48"/>
      <c r="Q96" s="48"/>
      <c r="R96" s="48"/>
      <c r="S96" s="48"/>
      <c r="T96" s="48"/>
      <c r="U96" s="48"/>
      <c r="V96" s="48"/>
    </row>
    <row r="97" spans="1:22" ht="30" customHeight="1">
      <c r="A97" s="48"/>
      <c r="B97" s="48"/>
      <c r="C97" s="48"/>
      <c r="D97" s="48"/>
      <c r="E97" s="48"/>
      <c r="F97" s="48"/>
      <c r="G97" s="48"/>
      <c r="H97" s="48"/>
      <c r="I97" s="48"/>
      <c r="J97" s="48"/>
      <c r="K97" s="48"/>
      <c r="L97" s="48"/>
      <c r="M97" s="48"/>
      <c r="N97" s="48"/>
      <c r="O97" s="48"/>
      <c r="P97" s="48"/>
      <c r="Q97" s="48"/>
      <c r="R97" s="48"/>
      <c r="S97" s="48"/>
      <c r="T97" s="48"/>
      <c r="U97" s="48"/>
      <c r="V97" s="48"/>
    </row>
    <row r="98" spans="1:22" ht="30" customHeight="1">
      <c r="A98" s="48"/>
      <c r="B98" s="48"/>
      <c r="C98" s="48"/>
      <c r="D98" s="48"/>
      <c r="E98" s="48"/>
      <c r="F98" s="48"/>
      <c r="G98" s="48"/>
      <c r="H98" s="48"/>
      <c r="I98" s="48"/>
      <c r="J98" s="48"/>
      <c r="K98" s="48"/>
      <c r="L98" s="48"/>
      <c r="M98" s="48"/>
      <c r="N98" s="48"/>
      <c r="O98" s="48"/>
      <c r="P98" s="48"/>
      <c r="Q98" s="48"/>
      <c r="R98" s="48"/>
      <c r="S98" s="48"/>
      <c r="T98" s="48"/>
      <c r="U98" s="48"/>
      <c r="V98" s="48"/>
    </row>
    <row r="99" spans="1:22" ht="30" customHeight="1">
      <c r="A99" s="48"/>
      <c r="B99" s="48"/>
      <c r="C99" s="48"/>
      <c r="D99" s="48"/>
      <c r="E99" s="48"/>
      <c r="F99" s="48"/>
      <c r="G99" s="48"/>
      <c r="H99" s="48"/>
      <c r="I99" s="48"/>
      <c r="J99" s="48"/>
      <c r="K99" s="48"/>
      <c r="L99" s="48"/>
      <c r="M99" s="48"/>
      <c r="N99" s="48"/>
      <c r="O99" s="48"/>
      <c r="P99" s="48"/>
      <c r="Q99" s="48"/>
      <c r="R99" s="48"/>
      <c r="S99" s="48"/>
      <c r="T99" s="48"/>
      <c r="U99" s="48"/>
      <c r="V99" s="48"/>
    </row>
    <row r="100" spans="1:22" ht="30" customHeight="1">
      <c r="A100" s="48"/>
      <c r="B100" s="48"/>
      <c r="C100" s="48"/>
      <c r="D100" s="48"/>
      <c r="E100" s="48"/>
      <c r="F100" s="48"/>
      <c r="G100" s="48"/>
      <c r="H100" s="48"/>
      <c r="I100" s="48"/>
      <c r="J100" s="48"/>
      <c r="K100" s="48"/>
      <c r="L100" s="48"/>
      <c r="M100" s="48"/>
      <c r="N100" s="48"/>
      <c r="O100" s="48"/>
      <c r="P100" s="48"/>
      <c r="Q100" s="48"/>
      <c r="R100" s="48"/>
      <c r="S100" s="48"/>
      <c r="T100" s="48"/>
      <c r="U100" s="48"/>
      <c r="V100" s="48"/>
    </row>
    <row r="101" spans="1:22" ht="30" customHeight="1">
      <c r="A101" s="48"/>
      <c r="B101" s="48"/>
      <c r="C101" s="48"/>
      <c r="D101" s="48"/>
      <c r="E101" s="48"/>
      <c r="F101" s="48"/>
      <c r="G101" s="48"/>
      <c r="H101" s="48"/>
      <c r="I101" s="48"/>
      <c r="J101" s="48"/>
      <c r="K101" s="48"/>
      <c r="L101" s="48"/>
      <c r="M101" s="48"/>
      <c r="N101" s="48"/>
      <c r="O101" s="48"/>
      <c r="P101" s="48"/>
      <c r="Q101" s="48"/>
      <c r="R101" s="48"/>
      <c r="S101" s="48"/>
      <c r="T101" s="48"/>
      <c r="U101" s="48"/>
      <c r="V101" s="48"/>
    </row>
    <row r="102" spans="1:22" ht="30" customHeight="1">
      <c r="A102" s="48"/>
      <c r="B102" s="48"/>
      <c r="C102" s="48"/>
      <c r="D102" s="48"/>
      <c r="E102" s="48"/>
      <c r="F102" s="48"/>
      <c r="G102" s="48"/>
      <c r="H102" s="48"/>
      <c r="I102" s="48"/>
      <c r="J102" s="48"/>
      <c r="K102" s="48"/>
      <c r="L102" s="48"/>
      <c r="M102" s="48"/>
      <c r="N102" s="48"/>
      <c r="O102" s="48"/>
      <c r="P102" s="48"/>
      <c r="Q102" s="48"/>
      <c r="R102" s="48"/>
      <c r="S102" s="48"/>
      <c r="T102" s="48"/>
      <c r="U102" s="48"/>
      <c r="V102" s="48"/>
    </row>
    <row r="103" spans="1:22" ht="30" customHeight="1">
      <c r="A103" s="48"/>
      <c r="B103" s="48"/>
      <c r="C103" s="48"/>
      <c r="D103" s="48"/>
      <c r="E103" s="48"/>
      <c r="F103" s="48"/>
      <c r="G103" s="48"/>
      <c r="H103" s="48"/>
      <c r="I103" s="48"/>
      <c r="J103" s="48"/>
      <c r="K103" s="48"/>
      <c r="L103" s="48"/>
      <c r="M103" s="48"/>
      <c r="N103" s="48"/>
      <c r="O103" s="48"/>
      <c r="P103" s="48"/>
      <c r="Q103" s="48"/>
      <c r="R103" s="48"/>
      <c r="S103" s="48"/>
      <c r="T103" s="48"/>
      <c r="U103" s="48"/>
      <c r="V103" s="48"/>
    </row>
    <row r="104" spans="1:22" ht="30" customHeight="1">
      <c r="A104" s="48"/>
      <c r="B104" s="48"/>
      <c r="C104" s="48"/>
      <c r="D104" s="48"/>
      <c r="E104" s="48"/>
      <c r="F104" s="48"/>
      <c r="G104" s="48"/>
      <c r="H104" s="48"/>
      <c r="I104" s="48"/>
      <c r="J104" s="48"/>
      <c r="K104" s="48"/>
      <c r="L104" s="48"/>
      <c r="M104" s="48"/>
      <c r="N104" s="48"/>
      <c r="O104" s="48"/>
      <c r="P104" s="48"/>
      <c r="Q104" s="48"/>
      <c r="R104" s="48"/>
      <c r="S104" s="48"/>
      <c r="T104" s="48"/>
      <c r="U104" s="48"/>
      <c r="V104" s="48"/>
    </row>
    <row r="105" spans="1:22" ht="30" customHeight="1">
      <c r="A105" s="48"/>
      <c r="B105" s="48"/>
      <c r="C105" s="48"/>
      <c r="D105" s="48"/>
      <c r="E105" s="48"/>
      <c r="F105" s="48"/>
      <c r="G105" s="48"/>
      <c r="H105" s="48"/>
      <c r="I105" s="48"/>
      <c r="J105" s="48"/>
      <c r="K105" s="48"/>
      <c r="L105" s="48"/>
      <c r="M105" s="48"/>
      <c r="N105" s="48"/>
      <c r="O105" s="48"/>
      <c r="P105" s="48"/>
      <c r="Q105" s="48"/>
      <c r="R105" s="48"/>
      <c r="S105" s="48"/>
      <c r="T105" s="48"/>
      <c r="U105" s="48"/>
      <c r="V105" s="48"/>
    </row>
    <row r="106" spans="1:22" ht="30" customHeight="1">
      <c r="A106" s="48"/>
      <c r="B106" s="48"/>
      <c r="C106" s="48"/>
      <c r="D106" s="48"/>
      <c r="E106" s="48"/>
      <c r="F106" s="48"/>
      <c r="G106" s="48"/>
      <c r="H106" s="48"/>
      <c r="I106" s="48"/>
      <c r="J106" s="48"/>
      <c r="K106" s="48"/>
      <c r="L106" s="48"/>
      <c r="M106" s="48"/>
      <c r="N106" s="48"/>
      <c r="O106" s="48"/>
      <c r="P106" s="48"/>
      <c r="Q106" s="48"/>
      <c r="R106" s="48"/>
      <c r="S106" s="48"/>
      <c r="T106" s="48"/>
      <c r="U106" s="48"/>
      <c r="V106" s="48"/>
    </row>
    <row r="107" spans="1:22" ht="30" customHeight="1">
      <c r="A107" s="48"/>
      <c r="B107" s="48"/>
      <c r="C107" s="48"/>
      <c r="D107" s="48"/>
      <c r="E107" s="48"/>
      <c r="F107" s="48"/>
      <c r="G107" s="48"/>
      <c r="H107" s="48"/>
      <c r="I107" s="48"/>
      <c r="J107" s="48"/>
      <c r="K107" s="48"/>
      <c r="L107" s="48"/>
      <c r="M107" s="48"/>
      <c r="N107" s="48"/>
      <c r="O107" s="48"/>
      <c r="P107" s="48"/>
      <c r="Q107" s="48"/>
      <c r="R107" s="48"/>
      <c r="S107" s="48"/>
      <c r="T107" s="48"/>
      <c r="U107" s="48"/>
      <c r="V107" s="48"/>
    </row>
    <row r="108" spans="1:22" ht="30" customHeight="1">
      <c r="A108" s="48"/>
      <c r="B108" s="48"/>
      <c r="C108" s="48"/>
      <c r="D108" s="48"/>
      <c r="E108" s="48"/>
      <c r="F108" s="48"/>
      <c r="G108" s="48"/>
      <c r="H108" s="48"/>
      <c r="I108" s="48"/>
      <c r="J108" s="48"/>
      <c r="K108" s="48"/>
      <c r="L108" s="48"/>
      <c r="M108" s="48"/>
      <c r="N108" s="48"/>
      <c r="O108" s="48"/>
      <c r="P108" s="48"/>
      <c r="Q108" s="48"/>
      <c r="R108" s="48"/>
      <c r="S108" s="48"/>
      <c r="T108" s="48"/>
      <c r="U108" s="48"/>
      <c r="V108" s="48"/>
    </row>
    <row r="109" spans="1:22" ht="30" customHeight="1">
      <c r="A109" s="48"/>
      <c r="B109" s="48"/>
      <c r="C109" s="48"/>
      <c r="D109" s="48"/>
      <c r="E109" s="48"/>
      <c r="F109" s="48"/>
      <c r="G109" s="48"/>
      <c r="H109" s="48"/>
      <c r="I109" s="48"/>
      <c r="J109" s="48"/>
      <c r="K109" s="48"/>
      <c r="L109" s="48"/>
      <c r="M109" s="48"/>
      <c r="N109" s="48"/>
      <c r="O109" s="48"/>
      <c r="P109" s="48"/>
      <c r="Q109" s="48"/>
      <c r="R109" s="48"/>
      <c r="S109" s="48"/>
      <c r="T109" s="48"/>
      <c r="U109" s="48"/>
      <c r="V109" s="48"/>
    </row>
    <row r="110" spans="1:22" ht="30" customHeight="1">
      <c r="A110" s="48"/>
      <c r="B110" s="48"/>
      <c r="C110" s="48"/>
      <c r="D110" s="48"/>
      <c r="E110" s="48"/>
      <c r="F110" s="48"/>
      <c r="G110" s="48"/>
      <c r="H110" s="48"/>
      <c r="I110" s="48"/>
      <c r="J110" s="48"/>
      <c r="K110" s="48"/>
      <c r="L110" s="48"/>
      <c r="M110" s="48"/>
      <c r="N110" s="48"/>
      <c r="O110" s="48"/>
      <c r="P110" s="48"/>
      <c r="Q110" s="48"/>
      <c r="R110" s="48"/>
      <c r="S110" s="48"/>
      <c r="T110" s="48"/>
      <c r="U110" s="48"/>
      <c r="V110" s="48"/>
    </row>
    <row r="111" spans="1:22" ht="30" customHeight="1">
      <c r="A111" s="48"/>
      <c r="B111" s="48"/>
      <c r="C111" s="48"/>
      <c r="D111" s="48"/>
      <c r="E111" s="48"/>
      <c r="F111" s="48"/>
      <c r="G111" s="48"/>
      <c r="H111" s="48"/>
      <c r="I111" s="48"/>
      <c r="J111" s="48"/>
      <c r="K111" s="48"/>
      <c r="L111" s="48"/>
      <c r="M111" s="48"/>
      <c r="N111" s="48"/>
      <c r="O111" s="48"/>
      <c r="P111" s="48"/>
      <c r="Q111" s="48"/>
      <c r="R111" s="48"/>
      <c r="S111" s="48"/>
      <c r="T111" s="48"/>
      <c r="U111" s="48"/>
      <c r="V111" s="48"/>
    </row>
    <row r="112" spans="1:22" ht="30" customHeight="1">
      <c r="A112" s="48"/>
      <c r="B112" s="48"/>
      <c r="C112" s="48"/>
      <c r="D112" s="48"/>
      <c r="E112" s="48"/>
      <c r="F112" s="48"/>
      <c r="G112" s="48"/>
      <c r="H112" s="48"/>
      <c r="I112" s="48"/>
      <c r="J112" s="48"/>
      <c r="K112" s="48"/>
      <c r="L112" s="48"/>
      <c r="M112" s="48"/>
      <c r="N112" s="48"/>
      <c r="O112" s="48"/>
      <c r="P112" s="48"/>
      <c r="Q112" s="48"/>
      <c r="R112" s="48"/>
      <c r="S112" s="48"/>
      <c r="T112" s="48"/>
      <c r="U112" s="48"/>
      <c r="V112" s="48"/>
    </row>
    <row r="113" spans="1:22" ht="30" customHeight="1">
      <c r="A113" s="48"/>
      <c r="B113" s="48"/>
      <c r="C113" s="48"/>
      <c r="D113" s="48"/>
      <c r="E113" s="48"/>
      <c r="F113" s="48"/>
      <c r="G113" s="48"/>
      <c r="H113" s="48"/>
      <c r="I113" s="48"/>
      <c r="J113" s="48"/>
      <c r="K113" s="48"/>
      <c r="L113" s="48"/>
      <c r="M113" s="48"/>
      <c r="N113" s="48"/>
      <c r="O113" s="48"/>
      <c r="P113" s="48"/>
      <c r="Q113" s="48"/>
      <c r="R113" s="48"/>
      <c r="S113" s="48"/>
      <c r="T113" s="48"/>
      <c r="U113" s="48"/>
      <c r="V113" s="48"/>
    </row>
    <row r="114" spans="1:22" ht="30" customHeight="1">
      <c r="A114" s="48"/>
      <c r="B114" s="48"/>
      <c r="C114" s="48"/>
      <c r="D114" s="48"/>
      <c r="E114" s="48"/>
      <c r="F114" s="48"/>
      <c r="G114" s="48"/>
      <c r="H114" s="48"/>
      <c r="I114" s="48"/>
      <c r="J114" s="48"/>
      <c r="K114" s="48"/>
      <c r="L114" s="48"/>
      <c r="M114" s="48"/>
      <c r="N114" s="48"/>
      <c r="O114" s="48"/>
      <c r="P114" s="48"/>
      <c r="Q114" s="48"/>
      <c r="R114" s="48"/>
      <c r="S114" s="48"/>
      <c r="T114" s="48"/>
      <c r="U114" s="48"/>
      <c r="V114" s="48"/>
    </row>
    <row r="115" spans="1:22" ht="30" customHeight="1">
      <c r="A115" s="48"/>
      <c r="B115" s="48"/>
      <c r="C115" s="48"/>
      <c r="D115" s="48"/>
      <c r="E115" s="48"/>
      <c r="F115" s="48"/>
      <c r="G115" s="48"/>
      <c r="H115" s="48"/>
      <c r="I115" s="48"/>
      <c r="J115" s="48"/>
      <c r="K115" s="48"/>
      <c r="L115" s="48"/>
      <c r="M115" s="48"/>
      <c r="N115" s="48"/>
      <c r="O115" s="48"/>
      <c r="P115" s="48"/>
      <c r="Q115" s="48"/>
      <c r="R115" s="48"/>
      <c r="S115" s="48"/>
      <c r="T115" s="48"/>
      <c r="U115" s="48"/>
      <c r="V115" s="48"/>
    </row>
    <row r="116" spans="1:22" ht="30" customHeight="1">
      <c r="A116" s="48"/>
      <c r="B116" s="48"/>
      <c r="C116" s="48"/>
      <c r="D116" s="48"/>
      <c r="E116" s="48"/>
      <c r="F116" s="48"/>
      <c r="G116" s="48"/>
      <c r="H116" s="48"/>
      <c r="I116" s="48"/>
      <c r="J116" s="48"/>
      <c r="K116" s="48"/>
      <c r="L116" s="48"/>
      <c r="M116" s="48"/>
      <c r="N116" s="48"/>
      <c r="O116" s="48"/>
      <c r="P116" s="48"/>
      <c r="Q116" s="48"/>
      <c r="R116" s="48"/>
      <c r="S116" s="48"/>
      <c r="T116" s="48"/>
      <c r="U116" s="48"/>
      <c r="V116" s="48"/>
    </row>
    <row r="117" spans="1:22" ht="30" customHeight="1">
      <c r="A117" s="48"/>
      <c r="B117" s="48"/>
      <c r="C117" s="48"/>
      <c r="D117" s="48"/>
      <c r="E117" s="48"/>
      <c r="F117" s="48"/>
      <c r="G117" s="48"/>
      <c r="H117" s="48"/>
      <c r="I117" s="48"/>
      <c r="J117" s="48"/>
      <c r="K117" s="48"/>
      <c r="L117" s="48"/>
      <c r="M117" s="48"/>
      <c r="N117" s="48"/>
      <c r="O117" s="48"/>
      <c r="P117" s="48"/>
      <c r="Q117" s="48"/>
      <c r="R117" s="48"/>
      <c r="S117" s="48"/>
      <c r="T117" s="48"/>
      <c r="U117" s="48"/>
      <c r="V117" s="48"/>
    </row>
    <row r="118" spans="1:22" ht="30" customHeight="1">
      <c r="A118" s="48"/>
      <c r="B118" s="48"/>
      <c r="C118" s="48"/>
      <c r="D118" s="48"/>
      <c r="E118" s="48"/>
      <c r="F118" s="48"/>
      <c r="G118" s="48"/>
      <c r="H118" s="48"/>
      <c r="I118" s="48"/>
      <c r="J118" s="48"/>
      <c r="K118" s="48"/>
      <c r="L118" s="48"/>
      <c r="M118" s="48"/>
      <c r="N118" s="48"/>
      <c r="O118" s="48"/>
      <c r="P118" s="48"/>
      <c r="Q118" s="48"/>
      <c r="R118" s="48"/>
      <c r="S118" s="48"/>
      <c r="T118" s="48"/>
      <c r="U118" s="48"/>
      <c r="V118" s="48"/>
    </row>
    <row r="119" spans="1:22" ht="30" customHeight="1">
      <c r="A119" s="48"/>
      <c r="B119" s="48"/>
      <c r="C119" s="48"/>
      <c r="D119" s="48"/>
      <c r="E119" s="48"/>
      <c r="F119" s="48"/>
      <c r="G119" s="48"/>
      <c r="H119" s="48"/>
      <c r="I119" s="48"/>
      <c r="J119" s="48"/>
      <c r="K119" s="48"/>
      <c r="L119" s="48"/>
      <c r="M119" s="48"/>
      <c r="N119" s="48"/>
      <c r="O119" s="48"/>
      <c r="P119" s="48"/>
      <c r="Q119" s="48"/>
      <c r="R119" s="48"/>
      <c r="S119" s="48"/>
      <c r="T119" s="48"/>
      <c r="U119" s="48"/>
      <c r="V119" s="48"/>
    </row>
    <row r="120" spans="1:22" ht="30" customHeight="1">
      <c r="A120" s="48"/>
      <c r="B120" s="48"/>
      <c r="C120" s="48"/>
      <c r="D120" s="48"/>
      <c r="E120" s="48"/>
      <c r="F120" s="48"/>
      <c r="G120" s="48"/>
      <c r="H120" s="48"/>
      <c r="I120" s="48"/>
      <c r="J120" s="48"/>
      <c r="K120" s="48"/>
      <c r="L120" s="48"/>
      <c r="M120" s="48"/>
      <c r="N120" s="48"/>
      <c r="O120" s="48"/>
      <c r="P120" s="48"/>
      <c r="Q120" s="48"/>
      <c r="R120" s="48"/>
      <c r="S120" s="48"/>
      <c r="T120" s="48"/>
      <c r="U120" s="48"/>
      <c r="V120" s="48"/>
    </row>
    <row r="121" spans="1:22" ht="30" customHeight="1">
      <c r="A121" s="48"/>
      <c r="B121" s="48"/>
      <c r="C121" s="48"/>
      <c r="D121" s="48"/>
      <c r="E121" s="48"/>
      <c r="F121" s="48"/>
      <c r="G121" s="48"/>
      <c r="H121" s="48"/>
      <c r="I121" s="48"/>
      <c r="J121" s="48"/>
      <c r="K121" s="48"/>
      <c r="L121" s="48"/>
      <c r="M121" s="48"/>
      <c r="N121" s="48"/>
      <c r="O121" s="48"/>
      <c r="P121" s="48"/>
      <c r="Q121" s="48"/>
      <c r="R121" s="48"/>
      <c r="S121" s="48"/>
      <c r="T121" s="48"/>
      <c r="U121" s="48"/>
      <c r="V121" s="48"/>
    </row>
  </sheetData>
  <mergeCells count="3">
    <mergeCell ref="A3:V3"/>
    <mergeCell ref="A4:V4"/>
    <mergeCell ref="A1:V1"/>
  </mergeCells>
  <dataValidations count="4">
    <dataValidation type="list" allowBlank="1" sqref="T7:T121" xr:uid="{00000000-0002-0000-2200-000000000000}">
      <formula1>"Not Started,In Progress,Awaiting Information,Complete,N/A,On Hold,Gap / Action Required,Approved,Rejected,Superseded"</formula1>
    </dataValidation>
    <dataValidation type="list" allowBlank="1" sqref="I8:I27" xr:uid="{00000000-0002-0000-2200-000001000000}">
      <formula1>"Not Started,Approved,Conditional,Rejected,Needs Review,Not Applicable"</formula1>
    </dataValidation>
    <dataValidation type="list" allowBlank="1" sqref="L8:L27" xr:uid="{00000000-0002-0000-2200-000002000000}">
      <formula1>"Not Started,In Progress,Needs Review,Complete,Not Applicable,Blocked"</formula1>
    </dataValidation>
    <dataValidation type="list" allowBlank="1" sqref="O8:O27" xr:uid="{00000000-0002-0000-2200-000003000000}">
      <formula1>"Y,N,N/A,Conditional"</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2E75B6"/>
  </sheetPr>
  <dimension ref="A1:U121"/>
  <sheetViews>
    <sheetView showGridLines="0" workbookViewId="0"/>
  </sheetViews>
  <sheetFormatPr defaultRowHeight="15"/>
  <cols>
    <col min="1" max="2" width="18" customWidth="1"/>
    <col min="3" max="3" width="24" customWidth="1"/>
    <col min="4" max="4" width="26" customWidth="1"/>
    <col min="5" max="6" width="22" customWidth="1"/>
    <col min="7" max="7" width="20" customWidth="1"/>
    <col min="8" max="8" width="22" customWidth="1"/>
    <col min="9" max="10" width="30" customWidth="1"/>
    <col min="11" max="11" width="18" customWidth="1"/>
    <col min="12" max="12" width="20" customWidth="1"/>
    <col min="13" max="13" width="34" customWidth="1"/>
    <col min="14" max="14" width="16" customWidth="1"/>
    <col min="15" max="15" width="30" customWidth="1"/>
    <col min="16" max="16" width="24" customWidth="1"/>
    <col min="17" max="17" width="28" customWidth="1"/>
    <col min="18" max="18" width="24" customWidth="1"/>
    <col min="19" max="20" width="18" customWidth="1"/>
    <col min="21" max="21" width="34" customWidth="1"/>
  </cols>
  <sheetData>
    <row r="1" spans="1:21" s="48" customFormat="1">
      <c r="A1" s="177" t="s">
        <v>1953</v>
      </c>
      <c r="B1" s="177"/>
      <c r="C1" s="177"/>
      <c r="D1" s="177"/>
      <c r="E1" s="177"/>
      <c r="F1" s="177"/>
      <c r="G1" s="177"/>
      <c r="H1" s="177"/>
      <c r="I1" s="177"/>
      <c r="J1" s="177"/>
      <c r="K1" s="177"/>
      <c r="L1" s="177"/>
      <c r="M1" s="177"/>
      <c r="N1" s="177"/>
      <c r="O1" s="177"/>
      <c r="P1" s="177"/>
      <c r="Q1" s="177"/>
      <c r="R1" s="177"/>
      <c r="S1" s="177"/>
      <c r="T1" s="177"/>
      <c r="U1" s="177"/>
    </row>
    <row r="2" spans="1:21" ht="24" customHeight="1">
      <c r="A2" s="56" t="s">
        <v>0</v>
      </c>
      <c r="B2" s="56"/>
      <c r="C2" s="56"/>
      <c r="D2" s="56"/>
      <c r="E2" s="56"/>
      <c r="F2" s="56"/>
      <c r="G2" s="56"/>
      <c r="H2" s="56"/>
      <c r="I2" s="56"/>
      <c r="J2" s="56"/>
      <c r="K2" s="56"/>
      <c r="L2" s="56"/>
      <c r="M2" s="56"/>
      <c r="N2" s="48"/>
      <c r="O2" s="48"/>
      <c r="P2" s="48"/>
      <c r="Q2" s="48"/>
      <c r="R2" s="48"/>
      <c r="S2" s="48"/>
      <c r="T2" s="48"/>
      <c r="U2" s="48"/>
    </row>
    <row r="3" spans="1:21" ht="30" customHeight="1">
      <c r="A3" s="168" t="s">
        <v>1982</v>
      </c>
      <c r="B3" s="193"/>
      <c r="C3" s="193"/>
      <c r="D3" s="193"/>
      <c r="E3" s="193"/>
      <c r="F3" s="193"/>
      <c r="G3" s="193"/>
      <c r="H3" s="193"/>
      <c r="I3" s="193"/>
      <c r="J3" s="193"/>
      <c r="K3" s="193"/>
      <c r="L3" s="193"/>
      <c r="M3" s="193"/>
      <c r="N3" s="193"/>
      <c r="O3" s="193"/>
      <c r="P3" s="193"/>
      <c r="Q3" s="193"/>
      <c r="R3" s="193"/>
      <c r="S3" s="193"/>
      <c r="T3" s="193"/>
      <c r="U3" s="193"/>
    </row>
    <row r="4" spans="1:21" ht="30" customHeight="1">
      <c r="A4" s="167" t="s">
        <v>1983</v>
      </c>
      <c r="B4" s="193"/>
      <c r="C4" s="193"/>
      <c r="D4" s="193"/>
      <c r="E4" s="193"/>
      <c r="F4" s="193"/>
      <c r="G4" s="193"/>
      <c r="H4" s="193"/>
      <c r="I4" s="193"/>
      <c r="J4" s="193"/>
      <c r="K4" s="193"/>
      <c r="L4" s="193"/>
      <c r="M4" s="193"/>
      <c r="N4" s="193"/>
      <c r="O4" s="193"/>
      <c r="P4" s="193"/>
      <c r="Q4" s="193"/>
      <c r="R4" s="193"/>
      <c r="S4" s="193"/>
      <c r="T4" s="193"/>
      <c r="U4" s="193"/>
    </row>
    <row r="5" spans="1:21">
      <c r="A5" s="46"/>
      <c r="B5" s="46"/>
      <c r="C5" s="46"/>
      <c r="D5" s="46"/>
      <c r="E5" s="46"/>
      <c r="F5" s="46"/>
      <c r="G5" s="46"/>
      <c r="H5" s="46"/>
      <c r="I5" s="46"/>
      <c r="J5" s="46"/>
      <c r="K5" s="46"/>
      <c r="L5" s="46"/>
      <c r="M5" s="46"/>
      <c r="N5" s="48"/>
      <c r="O5" s="48"/>
      <c r="P5" s="48"/>
      <c r="Q5" s="48"/>
      <c r="R5" s="48"/>
      <c r="S5" s="48"/>
      <c r="T5" s="48"/>
      <c r="U5" s="48"/>
    </row>
    <row r="6" spans="1:21" ht="21.95" customHeight="1">
      <c r="A6" s="57" t="s">
        <v>1984</v>
      </c>
      <c r="B6" s="57"/>
      <c r="C6" s="57"/>
      <c r="D6" s="57"/>
      <c r="E6" s="57"/>
      <c r="F6" s="57"/>
      <c r="G6" s="57"/>
      <c r="H6" s="57"/>
      <c r="I6" s="57"/>
      <c r="J6" s="57"/>
      <c r="K6" s="57"/>
      <c r="L6" s="57"/>
      <c r="M6" s="57"/>
      <c r="N6" s="48"/>
      <c r="O6" s="48"/>
      <c r="P6" s="48"/>
      <c r="Q6" s="48"/>
      <c r="R6" s="48"/>
      <c r="S6" s="48"/>
      <c r="T6" s="48"/>
      <c r="U6" s="48"/>
    </row>
    <row r="7" spans="1:21" ht="33.950000000000003" customHeight="1">
      <c r="A7" s="36" t="s">
        <v>1757</v>
      </c>
      <c r="B7" s="36" t="s">
        <v>1019</v>
      </c>
      <c r="C7" s="36" t="s">
        <v>1985</v>
      </c>
      <c r="D7" s="36" t="s">
        <v>1986</v>
      </c>
      <c r="E7" s="36" t="s">
        <v>1987</v>
      </c>
      <c r="F7" s="36" t="s">
        <v>1988</v>
      </c>
      <c r="G7" s="36" t="s">
        <v>1951</v>
      </c>
      <c r="H7" s="36" t="s">
        <v>1940</v>
      </c>
      <c r="I7" s="36" t="s">
        <v>1941</v>
      </c>
      <c r="J7" s="36" t="s">
        <v>1942</v>
      </c>
      <c r="K7" s="36" t="s">
        <v>145</v>
      </c>
      <c r="L7" s="36" t="s">
        <v>144</v>
      </c>
      <c r="M7" s="36" t="s">
        <v>70</v>
      </c>
      <c r="N7" s="48"/>
      <c r="O7" s="48"/>
      <c r="P7" s="48"/>
      <c r="Q7" s="48"/>
      <c r="R7" s="48"/>
      <c r="S7" s="48"/>
      <c r="T7" s="48"/>
      <c r="U7" s="48"/>
    </row>
    <row r="8" spans="1:21" ht="30" customHeight="1">
      <c r="A8" s="37"/>
      <c r="B8" s="37"/>
      <c r="C8" s="37"/>
      <c r="D8" s="37"/>
      <c r="E8" s="37"/>
      <c r="F8" s="37"/>
      <c r="G8" s="37"/>
      <c r="H8" s="37"/>
      <c r="I8" s="37"/>
      <c r="J8" s="37"/>
      <c r="K8" s="37" t="s">
        <v>152</v>
      </c>
      <c r="L8" s="37"/>
      <c r="M8" s="37"/>
      <c r="N8" s="48"/>
      <c r="O8" s="48"/>
      <c r="P8" s="48"/>
      <c r="Q8" s="48"/>
      <c r="R8" s="48"/>
      <c r="S8" s="48"/>
      <c r="T8" s="48"/>
      <c r="U8" s="48"/>
    </row>
    <row r="9" spans="1:21" ht="30" customHeight="1">
      <c r="A9" s="37"/>
      <c r="B9" s="37"/>
      <c r="C9" s="37"/>
      <c r="D9" s="37"/>
      <c r="E9" s="37"/>
      <c r="F9" s="37"/>
      <c r="G9" s="37"/>
      <c r="H9" s="37"/>
      <c r="I9" s="37"/>
      <c r="J9" s="37"/>
      <c r="K9" s="37" t="s">
        <v>152</v>
      </c>
      <c r="L9" s="37"/>
      <c r="M9" s="37"/>
      <c r="N9" s="48"/>
      <c r="O9" s="48"/>
      <c r="P9" s="48"/>
      <c r="Q9" s="48"/>
      <c r="R9" s="48"/>
      <c r="S9" s="48"/>
      <c r="T9" s="48"/>
      <c r="U9" s="48"/>
    </row>
    <row r="10" spans="1:21" ht="30" customHeight="1">
      <c r="A10" s="37"/>
      <c r="B10" s="37"/>
      <c r="C10" s="37"/>
      <c r="D10" s="37"/>
      <c r="E10" s="37"/>
      <c r="F10" s="37"/>
      <c r="G10" s="37"/>
      <c r="H10" s="37"/>
      <c r="I10" s="37"/>
      <c r="J10" s="37"/>
      <c r="K10" s="37" t="s">
        <v>152</v>
      </c>
      <c r="L10" s="37"/>
      <c r="M10" s="37"/>
      <c r="N10" s="48"/>
      <c r="O10" s="48"/>
      <c r="P10" s="48"/>
      <c r="Q10" s="48"/>
      <c r="R10" s="48"/>
      <c r="S10" s="48"/>
      <c r="T10" s="48"/>
      <c r="U10" s="48"/>
    </row>
    <row r="11" spans="1:21" ht="30" customHeight="1">
      <c r="A11" s="37"/>
      <c r="B11" s="37"/>
      <c r="C11" s="37"/>
      <c r="D11" s="37"/>
      <c r="E11" s="37"/>
      <c r="F11" s="37"/>
      <c r="G11" s="37"/>
      <c r="H11" s="37"/>
      <c r="I11" s="37"/>
      <c r="J11" s="37"/>
      <c r="K11" s="37" t="s">
        <v>152</v>
      </c>
      <c r="L11" s="37"/>
      <c r="M11" s="37"/>
      <c r="N11" s="48"/>
      <c r="O11" s="48"/>
      <c r="P11" s="48"/>
      <c r="Q11" s="48"/>
      <c r="R11" s="48"/>
      <c r="S11" s="48"/>
      <c r="T11" s="48"/>
      <c r="U11" s="48"/>
    </row>
    <row r="12" spans="1:21" ht="30" customHeight="1">
      <c r="A12" s="37"/>
      <c r="B12" s="37"/>
      <c r="C12" s="37"/>
      <c r="D12" s="37"/>
      <c r="E12" s="37"/>
      <c r="F12" s="37"/>
      <c r="G12" s="37"/>
      <c r="H12" s="37"/>
      <c r="I12" s="37"/>
      <c r="J12" s="37"/>
      <c r="K12" s="37" t="s">
        <v>152</v>
      </c>
      <c r="L12" s="37"/>
      <c r="M12" s="37"/>
      <c r="N12" s="48"/>
      <c r="O12" s="48"/>
      <c r="P12" s="48"/>
      <c r="Q12" s="48"/>
      <c r="R12" s="48"/>
      <c r="S12" s="48"/>
      <c r="T12" s="48"/>
      <c r="U12" s="48"/>
    </row>
    <row r="13" spans="1:21" ht="30" customHeight="1">
      <c r="A13" s="37"/>
      <c r="B13" s="37"/>
      <c r="C13" s="37"/>
      <c r="D13" s="37"/>
      <c r="E13" s="37"/>
      <c r="F13" s="37"/>
      <c r="G13" s="37"/>
      <c r="H13" s="37"/>
      <c r="I13" s="37"/>
      <c r="J13" s="37"/>
      <c r="K13" s="37" t="s">
        <v>152</v>
      </c>
      <c r="L13" s="37"/>
      <c r="M13" s="37"/>
      <c r="N13" s="48"/>
      <c r="O13" s="48"/>
      <c r="P13" s="48"/>
      <c r="Q13" s="48"/>
      <c r="R13" s="48"/>
      <c r="S13" s="48"/>
      <c r="T13" s="48"/>
      <c r="U13" s="48"/>
    </row>
    <row r="14" spans="1:21" ht="30" customHeight="1">
      <c r="A14" s="37"/>
      <c r="B14" s="37"/>
      <c r="C14" s="37"/>
      <c r="D14" s="37"/>
      <c r="E14" s="37"/>
      <c r="F14" s="37"/>
      <c r="G14" s="37"/>
      <c r="H14" s="37"/>
      <c r="I14" s="37"/>
      <c r="J14" s="37"/>
      <c r="K14" s="37" t="s">
        <v>152</v>
      </c>
      <c r="L14" s="37"/>
      <c r="M14" s="37"/>
      <c r="N14" s="48"/>
      <c r="O14" s="48"/>
      <c r="P14" s="48"/>
      <c r="Q14" s="48"/>
      <c r="R14" s="48"/>
      <c r="S14" s="48"/>
      <c r="T14" s="48"/>
      <c r="U14" s="48"/>
    </row>
    <row r="15" spans="1:21" ht="30" customHeight="1">
      <c r="A15" s="37"/>
      <c r="B15" s="37"/>
      <c r="C15" s="37"/>
      <c r="D15" s="37"/>
      <c r="E15" s="37"/>
      <c r="F15" s="37"/>
      <c r="G15" s="37"/>
      <c r="H15" s="37"/>
      <c r="I15" s="37"/>
      <c r="J15" s="37"/>
      <c r="K15" s="37" t="s">
        <v>152</v>
      </c>
      <c r="L15" s="37"/>
      <c r="M15" s="37"/>
      <c r="N15" s="48"/>
      <c r="O15" s="48"/>
      <c r="P15" s="48"/>
      <c r="Q15" s="48"/>
      <c r="R15" s="48"/>
      <c r="S15" s="48"/>
      <c r="T15" s="48"/>
      <c r="U15" s="48"/>
    </row>
    <row r="16" spans="1:21" ht="30" customHeight="1">
      <c r="A16" s="37"/>
      <c r="B16" s="37"/>
      <c r="C16" s="37"/>
      <c r="D16" s="37"/>
      <c r="E16" s="37"/>
      <c r="F16" s="37"/>
      <c r="G16" s="37"/>
      <c r="H16" s="37"/>
      <c r="I16" s="37"/>
      <c r="J16" s="37"/>
      <c r="K16" s="37" t="s">
        <v>152</v>
      </c>
      <c r="L16" s="37"/>
      <c r="M16" s="37"/>
      <c r="N16" s="48"/>
      <c r="O16" s="48"/>
      <c r="P16" s="48"/>
      <c r="Q16" s="48"/>
      <c r="R16" s="48"/>
      <c r="S16" s="48"/>
      <c r="T16" s="48"/>
      <c r="U16" s="48"/>
    </row>
    <row r="17" spans="1:21" ht="30" customHeight="1">
      <c r="A17" s="37"/>
      <c r="B17" s="37"/>
      <c r="C17" s="37"/>
      <c r="D17" s="37"/>
      <c r="E17" s="37"/>
      <c r="F17" s="37"/>
      <c r="G17" s="37"/>
      <c r="H17" s="37"/>
      <c r="I17" s="37"/>
      <c r="J17" s="37"/>
      <c r="K17" s="37" t="s">
        <v>152</v>
      </c>
      <c r="L17" s="37"/>
      <c r="M17" s="37"/>
      <c r="N17" s="48"/>
      <c r="O17" s="48"/>
      <c r="P17" s="48"/>
      <c r="Q17" s="48"/>
      <c r="R17" s="48"/>
      <c r="S17" s="48"/>
      <c r="T17" s="48"/>
      <c r="U17" s="48"/>
    </row>
    <row r="18" spans="1:21" ht="30" customHeight="1">
      <c r="A18" s="37"/>
      <c r="B18" s="37"/>
      <c r="C18" s="37"/>
      <c r="D18" s="37"/>
      <c r="E18" s="37"/>
      <c r="F18" s="37"/>
      <c r="G18" s="37"/>
      <c r="H18" s="37"/>
      <c r="I18" s="37"/>
      <c r="J18" s="37"/>
      <c r="K18" s="37" t="s">
        <v>152</v>
      </c>
      <c r="L18" s="37"/>
      <c r="M18" s="37"/>
      <c r="N18" s="48"/>
      <c r="O18" s="48"/>
      <c r="P18" s="48"/>
      <c r="Q18" s="48"/>
      <c r="R18" s="48"/>
      <c r="S18" s="48"/>
      <c r="T18" s="48"/>
      <c r="U18" s="48"/>
    </row>
    <row r="19" spans="1:21" ht="30" customHeight="1">
      <c r="A19" s="37"/>
      <c r="B19" s="37"/>
      <c r="C19" s="37"/>
      <c r="D19" s="37"/>
      <c r="E19" s="37"/>
      <c r="F19" s="37"/>
      <c r="G19" s="37"/>
      <c r="H19" s="37"/>
      <c r="I19" s="37"/>
      <c r="J19" s="37"/>
      <c r="K19" s="37" t="s">
        <v>152</v>
      </c>
      <c r="L19" s="37"/>
      <c r="M19" s="37"/>
      <c r="N19" s="48"/>
      <c r="O19" s="48"/>
      <c r="P19" s="48"/>
      <c r="Q19" s="48"/>
      <c r="R19" s="48"/>
      <c r="S19" s="48"/>
      <c r="T19" s="48"/>
      <c r="U19" s="48"/>
    </row>
    <row r="20" spans="1:21" ht="30" customHeight="1">
      <c r="A20" s="46"/>
      <c r="B20" s="46"/>
      <c r="C20" s="46"/>
      <c r="D20" s="46"/>
      <c r="E20" s="46"/>
      <c r="F20" s="46"/>
      <c r="G20" s="46"/>
      <c r="H20" s="46"/>
      <c r="I20" s="46"/>
      <c r="J20" s="46"/>
      <c r="K20" s="46"/>
      <c r="L20" s="46"/>
      <c r="M20" s="46"/>
      <c r="N20" s="48"/>
      <c r="O20" s="48"/>
      <c r="P20" s="48"/>
      <c r="Q20" s="48"/>
      <c r="R20" s="48"/>
      <c r="S20" s="48"/>
      <c r="T20" s="48"/>
      <c r="U20" s="48"/>
    </row>
    <row r="21" spans="1:21" ht="30" customHeight="1">
      <c r="A21" s="48"/>
      <c r="B21" s="48"/>
      <c r="C21" s="48"/>
      <c r="D21" s="48"/>
      <c r="E21" s="48"/>
      <c r="F21" s="48"/>
      <c r="G21" s="48"/>
      <c r="H21" s="48"/>
      <c r="I21" s="48"/>
      <c r="J21" s="48"/>
      <c r="K21" s="48"/>
      <c r="L21" s="48"/>
      <c r="M21" s="48"/>
      <c r="N21" s="48"/>
      <c r="O21" s="48"/>
      <c r="P21" s="48"/>
      <c r="Q21" s="48"/>
      <c r="R21" s="48"/>
      <c r="S21" s="48"/>
      <c r="T21" s="48"/>
      <c r="U21" s="48"/>
    </row>
    <row r="22" spans="1:21" ht="30" customHeight="1">
      <c r="A22" s="48"/>
      <c r="B22" s="48"/>
      <c r="C22" s="48"/>
      <c r="D22" s="48"/>
      <c r="E22" s="48"/>
      <c r="F22" s="48"/>
      <c r="G22" s="48"/>
      <c r="H22" s="48"/>
      <c r="I22" s="48"/>
      <c r="J22" s="48"/>
      <c r="K22" s="48"/>
      <c r="L22" s="48"/>
      <c r="M22" s="48"/>
      <c r="N22" s="48"/>
      <c r="O22" s="48"/>
      <c r="P22" s="48"/>
      <c r="Q22" s="48"/>
      <c r="R22" s="48"/>
      <c r="S22" s="48"/>
      <c r="T22" s="48"/>
      <c r="U22" s="48"/>
    </row>
    <row r="23" spans="1:21" ht="30" customHeight="1">
      <c r="A23" s="48"/>
      <c r="B23" s="48"/>
      <c r="C23" s="48"/>
      <c r="D23" s="48"/>
      <c r="E23" s="48"/>
      <c r="F23" s="48"/>
      <c r="G23" s="48"/>
      <c r="H23" s="48"/>
      <c r="I23" s="48"/>
      <c r="J23" s="48"/>
      <c r="K23" s="48"/>
      <c r="L23" s="48"/>
      <c r="M23" s="48"/>
      <c r="N23" s="48"/>
      <c r="O23" s="48"/>
      <c r="P23" s="48"/>
      <c r="Q23" s="48"/>
      <c r="R23" s="48"/>
      <c r="S23" s="48"/>
      <c r="T23" s="48"/>
      <c r="U23" s="48"/>
    </row>
    <row r="24" spans="1:21" ht="30" customHeight="1">
      <c r="A24" s="48"/>
      <c r="B24" s="48"/>
      <c r="C24" s="48"/>
      <c r="D24" s="48"/>
      <c r="E24" s="48"/>
      <c r="F24" s="48"/>
      <c r="G24" s="48"/>
      <c r="H24" s="48"/>
      <c r="I24" s="48"/>
      <c r="J24" s="48"/>
      <c r="K24" s="48"/>
      <c r="L24" s="48"/>
      <c r="M24" s="48"/>
      <c r="N24" s="48"/>
      <c r="O24" s="48"/>
      <c r="P24" s="48"/>
      <c r="Q24" s="48"/>
      <c r="R24" s="48"/>
      <c r="S24" s="48"/>
      <c r="T24" s="48"/>
      <c r="U24" s="48"/>
    </row>
    <row r="25" spans="1:21" ht="30" customHeight="1">
      <c r="A25" s="48"/>
      <c r="B25" s="48"/>
      <c r="C25" s="48"/>
      <c r="D25" s="48"/>
      <c r="E25" s="48"/>
      <c r="F25" s="48"/>
      <c r="G25" s="48"/>
      <c r="H25" s="48"/>
      <c r="I25" s="48"/>
      <c r="J25" s="48"/>
      <c r="K25" s="48"/>
      <c r="L25" s="48"/>
      <c r="M25" s="48"/>
      <c r="N25" s="48"/>
      <c r="O25" s="48"/>
      <c r="P25" s="48"/>
      <c r="Q25" s="48"/>
      <c r="R25" s="48"/>
      <c r="S25" s="48"/>
      <c r="T25" s="48"/>
      <c r="U25" s="48"/>
    </row>
    <row r="26" spans="1:21" ht="30" customHeight="1">
      <c r="A26" s="48"/>
      <c r="B26" s="48"/>
      <c r="C26" s="48"/>
      <c r="D26" s="48"/>
      <c r="E26" s="48"/>
      <c r="F26" s="48"/>
      <c r="G26" s="48"/>
      <c r="H26" s="48"/>
      <c r="I26" s="48"/>
      <c r="J26" s="48"/>
      <c r="K26" s="48"/>
      <c r="L26" s="48"/>
      <c r="M26" s="48"/>
      <c r="N26" s="48"/>
      <c r="O26" s="48"/>
      <c r="P26" s="48"/>
      <c r="Q26" s="48"/>
      <c r="R26" s="48"/>
      <c r="S26" s="48"/>
      <c r="T26" s="48"/>
      <c r="U26" s="48"/>
    </row>
    <row r="27" spans="1:21" ht="30" customHeight="1">
      <c r="A27" s="48"/>
      <c r="B27" s="48"/>
      <c r="C27" s="48"/>
      <c r="D27" s="48"/>
      <c r="E27" s="48"/>
      <c r="F27" s="48"/>
      <c r="G27" s="48"/>
      <c r="H27" s="48"/>
      <c r="I27" s="48"/>
      <c r="J27" s="48"/>
      <c r="K27" s="48"/>
      <c r="L27" s="48"/>
      <c r="M27" s="48"/>
      <c r="N27" s="48"/>
      <c r="O27" s="48"/>
      <c r="P27" s="48"/>
      <c r="Q27" s="48"/>
      <c r="R27" s="48"/>
      <c r="S27" s="48"/>
      <c r="T27" s="48"/>
      <c r="U27" s="48"/>
    </row>
    <row r="28" spans="1:21" ht="30" customHeight="1">
      <c r="A28" s="48"/>
      <c r="B28" s="48"/>
      <c r="C28" s="48"/>
      <c r="D28" s="48"/>
      <c r="E28" s="48"/>
      <c r="F28" s="48"/>
      <c r="G28" s="48"/>
      <c r="H28" s="48"/>
      <c r="I28" s="48"/>
      <c r="J28" s="48"/>
      <c r="K28" s="48"/>
      <c r="L28" s="48"/>
      <c r="M28" s="48"/>
      <c r="N28" s="48"/>
      <c r="O28" s="48"/>
      <c r="P28" s="48"/>
      <c r="Q28" s="48"/>
      <c r="R28" s="48"/>
      <c r="S28" s="48"/>
      <c r="T28" s="48"/>
      <c r="U28" s="48"/>
    </row>
    <row r="29" spans="1:21" ht="30" customHeight="1">
      <c r="A29" s="48"/>
      <c r="B29" s="48"/>
      <c r="C29" s="48"/>
      <c r="D29" s="48"/>
      <c r="E29" s="48"/>
      <c r="F29" s="48"/>
      <c r="G29" s="48"/>
      <c r="H29" s="48"/>
      <c r="I29" s="48"/>
      <c r="J29" s="48"/>
      <c r="K29" s="48"/>
      <c r="L29" s="48"/>
      <c r="M29" s="48"/>
      <c r="N29" s="48"/>
      <c r="O29" s="48"/>
      <c r="P29" s="48"/>
      <c r="Q29" s="48"/>
      <c r="R29" s="48"/>
      <c r="S29" s="48"/>
      <c r="T29" s="48"/>
      <c r="U29" s="48"/>
    </row>
    <row r="30" spans="1:21" ht="30" customHeight="1">
      <c r="A30" s="48"/>
      <c r="B30" s="48"/>
      <c r="C30" s="48"/>
      <c r="D30" s="48"/>
      <c r="E30" s="48"/>
      <c r="F30" s="48"/>
      <c r="G30" s="48"/>
      <c r="H30" s="48"/>
      <c r="I30" s="48"/>
      <c r="J30" s="48"/>
      <c r="K30" s="48"/>
      <c r="L30" s="48"/>
      <c r="M30" s="48"/>
      <c r="N30" s="48"/>
      <c r="O30" s="48"/>
      <c r="P30" s="48"/>
      <c r="Q30" s="48"/>
      <c r="R30" s="48"/>
      <c r="S30" s="48"/>
      <c r="T30" s="48"/>
      <c r="U30" s="48"/>
    </row>
    <row r="31" spans="1:21" ht="30" customHeight="1">
      <c r="A31" s="48"/>
      <c r="B31" s="48"/>
      <c r="C31" s="48"/>
      <c r="D31" s="48"/>
      <c r="E31" s="48"/>
      <c r="F31" s="48"/>
      <c r="G31" s="48"/>
      <c r="H31" s="48"/>
      <c r="I31" s="48"/>
      <c r="J31" s="48"/>
      <c r="K31" s="48"/>
      <c r="L31" s="48"/>
      <c r="M31" s="48"/>
      <c r="N31" s="48"/>
      <c r="O31" s="48"/>
      <c r="P31" s="48"/>
      <c r="Q31" s="48"/>
      <c r="R31" s="48"/>
      <c r="S31" s="48"/>
      <c r="T31" s="48"/>
      <c r="U31" s="48"/>
    </row>
    <row r="32" spans="1:21" ht="30" customHeight="1">
      <c r="A32" s="48"/>
      <c r="B32" s="48"/>
      <c r="C32" s="48"/>
      <c r="D32" s="48"/>
      <c r="E32" s="48"/>
      <c r="F32" s="48"/>
      <c r="G32" s="48"/>
      <c r="H32" s="48"/>
      <c r="I32" s="48"/>
      <c r="J32" s="48"/>
      <c r="K32" s="48"/>
      <c r="L32" s="48"/>
      <c r="M32" s="48"/>
      <c r="N32" s="48"/>
      <c r="O32" s="48"/>
      <c r="P32" s="48"/>
      <c r="Q32" s="48"/>
      <c r="R32" s="48"/>
      <c r="S32" s="48"/>
      <c r="T32" s="48"/>
      <c r="U32" s="48"/>
    </row>
    <row r="33" spans="1:21" ht="30" customHeight="1">
      <c r="A33" s="48"/>
      <c r="B33" s="48"/>
      <c r="C33" s="48"/>
      <c r="D33" s="48"/>
      <c r="E33" s="48"/>
      <c r="F33" s="48"/>
      <c r="G33" s="48"/>
      <c r="H33" s="48"/>
      <c r="I33" s="48"/>
      <c r="J33" s="48"/>
      <c r="K33" s="48"/>
      <c r="L33" s="48"/>
      <c r="M33" s="48"/>
      <c r="N33" s="48"/>
      <c r="O33" s="48"/>
      <c r="P33" s="48"/>
      <c r="Q33" s="48"/>
      <c r="R33" s="48"/>
      <c r="S33" s="48"/>
      <c r="T33" s="48"/>
      <c r="U33" s="48"/>
    </row>
    <row r="34" spans="1:21" ht="30" customHeight="1">
      <c r="A34" s="48"/>
      <c r="B34" s="48"/>
      <c r="C34" s="48"/>
      <c r="D34" s="48"/>
      <c r="E34" s="48"/>
      <c r="F34" s="48"/>
      <c r="G34" s="48"/>
      <c r="H34" s="48"/>
      <c r="I34" s="48"/>
      <c r="J34" s="48"/>
      <c r="K34" s="48"/>
      <c r="L34" s="48"/>
      <c r="M34" s="48"/>
      <c r="N34" s="48"/>
      <c r="O34" s="48"/>
      <c r="P34" s="48"/>
      <c r="Q34" s="48"/>
      <c r="R34" s="48"/>
      <c r="S34" s="48"/>
      <c r="T34" s="48"/>
      <c r="U34" s="48"/>
    </row>
    <row r="35" spans="1:21" ht="30" customHeight="1">
      <c r="A35" s="48"/>
      <c r="B35" s="48"/>
      <c r="C35" s="48"/>
      <c r="D35" s="48"/>
      <c r="E35" s="48"/>
      <c r="F35" s="48"/>
      <c r="G35" s="48"/>
      <c r="H35" s="48"/>
      <c r="I35" s="48"/>
      <c r="J35" s="48"/>
      <c r="K35" s="48"/>
      <c r="L35" s="48"/>
      <c r="M35" s="48"/>
      <c r="N35" s="48"/>
      <c r="O35" s="48"/>
      <c r="P35" s="48"/>
      <c r="Q35" s="48"/>
      <c r="R35" s="48"/>
      <c r="S35" s="48"/>
      <c r="T35" s="48"/>
      <c r="U35" s="48"/>
    </row>
    <row r="36" spans="1:21" ht="30" customHeight="1">
      <c r="A36" s="48"/>
      <c r="B36" s="48"/>
      <c r="C36" s="48"/>
      <c r="D36" s="48"/>
      <c r="E36" s="48"/>
      <c r="F36" s="48"/>
      <c r="G36" s="48"/>
      <c r="H36" s="48"/>
      <c r="I36" s="48"/>
      <c r="J36" s="48"/>
      <c r="K36" s="48"/>
      <c r="L36" s="48"/>
      <c r="M36" s="48"/>
      <c r="N36" s="48"/>
      <c r="O36" s="48"/>
      <c r="P36" s="48"/>
      <c r="Q36" s="48"/>
      <c r="R36" s="48"/>
      <c r="S36" s="48"/>
      <c r="T36" s="48"/>
      <c r="U36" s="48"/>
    </row>
    <row r="37" spans="1:21" ht="30" customHeight="1">
      <c r="A37" s="48"/>
      <c r="B37" s="48"/>
      <c r="C37" s="48"/>
      <c r="D37" s="48"/>
      <c r="E37" s="48"/>
      <c r="F37" s="48"/>
      <c r="G37" s="48"/>
      <c r="H37" s="48"/>
      <c r="I37" s="48"/>
      <c r="J37" s="48"/>
      <c r="K37" s="48"/>
      <c r="L37" s="48"/>
      <c r="M37" s="48"/>
      <c r="N37" s="48"/>
      <c r="O37" s="48"/>
      <c r="P37" s="48"/>
      <c r="Q37" s="48"/>
      <c r="R37" s="48"/>
      <c r="S37" s="48"/>
      <c r="T37" s="48"/>
      <c r="U37" s="48"/>
    </row>
    <row r="38" spans="1:21" ht="30" customHeight="1">
      <c r="A38" s="48"/>
      <c r="B38" s="48"/>
      <c r="C38" s="48"/>
      <c r="D38" s="48"/>
      <c r="E38" s="48"/>
      <c r="F38" s="48"/>
      <c r="G38" s="48"/>
      <c r="H38" s="48"/>
      <c r="I38" s="48"/>
      <c r="J38" s="48"/>
      <c r="K38" s="48"/>
      <c r="L38" s="48"/>
      <c r="M38" s="48"/>
      <c r="N38" s="48"/>
      <c r="O38" s="48"/>
      <c r="P38" s="48"/>
      <c r="Q38" s="48"/>
      <c r="R38" s="48"/>
      <c r="S38" s="48"/>
      <c r="T38" s="48"/>
      <c r="U38" s="48"/>
    </row>
    <row r="39" spans="1:21" ht="30" customHeight="1">
      <c r="A39" s="48"/>
      <c r="B39" s="48"/>
      <c r="C39" s="48"/>
      <c r="D39" s="48"/>
      <c r="E39" s="48"/>
      <c r="F39" s="48"/>
      <c r="G39" s="48"/>
      <c r="H39" s="48"/>
      <c r="I39" s="48"/>
      <c r="J39" s="48"/>
      <c r="K39" s="48"/>
      <c r="L39" s="48"/>
      <c r="M39" s="48"/>
      <c r="N39" s="48"/>
      <c r="O39" s="48"/>
      <c r="P39" s="48"/>
      <c r="Q39" s="48"/>
      <c r="R39" s="48"/>
      <c r="S39" s="48"/>
      <c r="T39" s="48"/>
      <c r="U39" s="48"/>
    </row>
    <row r="40" spans="1:21" ht="30" customHeight="1">
      <c r="A40" s="48"/>
      <c r="B40" s="48"/>
      <c r="C40" s="48"/>
      <c r="D40" s="48"/>
      <c r="E40" s="48"/>
      <c r="F40" s="48"/>
      <c r="G40" s="48"/>
      <c r="H40" s="48"/>
      <c r="I40" s="48"/>
      <c r="J40" s="48"/>
      <c r="K40" s="48"/>
      <c r="L40" s="48"/>
      <c r="M40" s="48"/>
      <c r="N40" s="48"/>
      <c r="O40" s="48"/>
      <c r="P40" s="48"/>
      <c r="Q40" s="48"/>
      <c r="R40" s="48"/>
      <c r="S40" s="48"/>
      <c r="T40" s="48"/>
      <c r="U40" s="48"/>
    </row>
    <row r="41" spans="1:21" ht="30" customHeight="1">
      <c r="A41" s="48"/>
      <c r="B41" s="48"/>
      <c r="C41" s="48"/>
      <c r="D41" s="48"/>
      <c r="E41" s="48"/>
      <c r="F41" s="48"/>
      <c r="G41" s="48"/>
      <c r="H41" s="48"/>
      <c r="I41" s="48"/>
      <c r="J41" s="48"/>
      <c r="K41" s="48"/>
      <c r="L41" s="48"/>
      <c r="M41" s="48"/>
      <c r="N41" s="48"/>
      <c r="O41" s="48"/>
      <c r="P41" s="48"/>
      <c r="Q41" s="48"/>
      <c r="R41" s="48"/>
      <c r="S41" s="48"/>
      <c r="T41" s="48"/>
      <c r="U41" s="48"/>
    </row>
    <row r="42" spans="1:21" ht="30" customHeight="1">
      <c r="A42" s="48"/>
      <c r="B42" s="48"/>
      <c r="C42" s="48"/>
      <c r="D42" s="48"/>
      <c r="E42" s="48"/>
      <c r="F42" s="48"/>
      <c r="G42" s="48"/>
      <c r="H42" s="48"/>
      <c r="I42" s="48"/>
      <c r="J42" s="48"/>
      <c r="K42" s="48"/>
      <c r="L42" s="48"/>
      <c r="M42" s="48"/>
      <c r="N42" s="48"/>
      <c r="O42" s="48"/>
      <c r="P42" s="48"/>
      <c r="Q42" s="48"/>
      <c r="R42" s="48"/>
      <c r="S42" s="48"/>
      <c r="T42" s="48"/>
      <c r="U42" s="48"/>
    </row>
    <row r="43" spans="1:21" ht="30" customHeight="1">
      <c r="A43" s="48"/>
      <c r="B43" s="48"/>
      <c r="C43" s="48"/>
      <c r="D43" s="48"/>
      <c r="E43" s="48"/>
      <c r="F43" s="48"/>
      <c r="G43" s="48"/>
      <c r="H43" s="48"/>
      <c r="I43" s="48"/>
      <c r="J43" s="48"/>
      <c r="K43" s="48"/>
      <c r="L43" s="48"/>
      <c r="M43" s="48"/>
      <c r="N43" s="48"/>
      <c r="O43" s="48"/>
      <c r="P43" s="48"/>
      <c r="Q43" s="48"/>
      <c r="R43" s="48"/>
      <c r="S43" s="48"/>
      <c r="T43" s="48"/>
      <c r="U43" s="48"/>
    </row>
    <row r="44" spans="1:21" ht="30" customHeight="1">
      <c r="A44" s="48"/>
      <c r="B44" s="48"/>
      <c r="C44" s="48"/>
      <c r="D44" s="48"/>
      <c r="E44" s="48"/>
      <c r="F44" s="48"/>
      <c r="G44" s="48"/>
      <c r="H44" s="48"/>
      <c r="I44" s="48"/>
      <c r="J44" s="48"/>
      <c r="K44" s="48"/>
      <c r="L44" s="48"/>
      <c r="M44" s="48"/>
      <c r="N44" s="48"/>
      <c r="O44" s="48"/>
      <c r="P44" s="48"/>
      <c r="Q44" s="48"/>
      <c r="R44" s="48"/>
      <c r="S44" s="48"/>
      <c r="T44" s="48"/>
      <c r="U44" s="48"/>
    </row>
    <row r="45" spans="1:21" ht="30" customHeight="1">
      <c r="A45" s="48"/>
      <c r="B45" s="48"/>
      <c r="C45" s="48"/>
      <c r="D45" s="48"/>
      <c r="E45" s="48"/>
      <c r="F45" s="48"/>
      <c r="G45" s="48"/>
      <c r="H45" s="48"/>
      <c r="I45" s="48"/>
      <c r="J45" s="48"/>
      <c r="K45" s="48"/>
      <c r="L45" s="48"/>
      <c r="M45" s="48"/>
      <c r="N45" s="48"/>
      <c r="O45" s="48"/>
      <c r="P45" s="48"/>
      <c r="Q45" s="48"/>
      <c r="R45" s="48"/>
      <c r="S45" s="48"/>
      <c r="T45" s="48"/>
      <c r="U45" s="48"/>
    </row>
    <row r="46" spans="1:21" ht="30" customHeight="1">
      <c r="A46" s="48"/>
      <c r="B46" s="48"/>
      <c r="C46" s="48"/>
      <c r="D46" s="48"/>
      <c r="E46" s="48"/>
      <c r="F46" s="48"/>
      <c r="G46" s="48"/>
      <c r="H46" s="48"/>
      <c r="I46" s="48"/>
      <c r="J46" s="48"/>
      <c r="K46" s="48"/>
      <c r="L46" s="48"/>
      <c r="M46" s="48"/>
      <c r="N46" s="48"/>
      <c r="O46" s="48"/>
      <c r="P46" s="48"/>
      <c r="Q46" s="48"/>
      <c r="R46" s="48"/>
      <c r="S46" s="48"/>
      <c r="T46" s="48"/>
      <c r="U46" s="48"/>
    </row>
    <row r="47" spans="1:21" ht="30" customHeight="1">
      <c r="A47" s="48"/>
      <c r="B47" s="48"/>
      <c r="C47" s="48"/>
      <c r="D47" s="48"/>
      <c r="E47" s="48"/>
      <c r="F47" s="48"/>
      <c r="G47" s="48"/>
      <c r="H47" s="48"/>
      <c r="I47" s="48"/>
      <c r="J47" s="48"/>
      <c r="K47" s="48"/>
      <c r="L47" s="48"/>
      <c r="M47" s="48"/>
      <c r="N47" s="48"/>
      <c r="O47" s="48"/>
      <c r="P47" s="48"/>
      <c r="Q47" s="48"/>
      <c r="R47" s="48"/>
      <c r="S47" s="48"/>
      <c r="T47" s="48"/>
      <c r="U47" s="48"/>
    </row>
    <row r="48" spans="1:21" ht="30" customHeight="1">
      <c r="A48" s="48"/>
      <c r="B48" s="48"/>
      <c r="C48" s="48"/>
      <c r="D48" s="48"/>
      <c r="E48" s="48"/>
      <c r="F48" s="48"/>
      <c r="G48" s="48"/>
      <c r="H48" s="48"/>
      <c r="I48" s="48"/>
      <c r="J48" s="48"/>
      <c r="K48" s="48"/>
      <c r="L48" s="48"/>
      <c r="M48" s="48"/>
      <c r="N48" s="48"/>
      <c r="O48" s="48"/>
      <c r="P48" s="48"/>
      <c r="Q48" s="48"/>
      <c r="R48" s="48"/>
      <c r="S48" s="48"/>
      <c r="T48" s="48"/>
      <c r="U48" s="48"/>
    </row>
    <row r="49" spans="1:21" ht="30" customHeight="1">
      <c r="A49" s="48"/>
      <c r="B49" s="48"/>
      <c r="C49" s="48"/>
      <c r="D49" s="48"/>
      <c r="E49" s="48"/>
      <c r="F49" s="48"/>
      <c r="G49" s="48"/>
      <c r="H49" s="48"/>
      <c r="I49" s="48"/>
      <c r="J49" s="48"/>
      <c r="K49" s="48"/>
      <c r="L49" s="48"/>
      <c r="M49" s="48"/>
      <c r="N49" s="48"/>
      <c r="O49" s="48"/>
      <c r="P49" s="48"/>
      <c r="Q49" s="48"/>
      <c r="R49" s="48"/>
      <c r="S49" s="48"/>
      <c r="T49" s="48"/>
      <c r="U49" s="48"/>
    </row>
    <row r="50" spans="1:21" ht="30" customHeight="1">
      <c r="A50" s="48"/>
      <c r="B50" s="48"/>
      <c r="C50" s="48"/>
      <c r="D50" s="48"/>
      <c r="E50" s="48"/>
      <c r="F50" s="48"/>
      <c r="G50" s="48"/>
      <c r="H50" s="48"/>
      <c r="I50" s="48"/>
      <c r="J50" s="48"/>
      <c r="K50" s="48"/>
      <c r="L50" s="48"/>
      <c r="M50" s="48"/>
      <c r="N50" s="48"/>
      <c r="O50" s="48"/>
      <c r="P50" s="48"/>
      <c r="Q50" s="48"/>
      <c r="R50" s="48"/>
      <c r="S50" s="48"/>
      <c r="T50" s="48"/>
      <c r="U50" s="48"/>
    </row>
    <row r="51" spans="1:21" ht="30" customHeight="1">
      <c r="A51" s="48"/>
      <c r="B51" s="48"/>
      <c r="C51" s="48"/>
      <c r="D51" s="48"/>
      <c r="E51" s="48"/>
      <c r="F51" s="48"/>
      <c r="G51" s="48"/>
      <c r="H51" s="48"/>
      <c r="I51" s="48"/>
      <c r="J51" s="48"/>
      <c r="K51" s="48"/>
      <c r="L51" s="48"/>
      <c r="M51" s="48"/>
      <c r="N51" s="48"/>
      <c r="O51" s="48"/>
      <c r="P51" s="48"/>
      <c r="Q51" s="48"/>
      <c r="R51" s="48"/>
      <c r="S51" s="48"/>
      <c r="T51" s="48"/>
      <c r="U51" s="48"/>
    </row>
    <row r="52" spans="1:21" ht="30" customHeight="1">
      <c r="A52" s="48"/>
      <c r="B52" s="48"/>
      <c r="C52" s="48"/>
      <c r="D52" s="48"/>
      <c r="E52" s="48"/>
      <c r="F52" s="48"/>
      <c r="G52" s="48"/>
      <c r="H52" s="48"/>
      <c r="I52" s="48"/>
      <c r="J52" s="48"/>
      <c r="K52" s="48"/>
      <c r="L52" s="48"/>
      <c r="M52" s="48"/>
      <c r="N52" s="48"/>
      <c r="O52" s="48"/>
      <c r="P52" s="48"/>
      <c r="Q52" s="48"/>
      <c r="R52" s="48"/>
      <c r="S52" s="48"/>
      <c r="T52" s="48"/>
      <c r="U52" s="48"/>
    </row>
    <row r="53" spans="1:21" ht="30" customHeight="1">
      <c r="A53" s="48"/>
      <c r="B53" s="48"/>
      <c r="C53" s="48"/>
      <c r="D53" s="48"/>
      <c r="E53" s="48"/>
      <c r="F53" s="48"/>
      <c r="G53" s="48"/>
      <c r="H53" s="48"/>
      <c r="I53" s="48"/>
      <c r="J53" s="48"/>
      <c r="K53" s="48"/>
      <c r="L53" s="48"/>
      <c r="M53" s="48"/>
      <c r="N53" s="48"/>
      <c r="O53" s="48"/>
      <c r="P53" s="48"/>
      <c r="Q53" s="48"/>
      <c r="R53" s="48"/>
      <c r="S53" s="48"/>
      <c r="T53" s="48"/>
      <c r="U53" s="48"/>
    </row>
    <row r="54" spans="1:21" ht="30" customHeight="1">
      <c r="A54" s="48"/>
      <c r="B54" s="48"/>
      <c r="C54" s="48"/>
      <c r="D54" s="48"/>
      <c r="E54" s="48"/>
      <c r="F54" s="48"/>
      <c r="G54" s="48"/>
      <c r="H54" s="48"/>
      <c r="I54" s="48"/>
      <c r="J54" s="48"/>
      <c r="K54" s="48"/>
      <c r="L54" s="48"/>
      <c r="M54" s="48"/>
      <c r="N54" s="48"/>
      <c r="O54" s="48"/>
      <c r="P54" s="48"/>
      <c r="Q54" s="48"/>
      <c r="R54" s="48"/>
      <c r="S54" s="48"/>
      <c r="T54" s="48"/>
      <c r="U54" s="48"/>
    </row>
    <row r="55" spans="1:21" ht="30" customHeight="1">
      <c r="A55" s="48"/>
      <c r="B55" s="48"/>
      <c r="C55" s="48"/>
      <c r="D55" s="48"/>
      <c r="E55" s="48"/>
      <c r="F55" s="48"/>
      <c r="G55" s="48"/>
      <c r="H55" s="48"/>
      <c r="I55" s="48"/>
      <c r="J55" s="48"/>
      <c r="K55" s="48"/>
      <c r="L55" s="48"/>
      <c r="M55" s="48"/>
      <c r="N55" s="48"/>
      <c r="O55" s="48"/>
      <c r="P55" s="48"/>
      <c r="Q55" s="48"/>
      <c r="R55" s="48"/>
      <c r="S55" s="48"/>
      <c r="T55" s="48"/>
      <c r="U55" s="48"/>
    </row>
    <row r="56" spans="1:21" ht="30" customHeight="1">
      <c r="A56" s="48"/>
      <c r="B56" s="48"/>
      <c r="C56" s="48"/>
      <c r="D56" s="48"/>
      <c r="E56" s="48"/>
      <c r="F56" s="48"/>
      <c r="G56" s="48"/>
      <c r="H56" s="48"/>
      <c r="I56" s="48"/>
      <c r="J56" s="48"/>
      <c r="K56" s="48"/>
      <c r="L56" s="48"/>
      <c r="M56" s="48"/>
      <c r="N56" s="48"/>
      <c r="O56" s="48"/>
      <c r="P56" s="48"/>
      <c r="Q56" s="48"/>
      <c r="R56" s="48"/>
      <c r="S56" s="48"/>
      <c r="T56" s="48"/>
      <c r="U56" s="48"/>
    </row>
    <row r="57" spans="1:21" ht="30" customHeight="1">
      <c r="A57" s="48"/>
      <c r="B57" s="48"/>
      <c r="C57" s="48"/>
      <c r="D57" s="48"/>
      <c r="E57" s="48"/>
      <c r="F57" s="48"/>
      <c r="G57" s="48"/>
      <c r="H57" s="48"/>
      <c r="I57" s="48"/>
      <c r="J57" s="48"/>
      <c r="K57" s="48"/>
      <c r="L57" s="48"/>
      <c r="M57" s="48"/>
      <c r="N57" s="48"/>
      <c r="O57" s="48"/>
      <c r="P57" s="48"/>
      <c r="Q57" s="48"/>
      <c r="R57" s="48"/>
      <c r="S57" s="48"/>
      <c r="T57" s="48"/>
      <c r="U57" s="48"/>
    </row>
    <row r="58" spans="1:21" ht="30" customHeight="1">
      <c r="A58" s="48"/>
      <c r="B58" s="48"/>
      <c r="C58" s="48"/>
      <c r="D58" s="48"/>
      <c r="E58" s="48"/>
      <c r="F58" s="48"/>
      <c r="G58" s="48"/>
      <c r="H58" s="48"/>
      <c r="I58" s="48"/>
      <c r="J58" s="48"/>
      <c r="K58" s="48"/>
      <c r="L58" s="48"/>
      <c r="M58" s="48"/>
      <c r="N58" s="48"/>
      <c r="O58" s="48"/>
      <c r="P58" s="48"/>
      <c r="Q58" s="48"/>
      <c r="R58" s="48"/>
      <c r="S58" s="48"/>
      <c r="T58" s="48"/>
      <c r="U58" s="48"/>
    </row>
    <row r="59" spans="1:21" ht="30" customHeight="1">
      <c r="A59" s="48"/>
      <c r="B59" s="48"/>
      <c r="C59" s="48"/>
      <c r="D59" s="48"/>
      <c r="E59" s="48"/>
      <c r="F59" s="48"/>
      <c r="G59" s="48"/>
      <c r="H59" s="48"/>
      <c r="I59" s="48"/>
      <c r="J59" s="48"/>
      <c r="K59" s="48"/>
      <c r="L59" s="48"/>
      <c r="M59" s="48"/>
      <c r="N59" s="48"/>
      <c r="O59" s="48"/>
      <c r="P59" s="48"/>
      <c r="Q59" s="48"/>
      <c r="R59" s="48"/>
      <c r="S59" s="48"/>
      <c r="T59" s="48"/>
      <c r="U59" s="48"/>
    </row>
    <row r="60" spans="1:21" ht="30" customHeight="1">
      <c r="A60" s="48"/>
      <c r="B60" s="48"/>
      <c r="C60" s="48"/>
      <c r="D60" s="48"/>
      <c r="E60" s="48"/>
      <c r="F60" s="48"/>
      <c r="G60" s="48"/>
      <c r="H60" s="48"/>
      <c r="I60" s="48"/>
      <c r="J60" s="48"/>
      <c r="K60" s="48"/>
      <c r="L60" s="48"/>
      <c r="M60" s="48"/>
      <c r="N60" s="48"/>
      <c r="O60" s="48"/>
      <c r="P60" s="48"/>
      <c r="Q60" s="48"/>
      <c r="R60" s="48"/>
      <c r="S60" s="48"/>
      <c r="T60" s="48"/>
      <c r="U60" s="48"/>
    </row>
    <row r="61" spans="1:21" ht="30" customHeight="1">
      <c r="A61" s="48"/>
      <c r="B61" s="48"/>
      <c r="C61" s="48"/>
      <c r="D61" s="48"/>
      <c r="E61" s="48"/>
      <c r="F61" s="48"/>
      <c r="G61" s="48"/>
      <c r="H61" s="48"/>
      <c r="I61" s="48"/>
      <c r="J61" s="48"/>
      <c r="K61" s="48"/>
      <c r="L61" s="48"/>
      <c r="M61" s="48"/>
      <c r="N61" s="48"/>
      <c r="O61" s="48"/>
      <c r="P61" s="48"/>
      <c r="Q61" s="48"/>
      <c r="R61" s="48"/>
      <c r="S61" s="48"/>
      <c r="T61" s="48"/>
      <c r="U61" s="48"/>
    </row>
    <row r="62" spans="1:21" ht="30" customHeight="1">
      <c r="A62" s="48"/>
      <c r="B62" s="48"/>
      <c r="C62" s="48"/>
      <c r="D62" s="48"/>
      <c r="E62" s="48"/>
      <c r="F62" s="48"/>
      <c r="G62" s="48"/>
      <c r="H62" s="48"/>
      <c r="I62" s="48"/>
      <c r="J62" s="48"/>
      <c r="K62" s="48"/>
      <c r="L62" s="48"/>
      <c r="M62" s="48"/>
      <c r="N62" s="48"/>
      <c r="O62" s="48"/>
      <c r="P62" s="48"/>
      <c r="Q62" s="48"/>
      <c r="R62" s="48"/>
      <c r="S62" s="48"/>
      <c r="T62" s="48"/>
      <c r="U62" s="48"/>
    </row>
    <row r="63" spans="1:21" ht="30" customHeight="1">
      <c r="A63" s="48"/>
      <c r="B63" s="48"/>
      <c r="C63" s="48"/>
      <c r="D63" s="48"/>
      <c r="E63" s="48"/>
      <c r="F63" s="48"/>
      <c r="G63" s="48"/>
      <c r="H63" s="48"/>
      <c r="I63" s="48"/>
      <c r="J63" s="48"/>
      <c r="K63" s="48"/>
      <c r="L63" s="48"/>
      <c r="M63" s="48"/>
      <c r="N63" s="48"/>
      <c r="O63" s="48"/>
      <c r="P63" s="48"/>
      <c r="Q63" s="48"/>
      <c r="R63" s="48"/>
      <c r="S63" s="48"/>
      <c r="T63" s="48"/>
      <c r="U63" s="48"/>
    </row>
    <row r="64" spans="1:21" ht="30" customHeight="1">
      <c r="A64" s="48"/>
      <c r="B64" s="48"/>
      <c r="C64" s="48"/>
      <c r="D64" s="48"/>
      <c r="E64" s="48"/>
      <c r="F64" s="48"/>
      <c r="G64" s="48"/>
      <c r="H64" s="48"/>
      <c r="I64" s="48"/>
      <c r="J64" s="48"/>
      <c r="K64" s="48"/>
      <c r="L64" s="48"/>
      <c r="M64" s="48"/>
      <c r="N64" s="48"/>
      <c r="O64" s="48"/>
      <c r="P64" s="48"/>
      <c r="Q64" s="48"/>
      <c r="R64" s="48"/>
      <c r="S64" s="48"/>
      <c r="T64" s="48"/>
      <c r="U64" s="48"/>
    </row>
    <row r="65" spans="1:21" ht="30" customHeight="1">
      <c r="A65" s="48"/>
      <c r="B65" s="48"/>
      <c r="C65" s="48"/>
      <c r="D65" s="48"/>
      <c r="E65" s="48"/>
      <c r="F65" s="48"/>
      <c r="G65" s="48"/>
      <c r="H65" s="48"/>
      <c r="I65" s="48"/>
      <c r="J65" s="48"/>
      <c r="K65" s="48"/>
      <c r="L65" s="48"/>
      <c r="M65" s="48"/>
      <c r="N65" s="48"/>
      <c r="O65" s="48"/>
      <c r="P65" s="48"/>
      <c r="Q65" s="48"/>
      <c r="R65" s="48"/>
      <c r="S65" s="48"/>
      <c r="T65" s="48"/>
      <c r="U65" s="48"/>
    </row>
    <row r="66" spans="1:21" ht="30" customHeight="1">
      <c r="A66" s="48"/>
      <c r="B66" s="48"/>
      <c r="C66" s="48"/>
      <c r="D66" s="48"/>
      <c r="E66" s="48"/>
      <c r="F66" s="48"/>
      <c r="G66" s="48"/>
      <c r="H66" s="48"/>
      <c r="I66" s="48"/>
      <c r="J66" s="48"/>
      <c r="K66" s="48"/>
      <c r="L66" s="48"/>
      <c r="M66" s="48"/>
      <c r="N66" s="48"/>
      <c r="O66" s="48"/>
      <c r="P66" s="48"/>
      <c r="Q66" s="48"/>
      <c r="R66" s="48"/>
      <c r="S66" s="48"/>
      <c r="T66" s="48"/>
      <c r="U66" s="48"/>
    </row>
    <row r="67" spans="1:21" ht="30" customHeight="1">
      <c r="A67" s="48"/>
      <c r="B67" s="48"/>
      <c r="C67" s="48"/>
      <c r="D67" s="48"/>
      <c r="E67" s="48"/>
      <c r="F67" s="48"/>
      <c r="G67" s="48"/>
      <c r="H67" s="48"/>
      <c r="I67" s="48"/>
      <c r="J67" s="48"/>
      <c r="K67" s="48"/>
      <c r="L67" s="48"/>
      <c r="M67" s="48"/>
      <c r="N67" s="48"/>
      <c r="O67" s="48"/>
      <c r="P67" s="48"/>
      <c r="Q67" s="48"/>
      <c r="R67" s="48"/>
      <c r="S67" s="48"/>
      <c r="T67" s="48"/>
      <c r="U67" s="48"/>
    </row>
    <row r="68" spans="1:21" ht="30" customHeight="1">
      <c r="A68" s="48"/>
      <c r="B68" s="48"/>
      <c r="C68" s="48"/>
      <c r="D68" s="48"/>
      <c r="E68" s="48"/>
      <c r="F68" s="48"/>
      <c r="G68" s="48"/>
      <c r="H68" s="48"/>
      <c r="I68" s="48"/>
      <c r="J68" s="48"/>
      <c r="K68" s="48"/>
      <c r="L68" s="48"/>
      <c r="M68" s="48"/>
      <c r="N68" s="48"/>
      <c r="O68" s="48"/>
      <c r="P68" s="48"/>
      <c r="Q68" s="48"/>
      <c r="R68" s="48"/>
      <c r="S68" s="48"/>
      <c r="T68" s="48"/>
      <c r="U68" s="48"/>
    </row>
    <row r="69" spans="1:21" ht="30" customHeight="1">
      <c r="A69" s="48"/>
      <c r="B69" s="48"/>
      <c r="C69" s="48"/>
      <c r="D69" s="48"/>
      <c r="E69" s="48"/>
      <c r="F69" s="48"/>
      <c r="G69" s="48"/>
      <c r="H69" s="48"/>
      <c r="I69" s="48"/>
      <c r="J69" s="48"/>
      <c r="K69" s="48"/>
      <c r="L69" s="48"/>
      <c r="M69" s="48"/>
      <c r="N69" s="48"/>
      <c r="O69" s="48"/>
      <c r="P69" s="48"/>
      <c r="Q69" s="48"/>
      <c r="R69" s="48"/>
      <c r="S69" s="48"/>
      <c r="T69" s="48"/>
      <c r="U69" s="48"/>
    </row>
    <row r="70" spans="1:21" ht="30" customHeight="1">
      <c r="A70" s="48"/>
      <c r="B70" s="48"/>
      <c r="C70" s="48"/>
      <c r="D70" s="48"/>
      <c r="E70" s="48"/>
      <c r="F70" s="48"/>
      <c r="G70" s="48"/>
      <c r="H70" s="48"/>
      <c r="I70" s="48"/>
      <c r="J70" s="48"/>
      <c r="K70" s="48"/>
      <c r="L70" s="48"/>
      <c r="M70" s="48"/>
      <c r="N70" s="48"/>
      <c r="O70" s="48"/>
      <c r="P70" s="48"/>
      <c r="Q70" s="48"/>
      <c r="R70" s="48"/>
      <c r="S70" s="48"/>
      <c r="T70" s="48"/>
      <c r="U70" s="48"/>
    </row>
    <row r="71" spans="1:21" ht="30" customHeight="1">
      <c r="A71" s="48"/>
      <c r="B71" s="48"/>
      <c r="C71" s="48"/>
      <c r="D71" s="48"/>
      <c r="E71" s="48"/>
      <c r="F71" s="48"/>
      <c r="G71" s="48"/>
      <c r="H71" s="48"/>
      <c r="I71" s="48"/>
      <c r="J71" s="48"/>
      <c r="K71" s="48"/>
      <c r="L71" s="48"/>
      <c r="M71" s="48"/>
      <c r="N71" s="48"/>
      <c r="O71" s="48"/>
      <c r="P71" s="48"/>
      <c r="Q71" s="48"/>
      <c r="R71" s="48"/>
      <c r="S71" s="48"/>
      <c r="T71" s="48"/>
      <c r="U71" s="48"/>
    </row>
    <row r="72" spans="1:21" ht="30" customHeight="1">
      <c r="A72" s="48"/>
      <c r="B72" s="48"/>
      <c r="C72" s="48"/>
      <c r="D72" s="48"/>
      <c r="E72" s="48"/>
      <c r="F72" s="48"/>
      <c r="G72" s="48"/>
      <c r="H72" s="48"/>
      <c r="I72" s="48"/>
      <c r="J72" s="48"/>
      <c r="K72" s="48"/>
      <c r="L72" s="48"/>
      <c r="M72" s="48"/>
      <c r="N72" s="48"/>
      <c r="O72" s="48"/>
      <c r="P72" s="48"/>
      <c r="Q72" s="48"/>
      <c r="R72" s="48"/>
      <c r="S72" s="48"/>
      <c r="T72" s="48"/>
      <c r="U72" s="48"/>
    </row>
    <row r="73" spans="1:21" ht="30" customHeight="1">
      <c r="A73" s="48"/>
      <c r="B73" s="48"/>
      <c r="C73" s="48"/>
      <c r="D73" s="48"/>
      <c r="E73" s="48"/>
      <c r="F73" s="48"/>
      <c r="G73" s="48"/>
      <c r="H73" s="48"/>
      <c r="I73" s="48"/>
      <c r="J73" s="48"/>
      <c r="K73" s="48"/>
      <c r="L73" s="48"/>
      <c r="M73" s="48"/>
      <c r="N73" s="48"/>
      <c r="O73" s="48"/>
      <c r="P73" s="48"/>
      <c r="Q73" s="48"/>
      <c r="R73" s="48"/>
      <c r="S73" s="48"/>
      <c r="T73" s="48"/>
      <c r="U73" s="48"/>
    </row>
    <row r="74" spans="1:21" ht="30" customHeight="1">
      <c r="A74" s="48"/>
      <c r="B74" s="48"/>
      <c r="C74" s="48"/>
      <c r="D74" s="48"/>
      <c r="E74" s="48"/>
      <c r="F74" s="48"/>
      <c r="G74" s="48"/>
      <c r="H74" s="48"/>
      <c r="I74" s="48"/>
      <c r="J74" s="48"/>
      <c r="K74" s="48"/>
      <c r="L74" s="48"/>
      <c r="M74" s="48"/>
      <c r="N74" s="48"/>
      <c r="O74" s="48"/>
      <c r="P74" s="48"/>
      <c r="Q74" s="48"/>
      <c r="R74" s="48"/>
      <c r="S74" s="48"/>
      <c r="T74" s="48"/>
      <c r="U74" s="48"/>
    </row>
    <row r="75" spans="1:21" ht="30" customHeight="1">
      <c r="A75" s="48"/>
      <c r="B75" s="48"/>
      <c r="C75" s="48"/>
      <c r="D75" s="48"/>
      <c r="E75" s="48"/>
      <c r="F75" s="48"/>
      <c r="G75" s="48"/>
      <c r="H75" s="48"/>
      <c r="I75" s="48"/>
      <c r="J75" s="48"/>
      <c r="K75" s="48"/>
      <c r="L75" s="48"/>
      <c r="M75" s="48"/>
      <c r="N75" s="48"/>
      <c r="O75" s="48"/>
      <c r="P75" s="48"/>
      <c r="Q75" s="48"/>
      <c r="R75" s="48"/>
      <c r="S75" s="48"/>
      <c r="T75" s="48"/>
      <c r="U75" s="48"/>
    </row>
    <row r="76" spans="1:21" ht="30" customHeight="1">
      <c r="A76" s="48"/>
      <c r="B76" s="48"/>
      <c r="C76" s="48"/>
      <c r="D76" s="48"/>
      <c r="E76" s="48"/>
      <c r="F76" s="48"/>
      <c r="G76" s="48"/>
      <c r="H76" s="48"/>
      <c r="I76" s="48"/>
      <c r="J76" s="48"/>
      <c r="K76" s="48"/>
      <c r="L76" s="48"/>
      <c r="M76" s="48"/>
      <c r="N76" s="48"/>
      <c r="O76" s="48"/>
      <c r="P76" s="48"/>
      <c r="Q76" s="48"/>
      <c r="R76" s="48"/>
      <c r="S76" s="48"/>
      <c r="T76" s="48"/>
      <c r="U76" s="48"/>
    </row>
    <row r="77" spans="1:21" ht="30" customHeight="1">
      <c r="A77" s="48"/>
      <c r="B77" s="48"/>
      <c r="C77" s="48"/>
      <c r="D77" s="48"/>
      <c r="E77" s="48"/>
      <c r="F77" s="48"/>
      <c r="G77" s="48"/>
      <c r="H77" s="48"/>
      <c r="I77" s="48"/>
      <c r="J77" s="48"/>
      <c r="K77" s="48"/>
      <c r="L77" s="48"/>
      <c r="M77" s="48"/>
      <c r="N77" s="48"/>
      <c r="O77" s="48"/>
      <c r="P77" s="48"/>
      <c r="Q77" s="48"/>
      <c r="R77" s="48"/>
      <c r="S77" s="48"/>
      <c r="T77" s="48"/>
      <c r="U77" s="48"/>
    </row>
    <row r="78" spans="1:21" ht="30" customHeight="1">
      <c r="A78" s="48"/>
      <c r="B78" s="48"/>
      <c r="C78" s="48"/>
      <c r="D78" s="48"/>
      <c r="E78" s="48"/>
      <c r="F78" s="48"/>
      <c r="G78" s="48"/>
      <c r="H78" s="48"/>
      <c r="I78" s="48"/>
      <c r="J78" s="48"/>
      <c r="K78" s="48"/>
      <c r="L78" s="48"/>
      <c r="M78" s="48"/>
      <c r="N78" s="48"/>
      <c r="O78" s="48"/>
      <c r="P78" s="48"/>
      <c r="Q78" s="48"/>
      <c r="R78" s="48"/>
      <c r="S78" s="48"/>
      <c r="T78" s="48"/>
      <c r="U78" s="48"/>
    </row>
    <row r="79" spans="1:21" ht="30" customHeight="1">
      <c r="A79" s="48"/>
      <c r="B79" s="48"/>
      <c r="C79" s="48"/>
      <c r="D79" s="48"/>
      <c r="E79" s="48"/>
      <c r="F79" s="48"/>
      <c r="G79" s="48"/>
      <c r="H79" s="48"/>
      <c r="I79" s="48"/>
      <c r="J79" s="48"/>
      <c r="K79" s="48"/>
      <c r="L79" s="48"/>
      <c r="M79" s="48"/>
      <c r="N79" s="48"/>
      <c r="O79" s="48"/>
      <c r="P79" s="48"/>
      <c r="Q79" s="48"/>
      <c r="R79" s="48"/>
      <c r="S79" s="48"/>
      <c r="T79" s="48"/>
      <c r="U79" s="48"/>
    </row>
    <row r="80" spans="1:21" ht="30" customHeight="1">
      <c r="A80" s="48"/>
      <c r="B80" s="48"/>
      <c r="C80" s="48"/>
      <c r="D80" s="48"/>
      <c r="E80" s="48"/>
      <c r="F80" s="48"/>
      <c r="G80" s="48"/>
      <c r="H80" s="48"/>
      <c r="I80" s="48"/>
      <c r="J80" s="48"/>
      <c r="K80" s="48"/>
      <c r="L80" s="48"/>
      <c r="M80" s="48"/>
      <c r="N80" s="48"/>
      <c r="O80" s="48"/>
      <c r="P80" s="48"/>
      <c r="Q80" s="48"/>
      <c r="R80" s="48"/>
      <c r="S80" s="48"/>
      <c r="T80" s="48"/>
      <c r="U80" s="48"/>
    </row>
    <row r="81" spans="1:21" ht="30" customHeight="1">
      <c r="A81" s="48"/>
      <c r="B81" s="48"/>
      <c r="C81" s="48"/>
      <c r="D81" s="48"/>
      <c r="E81" s="48"/>
      <c r="F81" s="48"/>
      <c r="G81" s="48"/>
      <c r="H81" s="48"/>
      <c r="I81" s="48"/>
      <c r="J81" s="48"/>
      <c r="K81" s="48"/>
      <c r="L81" s="48"/>
      <c r="M81" s="48"/>
      <c r="N81" s="48"/>
      <c r="O81" s="48"/>
      <c r="P81" s="48"/>
      <c r="Q81" s="48"/>
      <c r="R81" s="48"/>
      <c r="S81" s="48"/>
      <c r="T81" s="48"/>
      <c r="U81" s="48"/>
    </row>
    <row r="82" spans="1:21" ht="30" customHeight="1">
      <c r="A82" s="48"/>
      <c r="B82" s="48"/>
      <c r="C82" s="48"/>
      <c r="D82" s="48"/>
      <c r="E82" s="48"/>
      <c r="F82" s="48"/>
      <c r="G82" s="48"/>
      <c r="H82" s="48"/>
      <c r="I82" s="48"/>
      <c r="J82" s="48"/>
      <c r="K82" s="48"/>
      <c r="L82" s="48"/>
      <c r="M82" s="48"/>
      <c r="N82" s="48"/>
      <c r="O82" s="48"/>
      <c r="P82" s="48"/>
      <c r="Q82" s="48"/>
      <c r="R82" s="48"/>
      <c r="S82" s="48"/>
      <c r="T82" s="48"/>
      <c r="U82" s="48"/>
    </row>
    <row r="83" spans="1:21" ht="30" customHeight="1">
      <c r="A83" s="48"/>
      <c r="B83" s="48"/>
      <c r="C83" s="48"/>
      <c r="D83" s="48"/>
      <c r="E83" s="48"/>
      <c r="F83" s="48"/>
      <c r="G83" s="48"/>
      <c r="H83" s="48"/>
      <c r="I83" s="48"/>
      <c r="J83" s="48"/>
      <c r="K83" s="48"/>
      <c r="L83" s="48"/>
      <c r="M83" s="48"/>
      <c r="N83" s="48"/>
      <c r="O83" s="48"/>
      <c r="P83" s="48"/>
      <c r="Q83" s="48"/>
      <c r="R83" s="48"/>
      <c r="S83" s="48"/>
      <c r="T83" s="48"/>
      <c r="U83" s="48"/>
    </row>
    <row r="84" spans="1:21" ht="30" customHeight="1">
      <c r="A84" s="48"/>
      <c r="B84" s="48"/>
      <c r="C84" s="48"/>
      <c r="D84" s="48"/>
      <c r="E84" s="48"/>
      <c r="F84" s="48"/>
      <c r="G84" s="48"/>
      <c r="H84" s="48"/>
      <c r="I84" s="48"/>
      <c r="J84" s="48"/>
      <c r="K84" s="48"/>
      <c r="L84" s="48"/>
      <c r="M84" s="48"/>
      <c r="N84" s="48"/>
      <c r="O84" s="48"/>
      <c r="P84" s="48"/>
      <c r="Q84" s="48"/>
      <c r="R84" s="48"/>
      <c r="S84" s="48"/>
      <c r="T84" s="48"/>
      <c r="U84" s="48"/>
    </row>
    <row r="85" spans="1:21" ht="30" customHeight="1">
      <c r="A85" s="48"/>
      <c r="B85" s="48"/>
      <c r="C85" s="48"/>
      <c r="D85" s="48"/>
      <c r="E85" s="48"/>
      <c r="F85" s="48"/>
      <c r="G85" s="48"/>
      <c r="H85" s="48"/>
      <c r="I85" s="48"/>
      <c r="J85" s="48"/>
      <c r="K85" s="48"/>
      <c r="L85" s="48"/>
      <c r="M85" s="48"/>
      <c r="N85" s="48"/>
      <c r="O85" s="48"/>
      <c r="P85" s="48"/>
      <c r="Q85" s="48"/>
      <c r="R85" s="48"/>
      <c r="S85" s="48"/>
      <c r="T85" s="48"/>
      <c r="U85" s="48"/>
    </row>
    <row r="86" spans="1:21" ht="30" customHeight="1">
      <c r="A86" s="48"/>
      <c r="B86" s="48"/>
      <c r="C86" s="48"/>
      <c r="D86" s="48"/>
      <c r="E86" s="48"/>
      <c r="F86" s="48"/>
      <c r="G86" s="48"/>
      <c r="H86" s="48"/>
      <c r="I86" s="48"/>
      <c r="J86" s="48"/>
      <c r="K86" s="48"/>
      <c r="L86" s="48"/>
      <c r="M86" s="48"/>
      <c r="N86" s="48"/>
      <c r="O86" s="48"/>
      <c r="P86" s="48"/>
      <c r="Q86" s="48"/>
      <c r="R86" s="48"/>
      <c r="S86" s="48"/>
      <c r="T86" s="48"/>
      <c r="U86" s="48"/>
    </row>
    <row r="87" spans="1:21" ht="30" customHeight="1">
      <c r="A87" s="48"/>
      <c r="B87" s="48"/>
      <c r="C87" s="48"/>
      <c r="D87" s="48"/>
      <c r="E87" s="48"/>
      <c r="F87" s="48"/>
      <c r="G87" s="48"/>
      <c r="H87" s="48"/>
      <c r="I87" s="48"/>
      <c r="J87" s="48"/>
      <c r="K87" s="48"/>
      <c r="L87" s="48"/>
      <c r="M87" s="48"/>
      <c r="N87" s="48"/>
      <c r="O87" s="48"/>
      <c r="P87" s="48"/>
      <c r="Q87" s="48"/>
      <c r="R87" s="48"/>
      <c r="S87" s="48"/>
      <c r="T87" s="48"/>
      <c r="U87" s="48"/>
    </row>
    <row r="88" spans="1:21" ht="30" customHeight="1">
      <c r="A88" s="48"/>
      <c r="B88" s="48"/>
      <c r="C88" s="48"/>
      <c r="D88" s="48"/>
      <c r="E88" s="48"/>
      <c r="F88" s="48"/>
      <c r="G88" s="48"/>
      <c r="H88" s="48"/>
      <c r="I88" s="48"/>
      <c r="J88" s="48"/>
      <c r="K88" s="48"/>
      <c r="L88" s="48"/>
      <c r="M88" s="48"/>
      <c r="N88" s="48"/>
      <c r="O88" s="48"/>
      <c r="P88" s="48"/>
      <c r="Q88" s="48"/>
      <c r="R88" s="48"/>
      <c r="S88" s="48"/>
      <c r="T88" s="48"/>
      <c r="U88" s="48"/>
    </row>
    <row r="89" spans="1:21" ht="30" customHeight="1">
      <c r="A89" s="48"/>
      <c r="B89" s="48"/>
      <c r="C89" s="48"/>
      <c r="D89" s="48"/>
      <c r="E89" s="48"/>
      <c r="F89" s="48"/>
      <c r="G89" s="48"/>
      <c r="H89" s="48"/>
      <c r="I89" s="48"/>
      <c r="J89" s="48"/>
      <c r="K89" s="48"/>
      <c r="L89" s="48"/>
      <c r="M89" s="48"/>
      <c r="N89" s="48"/>
      <c r="O89" s="48"/>
      <c r="P89" s="48"/>
      <c r="Q89" s="48"/>
      <c r="R89" s="48"/>
      <c r="S89" s="48"/>
      <c r="T89" s="48"/>
      <c r="U89" s="48"/>
    </row>
    <row r="90" spans="1:21" ht="30" customHeight="1">
      <c r="A90" s="48"/>
      <c r="B90" s="48"/>
      <c r="C90" s="48"/>
      <c r="D90" s="48"/>
      <c r="E90" s="48"/>
      <c r="F90" s="48"/>
      <c r="G90" s="48"/>
      <c r="H90" s="48"/>
      <c r="I90" s="48"/>
      <c r="J90" s="48"/>
      <c r="K90" s="48"/>
      <c r="L90" s="48"/>
      <c r="M90" s="48"/>
      <c r="N90" s="48"/>
      <c r="O90" s="48"/>
      <c r="P90" s="48"/>
      <c r="Q90" s="48"/>
      <c r="R90" s="48"/>
      <c r="S90" s="48"/>
      <c r="T90" s="48"/>
      <c r="U90" s="48"/>
    </row>
    <row r="91" spans="1:21" ht="30" customHeight="1">
      <c r="A91" s="48"/>
      <c r="B91" s="48"/>
      <c r="C91" s="48"/>
      <c r="D91" s="48"/>
      <c r="E91" s="48"/>
      <c r="F91" s="48"/>
      <c r="G91" s="48"/>
      <c r="H91" s="48"/>
      <c r="I91" s="48"/>
      <c r="J91" s="48"/>
      <c r="K91" s="48"/>
      <c r="L91" s="48"/>
      <c r="M91" s="48"/>
      <c r="N91" s="48"/>
      <c r="O91" s="48"/>
      <c r="P91" s="48"/>
      <c r="Q91" s="48"/>
      <c r="R91" s="48"/>
      <c r="S91" s="48"/>
      <c r="T91" s="48"/>
      <c r="U91" s="48"/>
    </row>
    <row r="92" spans="1:21" ht="30" customHeight="1">
      <c r="A92" s="48"/>
      <c r="B92" s="48"/>
      <c r="C92" s="48"/>
      <c r="D92" s="48"/>
      <c r="E92" s="48"/>
      <c r="F92" s="48"/>
      <c r="G92" s="48"/>
      <c r="H92" s="48"/>
      <c r="I92" s="48"/>
      <c r="J92" s="48"/>
      <c r="K92" s="48"/>
      <c r="L92" s="48"/>
      <c r="M92" s="48"/>
      <c r="N92" s="48"/>
      <c r="O92" s="48"/>
      <c r="P92" s="48"/>
      <c r="Q92" s="48"/>
      <c r="R92" s="48"/>
      <c r="S92" s="48"/>
      <c r="T92" s="48"/>
      <c r="U92" s="48"/>
    </row>
    <row r="93" spans="1:21" ht="30" customHeight="1">
      <c r="A93" s="48"/>
      <c r="B93" s="48"/>
      <c r="C93" s="48"/>
      <c r="D93" s="48"/>
      <c r="E93" s="48"/>
      <c r="F93" s="48"/>
      <c r="G93" s="48"/>
      <c r="H93" s="48"/>
      <c r="I93" s="48"/>
      <c r="J93" s="48"/>
      <c r="K93" s="48"/>
      <c r="L93" s="48"/>
      <c r="M93" s="48"/>
      <c r="N93" s="48"/>
      <c r="O93" s="48"/>
      <c r="P93" s="48"/>
      <c r="Q93" s="48"/>
      <c r="R93" s="48"/>
      <c r="S93" s="48"/>
      <c r="T93" s="48"/>
      <c r="U93" s="48"/>
    </row>
    <row r="94" spans="1:21" ht="30" customHeight="1">
      <c r="A94" s="48"/>
      <c r="B94" s="48"/>
      <c r="C94" s="48"/>
      <c r="D94" s="48"/>
      <c r="E94" s="48"/>
      <c r="F94" s="48"/>
      <c r="G94" s="48"/>
      <c r="H94" s="48"/>
      <c r="I94" s="48"/>
      <c r="J94" s="48"/>
      <c r="K94" s="48"/>
      <c r="L94" s="48"/>
      <c r="M94" s="48"/>
      <c r="N94" s="48"/>
      <c r="O94" s="48"/>
      <c r="P94" s="48"/>
      <c r="Q94" s="48"/>
      <c r="R94" s="48"/>
      <c r="S94" s="48"/>
      <c r="T94" s="48"/>
      <c r="U94" s="48"/>
    </row>
    <row r="95" spans="1:21" ht="30" customHeight="1">
      <c r="A95" s="48"/>
      <c r="B95" s="48"/>
      <c r="C95" s="48"/>
      <c r="D95" s="48"/>
      <c r="E95" s="48"/>
      <c r="F95" s="48"/>
      <c r="G95" s="48"/>
      <c r="H95" s="48"/>
      <c r="I95" s="48"/>
      <c r="J95" s="48"/>
      <c r="K95" s="48"/>
      <c r="L95" s="48"/>
      <c r="M95" s="48"/>
      <c r="N95" s="48"/>
      <c r="O95" s="48"/>
      <c r="P95" s="48"/>
      <c r="Q95" s="48"/>
      <c r="R95" s="48"/>
      <c r="S95" s="48"/>
      <c r="T95" s="48"/>
      <c r="U95" s="48"/>
    </row>
    <row r="96" spans="1:21" ht="30" customHeight="1">
      <c r="A96" s="48"/>
      <c r="B96" s="48"/>
      <c r="C96" s="48"/>
      <c r="D96" s="48"/>
      <c r="E96" s="48"/>
      <c r="F96" s="48"/>
      <c r="G96" s="48"/>
      <c r="H96" s="48"/>
      <c r="I96" s="48"/>
      <c r="J96" s="48"/>
      <c r="K96" s="48"/>
      <c r="L96" s="48"/>
      <c r="M96" s="48"/>
      <c r="N96" s="48"/>
      <c r="O96" s="48"/>
      <c r="P96" s="48"/>
      <c r="Q96" s="48"/>
      <c r="R96" s="48"/>
      <c r="S96" s="48"/>
      <c r="T96" s="48"/>
      <c r="U96" s="48"/>
    </row>
    <row r="97" spans="1:21" ht="30" customHeight="1">
      <c r="A97" s="48"/>
      <c r="B97" s="48"/>
      <c r="C97" s="48"/>
      <c r="D97" s="48"/>
      <c r="E97" s="48"/>
      <c r="F97" s="48"/>
      <c r="G97" s="48"/>
      <c r="H97" s="48"/>
      <c r="I97" s="48"/>
      <c r="J97" s="48"/>
      <c r="K97" s="48"/>
      <c r="L97" s="48"/>
      <c r="M97" s="48"/>
      <c r="N97" s="48"/>
      <c r="O97" s="48"/>
      <c r="P97" s="48"/>
      <c r="Q97" s="48"/>
      <c r="R97" s="48"/>
      <c r="S97" s="48"/>
      <c r="T97" s="48"/>
      <c r="U97" s="48"/>
    </row>
    <row r="98" spans="1:21" ht="30" customHeight="1">
      <c r="A98" s="48"/>
      <c r="B98" s="48"/>
      <c r="C98" s="48"/>
      <c r="D98" s="48"/>
      <c r="E98" s="48"/>
      <c r="F98" s="48"/>
      <c r="G98" s="48"/>
      <c r="H98" s="48"/>
      <c r="I98" s="48"/>
      <c r="J98" s="48"/>
      <c r="K98" s="48"/>
      <c r="L98" s="48"/>
      <c r="M98" s="48"/>
      <c r="N98" s="48"/>
      <c r="O98" s="48"/>
      <c r="P98" s="48"/>
      <c r="Q98" s="48"/>
      <c r="R98" s="48"/>
      <c r="S98" s="48"/>
      <c r="T98" s="48"/>
      <c r="U98" s="48"/>
    </row>
    <row r="99" spans="1:21" ht="30" customHeight="1">
      <c r="A99" s="48"/>
      <c r="B99" s="48"/>
      <c r="C99" s="48"/>
      <c r="D99" s="48"/>
      <c r="E99" s="48"/>
      <c r="F99" s="48"/>
      <c r="G99" s="48"/>
      <c r="H99" s="48"/>
      <c r="I99" s="48"/>
      <c r="J99" s="48"/>
      <c r="K99" s="48"/>
      <c r="L99" s="48"/>
      <c r="M99" s="48"/>
      <c r="N99" s="48"/>
      <c r="O99" s="48"/>
      <c r="P99" s="48"/>
      <c r="Q99" s="48"/>
      <c r="R99" s="48"/>
      <c r="S99" s="48"/>
      <c r="T99" s="48"/>
      <c r="U99" s="48"/>
    </row>
    <row r="100" spans="1:21" ht="30" customHeight="1">
      <c r="A100" s="48"/>
      <c r="B100" s="48"/>
      <c r="C100" s="48"/>
      <c r="D100" s="48"/>
      <c r="E100" s="48"/>
      <c r="F100" s="48"/>
      <c r="G100" s="48"/>
      <c r="H100" s="48"/>
      <c r="I100" s="48"/>
      <c r="J100" s="48"/>
      <c r="K100" s="48"/>
      <c r="L100" s="48"/>
      <c r="M100" s="48"/>
      <c r="N100" s="48"/>
      <c r="O100" s="48"/>
      <c r="P100" s="48"/>
      <c r="Q100" s="48"/>
      <c r="R100" s="48"/>
      <c r="S100" s="48"/>
      <c r="T100" s="48"/>
      <c r="U100" s="48"/>
    </row>
    <row r="101" spans="1:21" ht="30" customHeight="1">
      <c r="A101" s="48"/>
      <c r="B101" s="48"/>
      <c r="C101" s="48"/>
      <c r="D101" s="48"/>
      <c r="E101" s="48"/>
      <c r="F101" s="48"/>
      <c r="G101" s="48"/>
      <c r="H101" s="48"/>
      <c r="I101" s="48"/>
      <c r="J101" s="48"/>
      <c r="K101" s="48"/>
      <c r="L101" s="48"/>
      <c r="M101" s="48"/>
      <c r="N101" s="48"/>
      <c r="O101" s="48"/>
      <c r="P101" s="48"/>
      <c r="Q101" s="48"/>
      <c r="R101" s="48"/>
      <c r="S101" s="48"/>
      <c r="T101" s="48"/>
      <c r="U101" s="48"/>
    </row>
    <row r="102" spans="1:21" ht="30" customHeight="1">
      <c r="A102" s="48"/>
      <c r="B102" s="48"/>
      <c r="C102" s="48"/>
      <c r="D102" s="48"/>
      <c r="E102" s="48"/>
      <c r="F102" s="48"/>
      <c r="G102" s="48"/>
      <c r="H102" s="48"/>
      <c r="I102" s="48"/>
      <c r="J102" s="48"/>
      <c r="K102" s="48"/>
      <c r="L102" s="48"/>
      <c r="M102" s="48"/>
      <c r="N102" s="48"/>
      <c r="O102" s="48"/>
      <c r="P102" s="48"/>
      <c r="Q102" s="48"/>
      <c r="R102" s="48"/>
      <c r="S102" s="48"/>
      <c r="T102" s="48"/>
      <c r="U102" s="48"/>
    </row>
    <row r="103" spans="1:21" ht="30" customHeight="1">
      <c r="A103" s="48"/>
      <c r="B103" s="48"/>
      <c r="C103" s="48"/>
      <c r="D103" s="48"/>
      <c r="E103" s="48"/>
      <c r="F103" s="48"/>
      <c r="G103" s="48"/>
      <c r="H103" s="48"/>
      <c r="I103" s="48"/>
      <c r="J103" s="48"/>
      <c r="K103" s="48"/>
      <c r="L103" s="48"/>
      <c r="M103" s="48"/>
      <c r="N103" s="48"/>
      <c r="O103" s="48"/>
      <c r="P103" s="48"/>
      <c r="Q103" s="48"/>
      <c r="R103" s="48"/>
      <c r="S103" s="48"/>
      <c r="T103" s="48"/>
      <c r="U103" s="48"/>
    </row>
    <row r="104" spans="1:21" ht="30" customHeight="1">
      <c r="A104" s="48"/>
      <c r="B104" s="48"/>
      <c r="C104" s="48"/>
      <c r="D104" s="48"/>
      <c r="E104" s="48"/>
      <c r="F104" s="48"/>
      <c r="G104" s="48"/>
      <c r="H104" s="48"/>
      <c r="I104" s="48"/>
      <c r="J104" s="48"/>
      <c r="K104" s="48"/>
      <c r="L104" s="48"/>
      <c r="M104" s="48"/>
      <c r="N104" s="48"/>
      <c r="O104" s="48"/>
      <c r="P104" s="48"/>
      <c r="Q104" s="48"/>
      <c r="R104" s="48"/>
      <c r="S104" s="48"/>
      <c r="T104" s="48"/>
      <c r="U104" s="48"/>
    </row>
    <row r="105" spans="1:21" ht="30" customHeight="1">
      <c r="A105" s="48"/>
      <c r="B105" s="48"/>
      <c r="C105" s="48"/>
      <c r="D105" s="48"/>
      <c r="E105" s="48"/>
      <c r="F105" s="48"/>
      <c r="G105" s="48"/>
      <c r="H105" s="48"/>
      <c r="I105" s="48"/>
      <c r="J105" s="48"/>
      <c r="K105" s="48"/>
      <c r="L105" s="48"/>
      <c r="M105" s="48"/>
      <c r="N105" s="48"/>
      <c r="O105" s="48"/>
      <c r="P105" s="48"/>
      <c r="Q105" s="48"/>
      <c r="R105" s="48"/>
      <c r="S105" s="48"/>
      <c r="T105" s="48"/>
      <c r="U105" s="48"/>
    </row>
    <row r="106" spans="1:21" ht="30" customHeight="1">
      <c r="A106" s="48"/>
      <c r="B106" s="48"/>
      <c r="C106" s="48"/>
      <c r="D106" s="48"/>
      <c r="E106" s="48"/>
      <c r="F106" s="48"/>
      <c r="G106" s="48"/>
      <c r="H106" s="48"/>
      <c r="I106" s="48"/>
      <c r="J106" s="48"/>
      <c r="K106" s="48"/>
      <c r="L106" s="48"/>
      <c r="M106" s="48"/>
      <c r="N106" s="48"/>
      <c r="O106" s="48"/>
      <c r="P106" s="48"/>
      <c r="Q106" s="48"/>
      <c r="R106" s="48"/>
      <c r="S106" s="48"/>
      <c r="T106" s="48"/>
      <c r="U106" s="48"/>
    </row>
    <row r="107" spans="1:21" ht="30" customHeight="1">
      <c r="A107" s="48"/>
      <c r="B107" s="48"/>
      <c r="C107" s="48"/>
      <c r="D107" s="48"/>
      <c r="E107" s="48"/>
      <c r="F107" s="48"/>
      <c r="G107" s="48"/>
      <c r="H107" s="48"/>
      <c r="I107" s="48"/>
      <c r="J107" s="48"/>
      <c r="K107" s="48"/>
      <c r="L107" s="48"/>
      <c r="M107" s="48"/>
      <c r="N107" s="48"/>
      <c r="O107" s="48"/>
      <c r="P107" s="48"/>
      <c r="Q107" s="48"/>
      <c r="R107" s="48"/>
      <c r="S107" s="48"/>
      <c r="T107" s="48"/>
      <c r="U107" s="48"/>
    </row>
    <row r="108" spans="1:21" ht="30" customHeight="1">
      <c r="A108" s="48"/>
      <c r="B108" s="48"/>
      <c r="C108" s="48"/>
      <c r="D108" s="48"/>
      <c r="E108" s="48"/>
      <c r="F108" s="48"/>
      <c r="G108" s="48"/>
      <c r="H108" s="48"/>
      <c r="I108" s="48"/>
      <c r="J108" s="48"/>
      <c r="K108" s="48"/>
      <c r="L108" s="48"/>
      <c r="M108" s="48"/>
      <c r="N108" s="48"/>
      <c r="O108" s="48"/>
      <c r="P108" s="48"/>
      <c r="Q108" s="48"/>
      <c r="R108" s="48"/>
      <c r="S108" s="48"/>
      <c r="T108" s="48"/>
      <c r="U108" s="48"/>
    </row>
    <row r="109" spans="1:21" ht="30" customHeight="1">
      <c r="A109" s="48"/>
      <c r="B109" s="48"/>
      <c r="C109" s="48"/>
      <c r="D109" s="48"/>
      <c r="E109" s="48"/>
      <c r="F109" s="48"/>
      <c r="G109" s="48"/>
      <c r="H109" s="48"/>
      <c r="I109" s="48"/>
      <c r="J109" s="48"/>
      <c r="K109" s="48"/>
      <c r="L109" s="48"/>
      <c r="M109" s="48"/>
      <c r="N109" s="48"/>
      <c r="O109" s="48"/>
      <c r="P109" s="48"/>
      <c r="Q109" s="48"/>
      <c r="R109" s="48"/>
      <c r="S109" s="48"/>
      <c r="T109" s="48"/>
      <c r="U109" s="48"/>
    </row>
    <row r="110" spans="1:21" ht="30" customHeight="1">
      <c r="A110" s="48"/>
      <c r="B110" s="48"/>
      <c r="C110" s="48"/>
      <c r="D110" s="48"/>
      <c r="E110" s="48"/>
      <c r="F110" s="48"/>
      <c r="G110" s="48"/>
      <c r="H110" s="48"/>
      <c r="I110" s="48"/>
      <c r="J110" s="48"/>
      <c r="K110" s="48"/>
      <c r="L110" s="48"/>
      <c r="M110" s="48"/>
      <c r="N110" s="48"/>
      <c r="O110" s="48"/>
      <c r="P110" s="48"/>
      <c r="Q110" s="48"/>
      <c r="R110" s="48"/>
      <c r="S110" s="48"/>
      <c r="T110" s="48"/>
      <c r="U110" s="48"/>
    </row>
    <row r="111" spans="1:21" ht="30" customHeight="1">
      <c r="A111" s="48"/>
      <c r="B111" s="48"/>
      <c r="C111" s="48"/>
      <c r="D111" s="48"/>
      <c r="E111" s="48"/>
      <c r="F111" s="48"/>
      <c r="G111" s="48"/>
      <c r="H111" s="48"/>
      <c r="I111" s="48"/>
      <c r="J111" s="48"/>
      <c r="K111" s="48"/>
      <c r="L111" s="48"/>
      <c r="M111" s="48"/>
      <c r="N111" s="48"/>
      <c r="O111" s="48"/>
      <c r="P111" s="48"/>
      <c r="Q111" s="48"/>
      <c r="R111" s="48"/>
      <c r="S111" s="48"/>
      <c r="T111" s="48"/>
      <c r="U111" s="48"/>
    </row>
    <row r="112" spans="1:21" ht="30" customHeight="1">
      <c r="A112" s="48"/>
      <c r="B112" s="48"/>
      <c r="C112" s="48"/>
      <c r="D112" s="48"/>
      <c r="E112" s="48"/>
      <c r="F112" s="48"/>
      <c r="G112" s="48"/>
      <c r="H112" s="48"/>
      <c r="I112" s="48"/>
      <c r="J112" s="48"/>
      <c r="K112" s="48"/>
      <c r="L112" s="48"/>
      <c r="M112" s="48"/>
      <c r="N112" s="48"/>
      <c r="O112" s="48"/>
      <c r="P112" s="48"/>
      <c r="Q112" s="48"/>
      <c r="R112" s="48"/>
      <c r="S112" s="48"/>
      <c r="T112" s="48"/>
      <c r="U112" s="48"/>
    </row>
    <row r="113" spans="1:21" ht="30" customHeight="1">
      <c r="A113" s="48"/>
      <c r="B113" s="48"/>
      <c r="C113" s="48"/>
      <c r="D113" s="48"/>
      <c r="E113" s="48"/>
      <c r="F113" s="48"/>
      <c r="G113" s="48"/>
      <c r="H113" s="48"/>
      <c r="I113" s="48"/>
      <c r="J113" s="48"/>
      <c r="K113" s="48"/>
      <c r="L113" s="48"/>
      <c r="M113" s="48"/>
      <c r="N113" s="48"/>
      <c r="O113" s="48"/>
      <c r="P113" s="48"/>
      <c r="Q113" s="48"/>
      <c r="R113" s="48"/>
      <c r="S113" s="48"/>
      <c r="T113" s="48"/>
      <c r="U113" s="48"/>
    </row>
    <row r="114" spans="1:21" ht="30" customHeight="1">
      <c r="A114" s="48"/>
      <c r="B114" s="48"/>
      <c r="C114" s="48"/>
      <c r="D114" s="48"/>
      <c r="E114" s="48"/>
      <c r="F114" s="48"/>
      <c r="G114" s="48"/>
      <c r="H114" s="48"/>
      <c r="I114" s="48"/>
      <c r="J114" s="48"/>
      <c r="K114" s="48"/>
      <c r="L114" s="48"/>
      <c r="M114" s="48"/>
      <c r="N114" s="48"/>
      <c r="O114" s="48"/>
      <c r="P114" s="48"/>
      <c r="Q114" s="48"/>
      <c r="R114" s="48"/>
      <c r="S114" s="48"/>
      <c r="T114" s="48"/>
      <c r="U114" s="48"/>
    </row>
    <row r="115" spans="1:21" ht="30" customHeight="1">
      <c r="A115" s="48"/>
      <c r="B115" s="48"/>
      <c r="C115" s="48"/>
      <c r="D115" s="48"/>
      <c r="E115" s="48"/>
      <c r="F115" s="48"/>
      <c r="G115" s="48"/>
      <c r="H115" s="48"/>
      <c r="I115" s="48"/>
      <c r="J115" s="48"/>
      <c r="K115" s="48"/>
      <c r="L115" s="48"/>
      <c r="M115" s="48"/>
      <c r="N115" s="48"/>
      <c r="O115" s="48"/>
      <c r="P115" s="48"/>
      <c r="Q115" s="48"/>
      <c r="R115" s="48"/>
      <c r="S115" s="48"/>
      <c r="T115" s="48"/>
      <c r="U115" s="48"/>
    </row>
    <row r="116" spans="1:21" ht="30" customHeight="1">
      <c r="A116" s="48"/>
      <c r="B116" s="48"/>
      <c r="C116" s="48"/>
      <c r="D116" s="48"/>
      <c r="E116" s="48"/>
      <c r="F116" s="48"/>
      <c r="G116" s="48"/>
      <c r="H116" s="48"/>
      <c r="I116" s="48"/>
      <c r="J116" s="48"/>
      <c r="K116" s="48"/>
      <c r="L116" s="48"/>
      <c r="M116" s="48"/>
      <c r="N116" s="48"/>
      <c r="O116" s="48"/>
      <c r="P116" s="48"/>
      <c r="Q116" s="48"/>
      <c r="R116" s="48"/>
      <c r="S116" s="48"/>
      <c r="T116" s="48"/>
      <c r="U116" s="48"/>
    </row>
    <row r="117" spans="1:21" ht="30" customHeight="1">
      <c r="A117" s="48"/>
      <c r="B117" s="48"/>
      <c r="C117" s="48"/>
      <c r="D117" s="48"/>
      <c r="E117" s="48"/>
      <c r="F117" s="48"/>
      <c r="G117" s="48"/>
      <c r="H117" s="48"/>
      <c r="I117" s="48"/>
      <c r="J117" s="48"/>
      <c r="K117" s="48"/>
      <c r="L117" s="48"/>
      <c r="M117" s="48"/>
      <c r="N117" s="48"/>
      <c r="O117" s="48"/>
      <c r="P117" s="48"/>
      <c r="Q117" s="48"/>
      <c r="R117" s="48"/>
      <c r="S117" s="48"/>
      <c r="T117" s="48"/>
      <c r="U117" s="48"/>
    </row>
    <row r="118" spans="1:21" ht="30" customHeight="1">
      <c r="A118" s="48"/>
      <c r="B118" s="48"/>
      <c r="C118" s="48"/>
      <c r="D118" s="48"/>
      <c r="E118" s="48"/>
      <c r="F118" s="48"/>
      <c r="G118" s="48"/>
      <c r="H118" s="48"/>
      <c r="I118" s="48"/>
      <c r="J118" s="48"/>
      <c r="K118" s="48"/>
      <c r="L118" s="48"/>
      <c r="M118" s="48"/>
      <c r="N118" s="48"/>
      <c r="O118" s="48"/>
      <c r="P118" s="48"/>
      <c r="Q118" s="48"/>
      <c r="R118" s="48"/>
      <c r="S118" s="48"/>
      <c r="T118" s="48"/>
      <c r="U118" s="48"/>
    </row>
    <row r="119" spans="1:21" ht="30" customHeight="1">
      <c r="A119" s="48"/>
      <c r="B119" s="48"/>
      <c r="C119" s="48"/>
      <c r="D119" s="48"/>
      <c r="E119" s="48"/>
      <c r="F119" s="48"/>
      <c r="G119" s="48"/>
      <c r="H119" s="48"/>
      <c r="I119" s="48"/>
      <c r="J119" s="48"/>
      <c r="K119" s="48"/>
      <c r="L119" s="48"/>
      <c r="M119" s="48"/>
      <c r="N119" s="48"/>
      <c r="O119" s="48"/>
      <c r="P119" s="48"/>
      <c r="Q119" s="48"/>
      <c r="R119" s="48"/>
      <c r="S119" s="48"/>
      <c r="T119" s="48"/>
      <c r="U119" s="48"/>
    </row>
    <row r="120" spans="1:21" ht="30" customHeight="1">
      <c r="A120" s="48"/>
      <c r="B120" s="48"/>
      <c r="C120" s="48"/>
      <c r="D120" s="48"/>
      <c r="E120" s="48"/>
      <c r="F120" s="48"/>
      <c r="G120" s="48"/>
      <c r="H120" s="48"/>
      <c r="I120" s="48"/>
      <c r="J120" s="48"/>
      <c r="K120" s="48"/>
      <c r="L120" s="48"/>
      <c r="M120" s="48"/>
      <c r="N120" s="48"/>
      <c r="O120" s="48"/>
      <c r="P120" s="48"/>
      <c r="Q120" s="48"/>
      <c r="R120" s="48"/>
      <c r="S120" s="48"/>
      <c r="T120" s="48"/>
      <c r="U120" s="48"/>
    </row>
    <row r="121" spans="1:21" ht="30" customHeight="1">
      <c r="A121" s="48"/>
      <c r="B121" s="48"/>
      <c r="C121" s="48"/>
      <c r="D121" s="48"/>
      <c r="E121" s="48"/>
      <c r="F121" s="48"/>
      <c r="G121" s="48"/>
      <c r="H121" s="48"/>
      <c r="I121" s="48"/>
      <c r="J121" s="48"/>
      <c r="K121" s="48"/>
      <c r="L121" s="48"/>
      <c r="M121" s="48"/>
      <c r="N121" s="48"/>
      <c r="O121" s="48"/>
      <c r="P121" s="48"/>
      <c r="Q121" s="48"/>
      <c r="R121" s="48"/>
      <c r="S121" s="48"/>
      <c r="T121" s="48"/>
      <c r="U121" s="48"/>
    </row>
  </sheetData>
  <mergeCells count="3">
    <mergeCell ref="A4:U4"/>
    <mergeCell ref="A3:U3"/>
    <mergeCell ref="A1:U1"/>
  </mergeCells>
  <dataValidations count="3">
    <dataValidation type="list" allowBlank="1" sqref="S7:S121" xr:uid="{00000000-0002-0000-1600-000000000000}">
      <formula1>"Not Started,In Progress,Awaiting Information,Complete,N/A,On Hold,Gap / Action Required,Approved,Rejected,Superseded"</formula1>
    </dataValidation>
    <dataValidation type="list" allowBlank="1" sqref="H8:H19" xr:uid="{00000000-0002-0000-1600-000001000000}">
      <formula1>"Not Started,Approved,Conditional,Rejected,Needs Review,Not Applicable"</formula1>
    </dataValidation>
    <dataValidation type="list" allowBlank="1" sqref="K8:K19" xr:uid="{00000000-0002-0000-1600-000002000000}">
      <formula1>"Not Started,In Progress,Needs Review,Complete,Not Applicable,Blocked"</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N121"/>
  <sheetViews>
    <sheetView showGridLines="0" workbookViewId="0">
      <selection activeCell="C25" sqref="C25"/>
    </sheetView>
  </sheetViews>
  <sheetFormatPr defaultRowHeight="15"/>
  <cols>
    <col min="1" max="1" width="52.42578125" customWidth="1"/>
    <col min="2" max="2" width="14" customWidth="1"/>
    <col min="3" max="4" width="30" customWidth="1"/>
    <col min="5" max="5" width="32" customWidth="1"/>
    <col min="6" max="6" width="30" customWidth="1"/>
    <col min="7" max="7" width="24" customWidth="1"/>
    <col min="8" max="8" width="18" customWidth="1"/>
    <col min="9" max="9" width="12" customWidth="1"/>
    <col min="10" max="10" width="24" customWidth="1"/>
    <col min="11" max="11" width="32" customWidth="1"/>
    <col min="12" max="12" width="16" customWidth="1"/>
    <col min="13" max="13" width="26" customWidth="1"/>
    <col min="14" max="14" width="35" customWidth="1"/>
  </cols>
  <sheetData>
    <row r="1" spans="1:14" s="48" customFormat="1">
      <c r="A1" s="177" t="s">
        <v>1953</v>
      </c>
      <c r="B1" s="177"/>
      <c r="C1" s="177"/>
      <c r="D1" s="177"/>
      <c r="E1" s="177"/>
      <c r="F1" s="177"/>
      <c r="G1" s="177"/>
      <c r="H1" s="177"/>
      <c r="I1" s="177"/>
      <c r="J1" s="177"/>
      <c r="K1" s="177"/>
      <c r="L1" s="177"/>
      <c r="M1" s="177"/>
      <c r="N1" s="177"/>
    </row>
    <row r="2" spans="1:14" ht="24" customHeight="1">
      <c r="A2" s="56" t="s">
        <v>0</v>
      </c>
      <c r="B2" s="56"/>
      <c r="C2" s="56"/>
      <c r="D2" s="56"/>
      <c r="E2" s="56"/>
      <c r="F2" s="56"/>
      <c r="G2" s="56"/>
      <c r="H2" s="56"/>
      <c r="I2" s="56"/>
      <c r="J2" s="56"/>
      <c r="K2" s="56"/>
      <c r="L2" s="48"/>
      <c r="M2" s="48"/>
      <c r="N2" s="48"/>
    </row>
    <row r="3" spans="1:14" ht="30" customHeight="1">
      <c r="A3" s="168" t="s">
        <v>1989</v>
      </c>
      <c r="B3" s="193"/>
      <c r="C3" s="193"/>
      <c r="D3" s="193"/>
      <c r="E3" s="193"/>
      <c r="F3" s="193"/>
      <c r="G3" s="193"/>
      <c r="H3" s="193"/>
      <c r="I3" s="193"/>
      <c r="J3" s="193"/>
      <c r="K3" s="193"/>
      <c r="L3" s="193"/>
      <c r="M3" s="193"/>
      <c r="N3" s="193"/>
    </row>
    <row r="4" spans="1:14" ht="30" customHeight="1">
      <c r="A4" s="167" t="s">
        <v>1990</v>
      </c>
      <c r="B4" s="193"/>
      <c r="C4" s="193"/>
      <c r="D4" s="193"/>
      <c r="E4" s="193"/>
      <c r="F4" s="193"/>
      <c r="G4" s="193"/>
      <c r="H4" s="193"/>
      <c r="I4" s="193"/>
      <c r="J4" s="193"/>
      <c r="K4" s="193"/>
      <c r="L4" s="193"/>
      <c r="M4" s="193"/>
      <c r="N4" s="193"/>
    </row>
    <row r="5" spans="1:14">
      <c r="A5" s="46"/>
      <c r="B5" s="46"/>
      <c r="C5" s="46"/>
      <c r="D5" s="46"/>
      <c r="E5" s="46"/>
      <c r="F5" s="46"/>
      <c r="G5" s="46"/>
      <c r="H5" s="46"/>
      <c r="I5" s="46"/>
      <c r="J5" s="46"/>
      <c r="K5" s="46"/>
      <c r="L5" s="48"/>
      <c r="M5" s="48"/>
      <c r="N5" s="48"/>
    </row>
    <row r="6" spans="1:14" ht="21.95" customHeight="1">
      <c r="A6" s="57" t="s">
        <v>1991</v>
      </c>
      <c r="B6" s="57"/>
      <c r="C6" s="57"/>
      <c r="D6" s="57"/>
      <c r="E6" s="57"/>
      <c r="F6" s="57"/>
      <c r="G6" s="57"/>
      <c r="H6" s="57"/>
      <c r="I6" s="57"/>
      <c r="J6" s="57"/>
      <c r="K6" s="57"/>
      <c r="L6" s="48"/>
      <c r="M6" s="48"/>
      <c r="N6" s="48"/>
    </row>
    <row r="7" spans="1:14" ht="33.950000000000003" customHeight="1">
      <c r="A7" s="36" t="s">
        <v>1992</v>
      </c>
      <c r="B7" s="36" t="s">
        <v>1993</v>
      </c>
      <c r="C7" s="36" t="s">
        <v>1994</v>
      </c>
      <c r="D7" s="36" t="s">
        <v>1995</v>
      </c>
      <c r="E7" s="36" t="s">
        <v>1996</v>
      </c>
      <c r="F7" s="36" t="s">
        <v>1997</v>
      </c>
      <c r="G7" s="36" t="s">
        <v>144</v>
      </c>
      <c r="H7" s="36" t="s">
        <v>145</v>
      </c>
      <c r="I7" s="36" t="s">
        <v>143</v>
      </c>
      <c r="J7" s="36" t="s">
        <v>1998</v>
      </c>
      <c r="K7" s="36" t="s">
        <v>70</v>
      </c>
      <c r="L7" s="48"/>
      <c r="M7" s="48"/>
      <c r="N7" s="48"/>
    </row>
    <row r="8" spans="1:14" ht="30" customHeight="1">
      <c r="A8" s="37" t="s">
        <v>1999</v>
      </c>
      <c r="B8" s="37" t="s">
        <v>2000</v>
      </c>
      <c r="C8" s="37" t="s">
        <v>2001</v>
      </c>
      <c r="D8" s="37" t="s">
        <v>1100</v>
      </c>
      <c r="E8" s="37" t="s">
        <v>2002</v>
      </c>
      <c r="F8" s="37"/>
      <c r="G8" s="37" t="s">
        <v>730</v>
      </c>
      <c r="H8" s="37" t="s">
        <v>152</v>
      </c>
      <c r="I8" s="37" t="s">
        <v>2003</v>
      </c>
      <c r="J8" s="37" t="s">
        <v>2004</v>
      </c>
      <c r="K8" s="37"/>
      <c r="L8" s="48"/>
      <c r="M8" s="48"/>
      <c r="N8" s="48"/>
    </row>
    <row r="9" spans="1:14" ht="30" customHeight="1">
      <c r="A9" s="37" t="s">
        <v>2005</v>
      </c>
      <c r="B9" s="37" t="s">
        <v>2000</v>
      </c>
      <c r="C9" s="37" t="s">
        <v>2006</v>
      </c>
      <c r="D9" s="37" t="s">
        <v>2007</v>
      </c>
      <c r="E9" s="37" t="s">
        <v>154</v>
      </c>
      <c r="F9" s="37"/>
      <c r="G9" s="37" t="s">
        <v>151</v>
      </c>
      <c r="H9" s="37" t="s">
        <v>152</v>
      </c>
      <c r="I9" s="37" t="s">
        <v>150</v>
      </c>
      <c r="J9" s="37" t="s">
        <v>2008</v>
      </c>
      <c r="K9" s="37"/>
      <c r="L9" s="48"/>
      <c r="M9" s="48"/>
      <c r="N9" s="48"/>
    </row>
    <row r="10" spans="1:14" ht="30" customHeight="1">
      <c r="A10" s="37" t="s">
        <v>2009</v>
      </c>
      <c r="B10" s="37" t="s">
        <v>2000</v>
      </c>
      <c r="C10" s="37" t="s">
        <v>2010</v>
      </c>
      <c r="D10" s="37" t="s">
        <v>166</v>
      </c>
      <c r="E10" s="37" t="s">
        <v>147</v>
      </c>
      <c r="F10" s="37"/>
      <c r="G10" s="37" t="s">
        <v>2011</v>
      </c>
      <c r="H10" s="37" t="s">
        <v>152</v>
      </c>
      <c r="I10" s="37" t="s">
        <v>2012</v>
      </c>
      <c r="J10" s="37" t="s">
        <v>2013</v>
      </c>
      <c r="K10" s="37"/>
      <c r="L10" s="48"/>
      <c r="M10" s="48"/>
      <c r="N10" s="48"/>
    </row>
    <row r="11" spans="1:14" ht="30" customHeight="1">
      <c r="A11" s="37" t="s">
        <v>2014</v>
      </c>
      <c r="B11" s="37" t="s">
        <v>2000</v>
      </c>
      <c r="C11" s="37" t="s">
        <v>2015</v>
      </c>
      <c r="D11" s="37" t="s">
        <v>189</v>
      </c>
      <c r="E11" s="37" t="s">
        <v>2016</v>
      </c>
      <c r="F11" s="37"/>
      <c r="G11" s="37" t="s">
        <v>180</v>
      </c>
      <c r="H11" s="37" t="s">
        <v>152</v>
      </c>
      <c r="I11" s="37" t="s">
        <v>192</v>
      </c>
      <c r="J11" s="37" t="s">
        <v>2017</v>
      </c>
      <c r="K11" s="37"/>
      <c r="L11" s="48"/>
      <c r="M11" s="48"/>
      <c r="N11" s="48"/>
    </row>
    <row r="12" spans="1:14" ht="30" customHeight="1">
      <c r="A12" s="37" t="s">
        <v>2018</v>
      </c>
      <c r="B12" s="37" t="s">
        <v>2019</v>
      </c>
      <c r="C12" s="37" t="s">
        <v>2020</v>
      </c>
      <c r="D12" s="37" t="s">
        <v>194</v>
      </c>
      <c r="E12" s="37" t="s">
        <v>178</v>
      </c>
      <c r="F12" s="37"/>
      <c r="G12" s="37" t="s">
        <v>197</v>
      </c>
      <c r="H12" s="37" t="s">
        <v>152</v>
      </c>
      <c r="I12" s="37" t="s">
        <v>192</v>
      </c>
      <c r="J12" s="37" t="s">
        <v>2021</v>
      </c>
      <c r="K12" s="37"/>
      <c r="L12" s="48"/>
      <c r="M12" s="48"/>
      <c r="N12" s="48"/>
    </row>
    <row r="13" spans="1:14" ht="30" customHeight="1">
      <c r="A13" s="37" t="s">
        <v>2022</v>
      </c>
      <c r="B13" s="37" t="s">
        <v>2000</v>
      </c>
      <c r="C13" s="37" t="s">
        <v>2023</v>
      </c>
      <c r="D13" s="37" t="s">
        <v>200</v>
      </c>
      <c r="E13" s="37" t="s">
        <v>2024</v>
      </c>
      <c r="F13" s="37"/>
      <c r="G13" s="37" t="s">
        <v>204</v>
      </c>
      <c r="H13" s="37" t="s">
        <v>152</v>
      </c>
      <c r="I13" s="37" t="s">
        <v>203</v>
      </c>
      <c r="J13" s="37" t="s">
        <v>2025</v>
      </c>
      <c r="K13" s="37"/>
      <c r="L13" s="48"/>
      <c r="M13" s="48"/>
      <c r="N13" s="48"/>
    </row>
    <row r="14" spans="1:14" ht="30" customHeight="1">
      <c r="A14" s="37" t="s">
        <v>2026</v>
      </c>
      <c r="B14" s="37" t="s">
        <v>2019</v>
      </c>
      <c r="C14" s="37" t="s">
        <v>2027</v>
      </c>
      <c r="D14" s="37" t="s">
        <v>207</v>
      </c>
      <c r="E14" s="37" t="s">
        <v>2028</v>
      </c>
      <c r="F14" s="37"/>
      <c r="G14" s="37" t="s">
        <v>211</v>
      </c>
      <c r="H14" s="37" t="s">
        <v>152</v>
      </c>
      <c r="I14" s="37" t="s">
        <v>210</v>
      </c>
      <c r="J14" s="37" t="s">
        <v>2026</v>
      </c>
      <c r="K14" s="37"/>
      <c r="L14" s="48"/>
      <c r="M14" s="48"/>
      <c r="N14" s="48"/>
    </row>
    <row r="15" spans="1:14" ht="30" customHeight="1">
      <c r="A15" s="37" t="s">
        <v>2029</v>
      </c>
      <c r="B15" s="37" t="s">
        <v>2000</v>
      </c>
      <c r="C15" s="37" t="s">
        <v>2030</v>
      </c>
      <c r="D15" s="37" t="s">
        <v>213</v>
      </c>
      <c r="E15" s="37" t="s">
        <v>2031</v>
      </c>
      <c r="F15" s="37"/>
      <c r="G15" s="37" t="s">
        <v>211</v>
      </c>
      <c r="H15" s="37" t="s">
        <v>152</v>
      </c>
      <c r="I15" s="37" t="s">
        <v>216</v>
      </c>
      <c r="J15" s="37" t="s">
        <v>2029</v>
      </c>
      <c r="K15" s="37"/>
      <c r="L15" s="48"/>
      <c r="M15" s="48"/>
      <c r="N15" s="48"/>
    </row>
    <row r="16" spans="1:14" ht="30" customHeight="1">
      <c r="A16" s="37" t="s">
        <v>2032</v>
      </c>
      <c r="B16" s="37" t="s">
        <v>2019</v>
      </c>
      <c r="C16" s="37" t="s">
        <v>2033</v>
      </c>
      <c r="D16" s="37" t="s">
        <v>218</v>
      </c>
      <c r="E16" s="37" t="s">
        <v>189</v>
      </c>
      <c r="F16" s="37"/>
      <c r="G16" s="37" t="s">
        <v>222</v>
      </c>
      <c r="H16" s="37" t="s">
        <v>152</v>
      </c>
      <c r="I16" s="37" t="s">
        <v>221</v>
      </c>
      <c r="J16" s="37" t="s">
        <v>2034</v>
      </c>
      <c r="K16" s="37"/>
      <c r="L16" s="48"/>
      <c r="M16" s="48"/>
      <c r="N16" s="48"/>
    </row>
    <row r="17" spans="1:14" ht="30" customHeight="1">
      <c r="A17" s="37" t="s">
        <v>2035</v>
      </c>
      <c r="B17" s="37" t="s">
        <v>2019</v>
      </c>
      <c r="C17" s="37" t="s">
        <v>2036</v>
      </c>
      <c r="D17" s="37" t="s">
        <v>235</v>
      </c>
      <c r="E17" s="37" t="s">
        <v>2037</v>
      </c>
      <c r="F17" s="37"/>
      <c r="G17" s="37" t="s">
        <v>233</v>
      </c>
      <c r="H17" s="37" t="s">
        <v>152</v>
      </c>
      <c r="I17" s="37" t="s">
        <v>238</v>
      </c>
      <c r="J17" s="37" t="s">
        <v>2038</v>
      </c>
      <c r="K17" s="37"/>
      <c r="L17" s="48"/>
      <c r="M17" s="48"/>
      <c r="N17" s="48"/>
    </row>
    <row r="18" spans="1:14" ht="30" customHeight="1">
      <c r="A18" s="37" t="s">
        <v>2039</v>
      </c>
      <c r="B18" s="37" t="s">
        <v>2019</v>
      </c>
      <c r="C18" s="37" t="s">
        <v>2040</v>
      </c>
      <c r="D18" s="37" t="s">
        <v>240</v>
      </c>
      <c r="E18" s="37" t="s">
        <v>2041</v>
      </c>
      <c r="F18" s="37"/>
      <c r="G18" s="37" t="s">
        <v>243</v>
      </c>
      <c r="H18" s="37" t="s">
        <v>152</v>
      </c>
      <c r="I18" s="37" t="s">
        <v>238</v>
      </c>
      <c r="J18" s="37" t="s">
        <v>2042</v>
      </c>
      <c r="K18" s="37"/>
      <c r="L18" s="48"/>
      <c r="M18" s="48"/>
      <c r="N18" s="48"/>
    </row>
    <row r="19" spans="1:14" ht="30" customHeight="1">
      <c r="A19" s="37" t="s">
        <v>2043</v>
      </c>
      <c r="B19" s="37" t="s">
        <v>2000</v>
      </c>
      <c r="C19" s="37" t="s">
        <v>2044</v>
      </c>
      <c r="D19" s="37" t="s">
        <v>251</v>
      </c>
      <c r="E19" s="37" t="s">
        <v>2045</v>
      </c>
      <c r="F19" s="37"/>
      <c r="G19" s="37" t="s">
        <v>176</v>
      </c>
      <c r="H19" s="37" t="s">
        <v>152</v>
      </c>
      <c r="I19" s="37" t="s">
        <v>257</v>
      </c>
      <c r="J19" s="37" t="s">
        <v>2046</v>
      </c>
      <c r="K19" s="37"/>
      <c r="L19" s="48"/>
      <c r="M19" s="48"/>
      <c r="N19" s="48"/>
    </row>
    <row r="20" spans="1:14" ht="30" customHeight="1">
      <c r="A20" s="37" t="s">
        <v>2047</v>
      </c>
      <c r="B20" s="37" t="s">
        <v>2000</v>
      </c>
      <c r="C20" s="37" t="s">
        <v>2048</v>
      </c>
      <c r="D20" s="37" t="s">
        <v>2049</v>
      </c>
      <c r="E20" s="37" t="s">
        <v>2050</v>
      </c>
      <c r="F20" s="37"/>
      <c r="G20" s="37" t="s">
        <v>2051</v>
      </c>
      <c r="H20" s="37" t="s">
        <v>152</v>
      </c>
      <c r="I20" s="37" t="s">
        <v>257</v>
      </c>
      <c r="J20" s="37" t="s">
        <v>2052</v>
      </c>
      <c r="K20" s="37"/>
      <c r="L20" s="48"/>
      <c r="M20" s="48"/>
      <c r="N20" s="48"/>
    </row>
    <row r="21" spans="1:14" ht="30" customHeight="1">
      <c r="A21" s="37" t="s">
        <v>2053</v>
      </c>
      <c r="B21" s="37" t="s">
        <v>2000</v>
      </c>
      <c r="C21" s="37" t="s">
        <v>2054</v>
      </c>
      <c r="D21" s="37" t="s">
        <v>2055</v>
      </c>
      <c r="E21" s="37" t="s">
        <v>213</v>
      </c>
      <c r="F21" s="37"/>
      <c r="G21" s="37" t="s">
        <v>270</v>
      </c>
      <c r="H21" s="37" t="s">
        <v>152</v>
      </c>
      <c r="I21" s="37" t="s">
        <v>269</v>
      </c>
      <c r="J21" s="37" t="s">
        <v>2056</v>
      </c>
      <c r="K21" s="37"/>
      <c r="L21" s="48"/>
      <c r="M21" s="48"/>
      <c r="N21" s="48"/>
    </row>
    <row r="22" spans="1:14" ht="30" customHeight="1">
      <c r="A22" s="37" t="s">
        <v>2057</v>
      </c>
      <c r="B22" s="37" t="s">
        <v>2019</v>
      </c>
      <c r="C22" s="37" t="s">
        <v>2058</v>
      </c>
      <c r="D22" s="37" t="s">
        <v>260</v>
      </c>
      <c r="E22" s="37" t="s">
        <v>2059</v>
      </c>
      <c r="F22" s="37"/>
      <c r="G22" s="37" t="s">
        <v>264</v>
      </c>
      <c r="H22" s="37" t="s">
        <v>152</v>
      </c>
      <c r="I22" s="37" t="s">
        <v>263</v>
      </c>
      <c r="J22" s="37" t="s">
        <v>2060</v>
      </c>
      <c r="K22" s="37"/>
      <c r="L22" s="48"/>
      <c r="M22" s="48"/>
      <c r="N22" s="48"/>
    </row>
    <row r="23" spans="1:14" ht="30" customHeight="1">
      <c r="A23" s="37" t="s">
        <v>2061</v>
      </c>
      <c r="B23" s="37" t="s">
        <v>2000</v>
      </c>
      <c r="C23" s="37" t="s">
        <v>2062</v>
      </c>
      <c r="D23" s="37" t="s">
        <v>273</v>
      </c>
      <c r="E23" s="37" t="s">
        <v>2063</v>
      </c>
      <c r="F23" s="37"/>
      <c r="G23" s="37" t="s">
        <v>277</v>
      </c>
      <c r="H23" s="37" t="s">
        <v>152</v>
      </c>
      <c r="I23" s="37" t="s">
        <v>276</v>
      </c>
      <c r="J23" s="37" t="s">
        <v>2064</v>
      </c>
      <c r="K23" s="37"/>
      <c r="L23" s="48"/>
      <c r="M23" s="48"/>
      <c r="N23" s="48"/>
    </row>
    <row r="24" spans="1:14" ht="30" customHeight="1">
      <c r="A24" s="46"/>
      <c r="B24" s="46"/>
      <c r="C24" s="46"/>
      <c r="D24" s="46"/>
      <c r="E24" s="46"/>
      <c r="F24" s="46"/>
      <c r="G24" s="46"/>
      <c r="H24" s="46"/>
      <c r="I24" s="46"/>
      <c r="J24" s="46"/>
      <c r="K24" s="46"/>
      <c r="L24" s="48"/>
      <c r="M24" s="48"/>
      <c r="N24" s="48"/>
    </row>
    <row r="25" spans="1:14" ht="30" customHeight="1">
      <c r="A25" s="48"/>
      <c r="B25" s="48"/>
      <c r="C25" s="48"/>
      <c r="D25" s="48"/>
      <c r="E25" s="48"/>
      <c r="F25" s="48"/>
      <c r="G25" s="48"/>
      <c r="H25" s="48"/>
      <c r="I25" s="48"/>
      <c r="J25" s="48"/>
      <c r="K25" s="48"/>
      <c r="L25" s="48"/>
      <c r="M25" s="48"/>
      <c r="N25" s="48"/>
    </row>
    <row r="26" spans="1:14" ht="30" customHeight="1">
      <c r="A26" s="48"/>
      <c r="B26" s="48"/>
      <c r="C26" s="48"/>
      <c r="D26" s="48"/>
      <c r="E26" s="48"/>
      <c r="F26" s="48"/>
      <c r="G26" s="48"/>
      <c r="H26" s="48"/>
      <c r="I26" s="48"/>
      <c r="J26" s="48"/>
      <c r="K26" s="48"/>
      <c r="L26" s="48"/>
      <c r="M26" s="48"/>
      <c r="N26" s="48"/>
    </row>
    <row r="27" spans="1:14" ht="30" customHeight="1">
      <c r="A27" s="48"/>
      <c r="B27" s="48"/>
      <c r="C27" s="48"/>
      <c r="D27" s="48"/>
      <c r="E27" s="48"/>
      <c r="F27" s="48"/>
      <c r="G27" s="48"/>
      <c r="H27" s="48"/>
      <c r="I27" s="48"/>
      <c r="J27" s="48"/>
      <c r="K27" s="48"/>
      <c r="L27" s="48"/>
      <c r="M27" s="48"/>
      <c r="N27" s="48"/>
    </row>
    <row r="28" spans="1:14" ht="30" customHeight="1">
      <c r="A28" s="48"/>
      <c r="B28" s="48"/>
      <c r="C28" s="48"/>
      <c r="D28" s="48"/>
      <c r="E28" s="48"/>
      <c r="F28" s="48"/>
      <c r="G28" s="48"/>
      <c r="H28" s="48"/>
      <c r="I28" s="48"/>
      <c r="J28" s="48"/>
      <c r="K28" s="48"/>
      <c r="L28" s="48"/>
      <c r="M28" s="48"/>
      <c r="N28" s="48"/>
    </row>
    <row r="29" spans="1:14" ht="30" customHeight="1">
      <c r="A29" s="48"/>
      <c r="B29" s="48"/>
      <c r="C29" s="48"/>
      <c r="D29" s="48"/>
      <c r="E29" s="48"/>
      <c r="F29" s="48"/>
      <c r="G29" s="48"/>
      <c r="H29" s="48"/>
      <c r="I29" s="48"/>
      <c r="J29" s="48"/>
      <c r="K29" s="48"/>
      <c r="L29" s="48"/>
      <c r="M29" s="48"/>
      <c r="N29" s="48"/>
    </row>
    <row r="30" spans="1:14" ht="30" customHeight="1">
      <c r="A30" s="48"/>
      <c r="B30" s="48"/>
      <c r="C30" s="48"/>
      <c r="D30" s="48"/>
      <c r="E30" s="48"/>
      <c r="F30" s="48"/>
      <c r="G30" s="48"/>
      <c r="H30" s="48"/>
      <c r="I30" s="48"/>
      <c r="J30" s="48"/>
      <c r="K30" s="48"/>
      <c r="L30" s="48"/>
      <c r="M30" s="48"/>
      <c r="N30" s="48"/>
    </row>
    <row r="31" spans="1:14" ht="30" customHeight="1">
      <c r="A31" s="48"/>
      <c r="B31" s="48"/>
      <c r="C31" s="48"/>
      <c r="D31" s="48"/>
      <c r="E31" s="48"/>
      <c r="F31" s="48"/>
      <c r="G31" s="48"/>
      <c r="H31" s="48"/>
      <c r="I31" s="48"/>
      <c r="J31" s="48"/>
      <c r="K31" s="48"/>
      <c r="L31" s="48"/>
      <c r="M31" s="48"/>
      <c r="N31" s="48"/>
    </row>
    <row r="32" spans="1:14" ht="30" customHeight="1">
      <c r="A32" s="48"/>
      <c r="B32" s="48"/>
      <c r="C32" s="48"/>
      <c r="D32" s="48"/>
      <c r="E32" s="48"/>
      <c r="F32" s="48"/>
      <c r="G32" s="48"/>
      <c r="H32" s="48"/>
      <c r="I32" s="48"/>
      <c r="J32" s="48"/>
      <c r="K32" s="48"/>
      <c r="L32" s="48"/>
      <c r="M32" s="48"/>
      <c r="N32" s="48"/>
    </row>
    <row r="33" spans="1:14" ht="30" customHeight="1">
      <c r="A33" s="48"/>
      <c r="B33" s="48"/>
      <c r="C33" s="48"/>
      <c r="D33" s="48"/>
      <c r="E33" s="48"/>
      <c r="F33" s="48"/>
      <c r="G33" s="48"/>
      <c r="H33" s="48"/>
      <c r="I33" s="48"/>
      <c r="J33" s="48"/>
      <c r="K33" s="48"/>
      <c r="L33" s="48"/>
      <c r="M33" s="48"/>
      <c r="N33" s="48"/>
    </row>
    <row r="34" spans="1:14" ht="30" customHeight="1">
      <c r="A34" s="48"/>
      <c r="B34" s="48"/>
      <c r="C34" s="48"/>
      <c r="D34" s="48"/>
      <c r="E34" s="48"/>
      <c r="F34" s="48"/>
      <c r="G34" s="48"/>
      <c r="H34" s="48"/>
      <c r="I34" s="48"/>
      <c r="J34" s="48"/>
      <c r="K34" s="48"/>
      <c r="L34" s="48"/>
      <c r="M34" s="48"/>
      <c r="N34" s="48"/>
    </row>
    <row r="35" spans="1:14" ht="30" customHeight="1">
      <c r="A35" s="48"/>
      <c r="B35" s="48"/>
      <c r="C35" s="48"/>
      <c r="D35" s="48"/>
      <c r="E35" s="48"/>
      <c r="F35" s="48"/>
      <c r="G35" s="48"/>
      <c r="H35" s="48"/>
      <c r="I35" s="48"/>
      <c r="J35" s="48"/>
      <c r="K35" s="48"/>
      <c r="L35" s="48"/>
      <c r="M35" s="48"/>
      <c r="N35" s="48"/>
    </row>
    <row r="36" spans="1:14" ht="30" customHeight="1">
      <c r="A36" s="48"/>
      <c r="B36" s="48"/>
      <c r="C36" s="48"/>
      <c r="D36" s="48"/>
      <c r="E36" s="48"/>
      <c r="F36" s="48"/>
      <c r="G36" s="48"/>
      <c r="H36" s="48"/>
      <c r="I36" s="48"/>
      <c r="J36" s="48"/>
      <c r="K36" s="48"/>
      <c r="L36" s="48"/>
      <c r="M36" s="48"/>
      <c r="N36" s="48"/>
    </row>
    <row r="37" spans="1:14" ht="30" customHeight="1">
      <c r="A37" s="48"/>
      <c r="B37" s="48"/>
      <c r="C37" s="48"/>
      <c r="D37" s="48"/>
      <c r="E37" s="48"/>
      <c r="F37" s="48"/>
      <c r="G37" s="48"/>
      <c r="H37" s="48"/>
      <c r="I37" s="48"/>
      <c r="J37" s="48"/>
      <c r="K37" s="48"/>
      <c r="L37" s="48"/>
      <c r="M37" s="48"/>
      <c r="N37" s="48"/>
    </row>
    <row r="38" spans="1:14" ht="30" customHeight="1">
      <c r="A38" s="48"/>
      <c r="B38" s="48"/>
      <c r="C38" s="48"/>
      <c r="D38" s="48"/>
      <c r="E38" s="48"/>
      <c r="F38" s="48"/>
      <c r="G38" s="48"/>
      <c r="H38" s="48"/>
      <c r="I38" s="48"/>
      <c r="J38" s="48"/>
      <c r="K38" s="48"/>
      <c r="L38" s="48"/>
      <c r="M38" s="48"/>
      <c r="N38" s="48"/>
    </row>
    <row r="39" spans="1:14" ht="30" customHeight="1">
      <c r="A39" s="48"/>
      <c r="B39" s="48"/>
      <c r="C39" s="48"/>
      <c r="D39" s="48"/>
      <c r="E39" s="48"/>
      <c r="F39" s="48"/>
      <c r="G39" s="48"/>
      <c r="H39" s="48"/>
      <c r="I39" s="48"/>
      <c r="J39" s="48"/>
      <c r="K39" s="48"/>
      <c r="L39" s="48"/>
      <c r="M39" s="48"/>
      <c r="N39" s="48"/>
    </row>
    <row r="40" spans="1:14" ht="30" customHeight="1">
      <c r="A40" s="48"/>
      <c r="B40" s="48"/>
      <c r="C40" s="48"/>
      <c r="D40" s="48"/>
      <c r="E40" s="48"/>
      <c r="F40" s="48"/>
      <c r="G40" s="48"/>
      <c r="H40" s="48"/>
      <c r="I40" s="48"/>
      <c r="J40" s="48"/>
      <c r="K40" s="48"/>
      <c r="L40" s="48"/>
      <c r="M40" s="48"/>
      <c r="N40" s="48"/>
    </row>
    <row r="41" spans="1:14" ht="30" customHeight="1">
      <c r="A41" s="48"/>
      <c r="B41" s="48"/>
      <c r="C41" s="48"/>
      <c r="D41" s="48"/>
      <c r="E41" s="48"/>
      <c r="F41" s="48"/>
      <c r="G41" s="48"/>
      <c r="H41" s="48"/>
      <c r="I41" s="48"/>
      <c r="J41" s="48"/>
      <c r="K41" s="48"/>
      <c r="L41" s="48"/>
      <c r="M41" s="48"/>
      <c r="N41" s="48"/>
    </row>
    <row r="42" spans="1:14" ht="30" customHeight="1">
      <c r="A42" s="48"/>
      <c r="B42" s="48"/>
      <c r="C42" s="48"/>
      <c r="D42" s="48"/>
      <c r="E42" s="48"/>
      <c r="F42" s="48"/>
      <c r="G42" s="48"/>
      <c r="H42" s="48"/>
      <c r="I42" s="48"/>
      <c r="J42" s="48"/>
      <c r="K42" s="48"/>
      <c r="L42" s="48"/>
      <c r="M42" s="48"/>
      <c r="N42" s="48"/>
    </row>
    <row r="43" spans="1:14" ht="30" customHeight="1">
      <c r="A43" s="48"/>
      <c r="B43" s="48"/>
      <c r="C43" s="48"/>
      <c r="D43" s="48"/>
      <c r="E43" s="48"/>
      <c r="F43" s="48"/>
      <c r="G43" s="48"/>
      <c r="H43" s="48"/>
      <c r="I43" s="48"/>
      <c r="J43" s="48"/>
      <c r="K43" s="48"/>
      <c r="L43" s="48"/>
      <c r="M43" s="48"/>
      <c r="N43" s="48"/>
    </row>
    <row r="44" spans="1:14" ht="30" customHeight="1">
      <c r="A44" s="48"/>
      <c r="B44" s="48"/>
      <c r="C44" s="48"/>
      <c r="D44" s="48"/>
      <c r="E44" s="48"/>
      <c r="F44" s="48"/>
      <c r="G44" s="48"/>
      <c r="H44" s="48"/>
      <c r="I44" s="48"/>
      <c r="J44" s="48"/>
      <c r="K44" s="48"/>
      <c r="L44" s="48"/>
      <c r="M44" s="48"/>
      <c r="N44" s="48"/>
    </row>
    <row r="45" spans="1:14" ht="30" customHeight="1">
      <c r="A45" s="48"/>
      <c r="B45" s="48"/>
      <c r="C45" s="48"/>
      <c r="D45" s="48"/>
      <c r="E45" s="48"/>
      <c r="F45" s="48"/>
      <c r="G45" s="48"/>
      <c r="H45" s="48"/>
      <c r="I45" s="48"/>
      <c r="J45" s="48"/>
      <c r="K45" s="48"/>
      <c r="L45" s="48"/>
      <c r="M45" s="48"/>
      <c r="N45" s="48"/>
    </row>
    <row r="46" spans="1:14" ht="30" customHeight="1">
      <c r="A46" s="48"/>
      <c r="B46" s="48"/>
      <c r="C46" s="48"/>
      <c r="D46" s="48"/>
      <c r="E46" s="48"/>
      <c r="F46" s="48"/>
      <c r="G46" s="48"/>
      <c r="H46" s="48"/>
      <c r="I46" s="48"/>
      <c r="J46" s="48"/>
      <c r="K46" s="48"/>
      <c r="L46" s="48"/>
      <c r="M46" s="48"/>
      <c r="N46" s="48"/>
    </row>
    <row r="47" spans="1:14" ht="30" customHeight="1">
      <c r="A47" s="48"/>
      <c r="B47" s="48"/>
      <c r="C47" s="48"/>
      <c r="D47" s="48"/>
      <c r="E47" s="48"/>
      <c r="F47" s="48"/>
      <c r="G47" s="48"/>
      <c r="H47" s="48"/>
      <c r="I47" s="48"/>
      <c r="J47" s="48"/>
      <c r="K47" s="48"/>
      <c r="L47" s="48"/>
      <c r="M47" s="48"/>
      <c r="N47" s="48"/>
    </row>
    <row r="48" spans="1:14" ht="30" customHeight="1">
      <c r="A48" s="48"/>
      <c r="B48" s="48"/>
      <c r="C48" s="48"/>
      <c r="D48" s="48"/>
      <c r="E48" s="48"/>
      <c r="F48" s="48"/>
      <c r="G48" s="48"/>
      <c r="H48" s="48"/>
      <c r="I48" s="48"/>
      <c r="J48" s="48"/>
      <c r="K48" s="48"/>
      <c r="L48" s="48"/>
      <c r="M48" s="48"/>
      <c r="N48" s="48"/>
    </row>
    <row r="49" spans="1:14" ht="30" customHeight="1">
      <c r="A49" s="48"/>
      <c r="B49" s="48"/>
      <c r="C49" s="48"/>
      <c r="D49" s="48"/>
      <c r="E49" s="48"/>
      <c r="F49" s="48"/>
      <c r="G49" s="48"/>
      <c r="H49" s="48"/>
      <c r="I49" s="48"/>
      <c r="J49" s="48"/>
      <c r="K49" s="48"/>
      <c r="L49" s="48"/>
      <c r="M49" s="48"/>
      <c r="N49" s="48"/>
    </row>
    <row r="50" spans="1:14" ht="30" customHeight="1">
      <c r="A50" s="48"/>
      <c r="B50" s="48"/>
      <c r="C50" s="48"/>
      <c r="D50" s="48"/>
      <c r="E50" s="48"/>
      <c r="F50" s="48"/>
      <c r="G50" s="48"/>
      <c r="H50" s="48"/>
      <c r="I50" s="48"/>
      <c r="J50" s="48"/>
      <c r="K50" s="48"/>
      <c r="L50" s="48"/>
      <c r="M50" s="48"/>
      <c r="N50" s="48"/>
    </row>
    <row r="51" spans="1:14" ht="30" customHeight="1">
      <c r="A51" s="48"/>
      <c r="B51" s="48"/>
      <c r="C51" s="48"/>
      <c r="D51" s="48"/>
      <c r="E51" s="48"/>
      <c r="F51" s="48"/>
      <c r="G51" s="48"/>
      <c r="H51" s="48"/>
      <c r="I51" s="48"/>
      <c r="J51" s="48"/>
      <c r="K51" s="48"/>
      <c r="L51" s="48"/>
      <c r="M51" s="48"/>
      <c r="N51" s="48"/>
    </row>
    <row r="52" spans="1:14" ht="30" customHeight="1">
      <c r="A52" s="48"/>
      <c r="B52" s="48"/>
      <c r="C52" s="48"/>
      <c r="D52" s="48"/>
      <c r="E52" s="48"/>
      <c r="F52" s="48"/>
      <c r="G52" s="48"/>
      <c r="H52" s="48"/>
      <c r="I52" s="48"/>
      <c r="J52" s="48"/>
      <c r="K52" s="48"/>
      <c r="L52" s="48"/>
      <c r="M52" s="48"/>
      <c r="N52" s="48"/>
    </row>
    <row r="53" spans="1:14" ht="30" customHeight="1">
      <c r="A53" s="48"/>
      <c r="B53" s="48"/>
      <c r="C53" s="48"/>
      <c r="D53" s="48"/>
      <c r="E53" s="48"/>
      <c r="F53" s="48"/>
      <c r="G53" s="48"/>
      <c r="H53" s="48"/>
      <c r="I53" s="48"/>
      <c r="J53" s="48"/>
      <c r="K53" s="48"/>
      <c r="L53" s="48"/>
      <c r="M53" s="48"/>
      <c r="N53" s="48"/>
    </row>
    <row r="54" spans="1:14" ht="30" customHeight="1">
      <c r="A54" s="48"/>
      <c r="B54" s="48"/>
      <c r="C54" s="48"/>
      <c r="D54" s="48"/>
      <c r="E54" s="48"/>
      <c r="F54" s="48"/>
      <c r="G54" s="48"/>
      <c r="H54" s="48"/>
      <c r="I54" s="48"/>
      <c r="J54" s="48"/>
      <c r="K54" s="48"/>
      <c r="L54" s="48"/>
      <c r="M54" s="48"/>
      <c r="N54" s="48"/>
    </row>
    <row r="55" spans="1:14" ht="30" customHeight="1">
      <c r="A55" s="48"/>
      <c r="B55" s="48"/>
      <c r="C55" s="48"/>
      <c r="D55" s="48"/>
      <c r="E55" s="48"/>
      <c r="F55" s="48"/>
      <c r="G55" s="48"/>
      <c r="H55" s="48"/>
      <c r="I55" s="48"/>
      <c r="J55" s="48"/>
      <c r="K55" s="48"/>
      <c r="L55" s="48"/>
      <c r="M55" s="48"/>
      <c r="N55" s="48"/>
    </row>
    <row r="56" spans="1:14" ht="30" customHeight="1">
      <c r="A56" s="48"/>
      <c r="B56" s="48"/>
      <c r="C56" s="48"/>
      <c r="D56" s="48"/>
      <c r="E56" s="48"/>
      <c r="F56" s="48"/>
      <c r="G56" s="48"/>
      <c r="H56" s="48"/>
      <c r="I56" s="48"/>
      <c r="J56" s="48"/>
      <c r="K56" s="48"/>
      <c r="L56" s="48"/>
      <c r="M56" s="48"/>
      <c r="N56" s="48"/>
    </row>
    <row r="57" spans="1:14" ht="30" customHeight="1">
      <c r="A57" s="48"/>
      <c r="B57" s="48"/>
      <c r="C57" s="48"/>
      <c r="D57" s="48"/>
      <c r="E57" s="48"/>
      <c r="F57" s="48"/>
      <c r="G57" s="48"/>
      <c r="H57" s="48"/>
      <c r="I57" s="48"/>
      <c r="J57" s="48"/>
      <c r="K57" s="48"/>
      <c r="L57" s="48"/>
      <c r="M57" s="48"/>
      <c r="N57" s="48"/>
    </row>
    <row r="58" spans="1:14" ht="30" customHeight="1">
      <c r="A58" s="48"/>
      <c r="B58" s="48"/>
      <c r="C58" s="48"/>
      <c r="D58" s="48"/>
      <c r="E58" s="48"/>
      <c r="F58" s="48"/>
      <c r="G58" s="48"/>
      <c r="H58" s="48"/>
      <c r="I58" s="48"/>
      <c r="J58" s="48"/>
      <c r="K58" s="48"/>
      <c r="L58" s="48"/>
      <c r="M58" s="48"/>
      <c r="N58" s="48"/>
    </row>
    <row r="59" spans="1:14" ht="30" customHeight="1">
      <c r="A59" s="48"/>
      <c r="B59" s="48"/>
      <c r="C59" s="48"/>
      <c r="D59" s="48"/>
      <c r="E59" s="48"/>
      <c r="F59" s="48"/>
      <c r="G59" s="48"/>
      <c r="H59" s="48"/>
      <c r="I59" s="48"/>
      <c r="J59" s="48"/>
      <c r="K59" s="48"/>
      <c r="L59" s="48"/>
      <c r="M59" s="48"/>
      <c r="N59" s="48"/>
    </row>
    <row r="60" spans="1:14" ht="30" customHeight="1">
      <c r="A60" s="48"/>
      <c r="B60" s="48"/>
      <c r="C60" s="48"/>
      <c r="D60" s="48"/>
      <c r="E60" s="48"/>
      <c r="F60" s="48"/>
      <c r="G60" s="48"/>
      <c r="H60" s="48"/>
      <c r="I60" s="48"/>
      <c r="J60" s="48"/>
      <c r="K60" s="48"/>
      <c r="L60" s="48"/>
      <c r="M60" s="48"/>
      <c r="N60" s="48"/>
    </row>
    <row r="61" spans="1:14" ht="30" customHeight="1">
      <c r="A61" s="48"/>
      <c r="B61" s="48"/>
      <c r="C61" s="48"/>
      <c r="D61" s="48"/>
      <c r="E61" s="48"/>
      <c r="F61" s="48"/>
      <c r="G61" s="48"/>
      <c r="H61" s="48"/>
      <c r="I61" s="48"/>
      <c r="J61" s="48"/>
      <c r="K61" s="48"/>
      <c r="L61" s="48"/>
      <c r="M61" s="48"/>
      <c r="N61" s="48"/>
    </row>
    <row r="62" spans="1:14" ht="30" customHeight="1">
      <c r="A62" s="48"/>
      <c r="B62" s="48"/>
      <c r="C62" s="48"/>
      <c r="D62" s="48"/>
      <c r="E62" s="48"/>
      <c r="F62" s="48"/>
      <c r="G62" s="48"/>
      <c r="H62" s="48"/>
      <c r="I62" s="48"/>
      <c r="J62" s="48"/>
      <c r="K62" s="48"/>
      <c r="L62" s="48"/>
      <c r="M62" s="48"/>
      <c r="N62" s="48"/>
    </row>
    <row r="63" spans="1:14" ht="30" customHeight="1">
      <c r="A63" s="48"/>
      <c r="B63" s="48"/>
      <c r="C63" s="48"/>
      <c r="D63" s="48"/>
      <c r="E63" s="48"/>
      <c r="F63" s="48"/>
      <c r="G63" s="48"/>
      <c r="H63" s="48"/>
      <c r="I63" s="48"/>
      <c r="J63" s="48"/>
      <c r="K63" s="48"/>
      <c r="L63" s="48"/>
      <c r="M63" s="48"/>
      <c r="N63" s="48"/>
    </row>
    <row r="64" spans="1:14" ht="30" customHeight="1">
      <c r="A64" s="48"/>
      <c r="B64" s="48"/>
      <c r="C64" s="48"/>
      <c r="D64" s="48"/>
      <c r="E64" s="48"/>
      <c r="F64" s="48"/>
      <c r="G64" s="48"/>
      <c r="H64" s="48"/>
      <c r="I64" s="48"/>
      <c r="J64" s="48"/>
      <c r="K64" s="48"/>
      <c r="L64" s="48"/>
      <c r="M64" s="48"/>
      <c r="N64" s="48"/>
    </row>
    <row r="65" spans="1:14" ht="30" customHeight="1">
      <c r="A65" s="48"/>
      <c r="B65" s="48"/>
      <c r="C65" s="48"/>
      <c r="D65" s="48"/>
      <c r="E65" s="48"/>
      <c r="F65" s="48"/>
      <c r="G65" s="48"/>
      <c r="H65" s="48"/>
      <c r="I65" s="48"/>
      <c r="J65" s="48"/>
      <c r="K65" s="48"/>
      <c r="L65" s="48"/>
      <c r="M65" s="48"/>
      <c r="N65" s="48"/>
    </row>
    <row r="66" spans="1:14" ht="30" customHeight="1">
      <c r="A66" s="48"/>
      <c r="B66" s="48"/>
      <c r="C66" s="48"/>
      <c r="D66" s="48"/>
      <c r="E66" s="48"/>
      <c r="F66" s="48"/>
      <c r="G66" s="48"/>
      <c r="H66" s="48"/>
      <c r="I66" s="48"/>
      <c r="J66" s="48"/>
      <c r="K66" s="48"/>
      <c r="L66" s="48"/>
      <c r="M66" s="48"/>
      <c r="N66" s="48"/>
    </row>
    <row r="67" spans="1:14" ht="30" customHeight="1">
      <c r="A67" s="48"/>
      <c r="B67" s="48"/>
      <c r="C67" s="48"/>
      <c r="D67" s="48"/>
      <c r="E67" s="48"/>
      <c r="F67" s="48"/>
      <c r="G67" s="48"/>
      <c r="H67" s="48"/>
      <c r="I67" s="48"/>
      <c r="J67" s="48"/>
      <c r="K67" s="48"/>
      <c r="L67" s="48"/>
      <c r="M67" s="48"/>
      <c r="N67" s="48"/>
    </row>
    <row r="68" spans="1:14" ht="30" customHeight="1">
      <c r="A68" s="48"/>
      <c r="B68" s="48"/>
      <c r="C68" s="48"/>
      <c r="D68" s="48"/>
      <c r="E68" s="48"/>
      <c r="F68" s="48"/>
      <c r="G68" s="48"/>
      <c r="H68" s="48"/>
      <c r="I68" s="48"/>
      <c r="J68" s="48"/>
      <c r="K68" s="48"/>
      <c r="L68" s="48"/>
      <c r="M68" s="48"/>
      <c r="N68" s="48"/>
    </row>
    <row r="69" spans="1:14" ht="30" customHeight="1">
      <c r="A69" s="48"/>
      <c r="B69" s="48"/>
      <c r="C69" s="48"/>
      <c r="D69" s="48"/>
      <c r="E69" s="48"/>
      <c r="F69" s="48"/>
      <c r="G69" s="48"/>
      <c r="H69" s="48"/>
      <c r="I69" s="48"/>
      <c r="J69" s="48"/>
      <c r="K69" s="48"/>
      <c r="L69" s="48"/>
      <c r="M69" s="48"/>
      <c r="N69" s="48"/>
    </row>
    <row r="70" spans="1:14" ht="30" customHeight="1">
      <c r="A70" s="48"/>
      <c r="B70" s="48"/>
      <c r="C70" s="48"/>
      <c r="D70" s="48"/>
      <c r="E70" s="48"/>
      <c r="F70" s="48"/>
      <c r="G70" s="48"/>
      <c r="H70" s="48"/>
      <c r="I70" s="48"/>
      <c r="J70" s="48"/>
      <c r="K70" s="48"/>
      <c r="L70" s="48"/>
      <c r="M70" s="48"/>
      <c r="N70" s="48"/>
    </row>
    <row r="71" spans="1:14" ht="30" customHeight="1">
      <c r="A71" s="48"/>
      <c r="B71" s="48"/>
      <c r="C71" s="48"/>
      <c r="D71" s="48"/>
      <c r="E71" s="48"/>
      <c r="F71" s="48"/>
      <c r="G71" s="48"/>
      <c r="H71" s="48"/>
      <c r="I71" s="48"/>
      <c r="J71" s="48"/>
      <c r="K71" s="48"/>
      <c r="L71" s="48"/>
      <c r="M71" s="48"/>
      <c r="N71" s="48"/>
    </row>
    <row r="72" spans="1:14" ht="30" customHeight="1">
      <c r="A72" s="48"/>
      <c r="B72" s="48"/>
      <c r="C72" s="48"/>
      <c r="D72" s="48"/>
      <c r="E72" s="48"/>
      <c r="F72" s="48"/>
      <c r="G72" s="48"/>
      <c r="H72" s="48"/>
      <c r="I72" s="48"/>
      <c r="J72" s="48"/>
      <c r="K72" s="48"/>
      <c r="L72" s="48"/>
      <c r="M72" s="48"/>
      <c r="N72" s="48"/>
    </row>
    <row r="73" spans="1:14" ht="30" customHeight="1">
      <c r="A73" s="48"/>
      <c r="B73" s="48"/>
      <c r="C73" s="48"/>
      <c r="D73" s="48"/>
      <c r="E73" s="48"/>
      <c r="F73" s="48"/>
      <c r="G73" s="48"/>
      <c r="H73" s="48"/>
      <c r="I73" s="48"/>
      <c r="J73" s="48"/>
      <c r="K73" s="48"/>
      <c r="L73" s="48"/>
      <c r="M73" s="48"/>
      <c r="N73" s="48"/>
    </row>
    <row r="74" spans="1:14" ht="30" customHeight="1">
      <c r="A74" s="48"/>
      <c r="B74" s="48"/>
      <c r="C74" s="48"/>
      <c r="D74" s="48"/>
      <c r="E74" s="48"/>
      <c r="F74" s="48"/>
      <c r="G74" s="48"/>
      <c r="H74" s="48"/>
      <c r="I74" s="48"/>
      <c r="J74" s="48"/>
      <c r="K74" s="48"/>
      <c r="L74" s="48"/>
      <c r="M74" s="48"/>
      <c r="N74" s="48"/>
    </row>
    <row r="75" spans="1:14" ht="30" customHeight="1">
      <c r="A75" s="48"/>
      <c r="B75" s="48"/>
      <c r="C75" s="48"/>
      <c r="D75" s="48"/>
      <c r="E75" s="48"/>
      <c r="F75" s="48"/>
      <c r="G75" s="48"/>
      <c r="H75" s="48"/>
      <c r="I75" s="48"/>
      <c r="J75" s="48"/>
      <c r="K75" s="48"/>
      <c r="L75" s="48"/>
      <c r="M75" s="48"/>
      <c r="N75" s="48"/>
    </row>
    <row r="76" spans="1:14" ht="30" customHeight="1">
      <c r="A76" s="48"/>
      <c r="B76" s="48"/>
      <c r="C76" s="48"/>
      <c r="D76" s="48"/>
      <c r="E76" s="48"/>
      <c r="F76" s="48"/>
      <c r="G76" s="48"/>
      <c r="H76" s="48"/>
      <c r="I76" s="48"/>
      <c r="J76" s="48"/>
      <c r="K76" s="48"/>
      <c r="L76" s="48"/>
      <c r="M76" s="48"/>
      <c r="N76" s="48"/>
    </row>
    <row r="77" spans="1:14" ht="30" customHeight="1">
      <c r="A77" s="48"/>
      <c r="B77" s="48"/>
      <c r="C77" s="48"/>
      <c r="D77" s="48"/>
      <c r="E77" s="48"/>
      <c r="F77" s="48"/>
      <c r="G77" s="48"/>
      <c r="H77" s="48"/>
      <c r="I77" s="48"/>
      <c r="J77" s="48"/>
      <c r="K77" s="48"/>
      <c r="L77" s="48"/>
      <c r="M77" s="48"/>
      <c r="N77" s="48"/>
    </row>
    <row r="78" spans="1:14" ht="30" customHeight="1">
      <c r="A78" s="48"/>
      <c r="B78" s="48"/>
      <c r="C78" s="48"/>
      <c r="D78" s="48"/>
      <c r="E78" s="48"/>
      <c r="F78" s="48"/>
      <c r="G78" s="48"/>
      <c r="H78" s="48"/>
      <c r="I78" s="48"/>
      <c r="J78" s="48"/>
      <c r="K78" s="48"/>
      <c r="L78" s="48"/>
      <c r="M78" s="48"/>
      <c r="N78" s="48"/>
    </row>
    <row r="79" spans="1:14" ht="30" customHeight="1">
      <c r="A79" s="48"/>
      <c r="B79" s="48"/>
      <c r="C79" s="48"/>
      <c r="D79" s="48"/>
      <c r="E79" s="48"/>
      <c r="F79" s="48"/>
      <c r="G79" s="48"/>
      <c r="H79" s="48"/>
      <c r="I79" s="48"/>
      <c r="J79" s="48"/>
      <c r="K79" s="48"/>
      <c r="L79" s="48"/>
      <c r="M79" s="48"/>
      <c r="N79" s="48"/>
    </row>
    <row r="80" spans="1:14" ht="30" customHeight="1">
      <c r="A80" s="48"/>
      <c r="B80" s="48"/>
      <c r="C80" s="48"/>
      <c r="D80" s="48"/>
      <c r="E80" s="48"/>
      <c r="F80" s="48"/>
      <c r="G80" s="48"/>
      <c r="H80" s="48"/>
      <c r="I80" s="48"/>
      <c r="J80" s="48"/>
      <c r="K80" s="48"/>
      <c r="L80" s="48"/>
      <c r="M80" s="48"/>
      <c r="N80" s="48"/>
    </row>
    <row r="81" spans="1:14" ht="30" customHeight="1">
      <c r="A81" s="48"/>
      <c r="B81" s="48"/>
      <c r="C81" s="48"/>
      <c r="D81" s="48"/>
      <c r="E81" s="48"/>
      <c r="F81" s="48"/>
      <c r="G81" s="48"/>
      <c r="H81" s="48"/>
      <c r="I81" s="48"/>
      <c r="J81" s="48"/>
      <c r="K81" s="48"/>
      <c r="L81" s="48"/>
      <c r="M81" s="48"/>
      <c r="N81" s="48"/>
    </row>
    <row r="82" spans="1:14" ht="30" customHeight="1">
      <c r="A82" s="48"/>
      <c r="B82" s="48"/>
      <c r="C82" s="48"/>
      <c r="D82" s="48"/>
      <c r="E82" s="48"/>
      <c r="F82" s="48"/>
      <c r="G82" s="48"/>
      <c r="H82" s="48"/>
      <c r="I82" s="48"/>
      <c r="J82" s="48"/>
      <c r="K82" s="48"/>
      <c r="L82" s="48"/>
      <c r="M82" s="48"/>
      <c r="N82" s="48"/>
    </row>
    <row r="83" spans="1:14" ht="30" customHeight="1">
      <c r="A83" s="48"/>
      <c r="B83" s="48"/>
      <c r="C83" s="48"/>
      <c r="D83" s="48"/>
      <c r="E83" s="48"/>
      <c r="F83" s="48"/>
      <c r="G83" s="48"/>
      <c r="H83" s="48"/>
      <c r="I83" s="48"/>
      <c r="J83" s="48"/>
      <c r="K83" s="48"/>
      <c r="L83" s="48"/>
      <c r="M83" s="48"/>
      <c r="N83" s="48"/>
    </row>
    <row r="84" spans="1:14" ht="30" customHeight="1">
      <c r="A84" s="48"/>
      <c r="B84" s="48"/>
      <c r="C84" s="48"/>
      <c r="D84" s="48"/>
      <c r="E84" s="48"/>
      <c r="F84" s="48"/>
      <c r="G84" s="48"/>
      <c r="H84" s="48"/>
      <c r="I84" s="48"/>
      <c r="J84" s="48"/>
      <c r="K84" s="48"/>
      <c r="L84" s="48"/>
      <c r="M84" s="48"/>
      <c r="N84" s="48"/>
    </row>
    <row r="85" spans="1:14" ht="30" customHeight="1">
      <c r="A85" s="48"/>
      <c r="B85" s="48"/>
      <c r="C85" s="48"/>
      <c r="D85" s="48"/>
      <c r="E85" s="48"/>
      <c r="F85" s="48"/>
      <c r="G85" s="48"/>
      <c r="H85" s="48"/>
      <c r="I85" s="48"/>
      <c r="J85" s="48"/>
      <c r="K85" s="48"/>
      <c r="L85" s="48"/>
      <c r="M85" s="48"/>
      <c r="N85" s="48"/>
    </row>
    <row r="86" spans="1:14" ht="30" customHeight="1">
      <c r="A86" s="48"/>
      <c r="B86" s="48"/>
      <c r="C86" s="48"/>
      <c r="D86" s="48"/>
      <c r="E86" s="48"/>
      <c r="F86" s="48"/>
      <c r="G86" s="48"/>
      <c r="H86" s="48"/>
      <c r="I86" s="48"/>
      <c r="J86" s="48"/>
      <c r="K86" s="48"/>
      <c r="L86" s="48"/>
      <c r="M86" s="48"/>
      <c r="N86" s="48"/>
    </row>
    <row r="87" spans="1:14" ht="30" customHeight="1">
      <c r="A87" s="48"/>
      <c r="B87" s="48"/>
      <c r="C87" s="48"/>
      <c r="D87" s="48"/>
      <c r="E87" s="48"/>
      <c r="F87" s="48"/>
      <c r="G87" s="48"/>
      <c r="H87" s="48"/>
      <c r="I87" s="48"/>
      <c r="J87" s="48"/>
      <c r="K87" s="48"/>
      <c r="L87" s="48"/>
      <c r="M87" s="48"/>
      <c r="N87" s="48"/>
    </row>
    <row r="88" spans="1:14" ht="30" customHeight="1">
      <c r="A88" s="48"/>
      <c r="B88" s="48"/>
      <c r="C88" s="48"/>
      <c r="D88" s="48"/>
      <c r="E88" s="48"/>
      <c r="F88" s="48"/>
      <c r="G88" s="48"/>
      <c r="H88" s="48"/>
      <c r="I88" s="48"/>
      <c r="J88" s="48"/>
      <c r="K88" s="48"/>
      <c r="L88" s="48"/>
      <c r="M88" s="48"/>
      <c r="N88" s="48"/>
    </row>
    <row r="89" spans="1:14" ht="30" customHeight="1">
      <c r="A89" s="48"/>
      <c r="B89" s="48"/>
      <c r="C89" s="48"/>
      <c r="D89" s="48"/>
      <c r="E89" s="48"/>
      <c r="F89" s="48"/>
      <c r="G89" s="48"/>
      <c r="H89" s="48"/>
      <c r="I89" s="48"/>
      <c r="J89" s="48"/>
      <c r="K89" s="48"/>
      <c r="L89" s="48"/>
      <c r="M89" s="48"/>
      <c r="N89" s="48"/>
    </row>
    <row r="90" spans="1:14" ht="30" customHeight="1">
      <c r="A90" s="48"/>
      <c r="B90" s="48"/>
      <c r="C90" s="48"/>
      <c r="D90" s="48"/>
      <c r="E90" s="48"/>
      <c r="F90" s="48"/>
      <c r="G90" s="48"/>
      <c r="H90" s="48"/>
      <c r="I90" s="48"/>
      <c r="J90" s="48"/>
      <c r="K90" s="48"/>
      <c r="L90" s="48"/>
      <c r="M90" s="48"/>
      <c r="N90" s="48"/>
    </row>
    <row r="91" spans="1:14" ht="30" customHeight="1">
      <c r="A91" s="48"/>
      <c r="B91" s="48"/>
      <c r="C91" s="48"/>
      <c r="D91" s="48"/>
      <c r="E91" s="48"/>
      <c r="F91" s="48"/>
      <c r="G91" s="48"/>
      <c r="H91" s="48"/>
      <c r="I91" s="48"/>
      <c r="J91" s="48"/>
      <c r="K91" s="48"/>
      <c r="L91" s="48"/>
      <c r="M91" s="48"/>
      <c r="N91" s="48"/>
    </row>
    <row r="92" spans="1:14" ht="30" customHeight="1">
      <c r="A92" s="48"/>
      <c r="B92" s="48"/>
      <c r="C92" s="48"/>
      <c r="D92" s="48"/>
      <c r="E92" s="48"/>
      <c r="F92" s="48"/>
      <c r="G92" s="48"/>
      <c r="H92" s="48"/>
      <c r="I92" s="48"/>
      <c r="J92" s="48"/>
      <c r="K92" s="48"/>
      <c r="L92" s="48"/>
      <c r="M92" s="48"/>
      <c r="N92" s="48"/>
    </row>
    <row r="93" spans="1:14" ht="30" customHeight="1">
      <c r="A93" s="48"/>
      <c r="B93" s="48"/>
      <c r="C93" s="48"/>
      <c r="D93" s="48"/>
      <c r="E93" s="48"/>
      <c r="F93" s="48"/>
      <c r="G93" s="48"/>
      <c r="H93" s="48"/>
      <c r="I93" s="48"/>
      <c r="J93" s="48"/>
      <c r="K93" s="48"/>
      <c r="L93" s="48"/>
      <c r="M93" s="48"/>
      <c r="N93" s="48"/>
    </row>
    <row r="94" spans="1:14" ht="30" customHeight="1">
      <c r="A94" s="48"/>
      <c r="B94" s="48"/>
      <c r="C94" s="48"/>
      <c r="D94" s="48"/>
      <c r="E94" s="48"/>
      <c r="F94" s="48"/>
      <c r="G94" s="48"/>
      <c r="H94" s="48"/>
      <c r="I94" s="48"/>
      <c r="J94" s="48"/>
      <c r="K94" s="48"/>
      <c r="L94" s="48"/>
      <c r="M94" s="48"/>
      <c r="N94" s="48"/>
    </row>
    <row r="95" spans="1:14" ht="30" customHeight="1">
      <c r="A95" s="48"/>
      <c r="B95" s="48"/>
      <c r="C95" s="48"/>
      <c r="D95" s="48"/>
      <c r="E95" s="48"/>
      <c r="F95" s="48"/>
      <c r="G95" s="48"/>
      <c r="H95" s="48"/>
      <c r="I95" s="48"/>
      <c r="J95" s="48"/>
      <c r="K95" s="48"/>
      <c r="L95" s="48"/>
      <c r="M95" s="48"/>
      <c r="N95" s="48"/>
    </row>
    <row r="96" spans="1:14" ht="30" customHeight="1">
      <c r="A96" s="48"/>
      <c r="B96" s="48"/>
      <c r="C96" s="48"/>
      <c r="D96" s="48"/>
      <c r="E96" s="48"/>
      <c r="F96" s="48"/>
      <c r="G96" s="48"/>
      <c r="H96" s="48"/>
      <c r="I96" s="48"/>
      <c r="J96" s="48"/>
      <c r="K96" s="48"/>
      <c r="L96" s="48"/>
      <c r="M96" s="48"/>
      <c r="N96" s="48"/>
    </row>
    <row r="97" spans="1:14" ht="30" customHeight="1">
      <c r="A97" s="48"/>
      <c r="B97" s="48"/>
      <c r="C97" s="48"/>
      <c r="D97" s="48"/>
      <c r="E97" s="48"/>
      <c r="F97" s="48"/>
      <c r="G97" s="48"/>
      <c r="H97" s="48"/>
      <c r="I97" s="48"/>
      <c r="J97" s="48"/>
      <c r="K97" s="48"/>
      <c r="L97" s="48"/>
      <c r="M97" s="48"/>
      <c r="N97" s="48"/>
    </row>
    <row r="98" spans="1:14" ht="30" customHeight="1">
      <c r="A98" s="48"/>
      <c r="B98" s="48"/>
      <c r="C98" s="48"/>
      <c r="D98" s="48"/>
      <c r="E98" s="48"/>
      <c r="F98" s="48"/>
      <c r="G98" s="48"/>
      <c r="H98" s="48"/>
      <c r="I98" s="48"/>
      <c r="J98" s="48"/>
      <c r="K98" s="48"/>
      <c r="L98" s="48"/>
      <c r="M98" s="48"/>
      <c r="N98" s="48"/>
    </row>
    <row r="99" spans="1:14" ht="30" customHeight="1">
      <c r="A99" s="48"/>
      <c r="B99" s="48"/>
      <c r="C99" s="48"/>
      <c r="D99" s="48"/>
      <c r="E99" s="48"/>
      <c r="F99" s="48"/>
      <c r="G99" s="48"/>
      <c r="H99" s="48"/>
      <c r="I99" s="48"/>
      <c r="J99" s="48"/>
      <c r="K99" s="48"/>
      <c r="L99" s="48"/>
      <c r="M99" s="48"/>
      <c r="N99" s="48"/>
    </row>
    <row r="100" spans="1:14" ht="30" customHeight="1">
      <c r="A100" s="48"/>
      <c r="B100" s="48"/>
      <c r="C100" s="48"/>
      <c r="D100" s="48"/>
      <c r="E100" s="48"/>
      <c r="F100" s="48"/>
      <c r="G100" s="48"/>
      <c r="H100" s="48"/>
      <c r="I100" s="48"/>
      <c r="J100" s="48"/>
      <c r="K100" s="48"/>
      <c r="L100" s="48"/>
      <c r="M100" s="48"/>
      <c r="N100" s="48"/>
    </row>
    <row r="101" spans="1:14" ht="30" customHeight="1">
      <c r="A101" s="48"/>
      <c r="B101" s="48"/>
      <c r="C101" s="48"/>
      <c r="D101" s="48"/>
      <c r="E101" s="48"/>
      <c r="F101" s="48"/>
      <c r="G101" s="48"/>
      <c r="H101" s="48"/>
      <c r="I101" s="48"/>
      <c r="J101" s="48"/>
      <c r="K101" s="48"/>
      <c r="L101" s="48"/>
      <c r="M101" s="48"/>
      <c r="N101" s="48"/>
    </row>
    <row r="102" spans="1:14" ht="30" customHeight="1">
      <c r="A102" s="48"/>
      <c r="B102" s="48"/>
      <c r="C102" s="48"/>
      <c r="D102" s="48"/>
      <c r="E102" s="48"/>
      <c r="F102" s="48"/>
      <c r="G102" s="48"/>
      <c r="H102" s="48"/>
      <c r="I102" s="48"/>
      <c r="J102" s="48"/>
      <c r="K102" s="48"/>
      <c r="L102" s="48"/>
      <c r="M102" s="48"/>
      <c r="N102" s="48"/>
    </row>
    <row r="103" spans="1:14" ht="30" customHeight="1">
      <c r="A103" s="48"/>
      <c r="B103" s="48"/>
      <c r="C103" s="48"/>
      <c r="D103" s="48"/>
      <c r="E103" s="48"/>
      <c r="F103" s="48"/>
      <c r="G103" s="48"/>
      <c r="H103" s="48"/>
      <c r="I103" s="48"/>
      <c r="J103" s="48"/>
      <c r="K103" s="48"/>
      <c r="L103" s="48"/>
      <c r="M103" s="48"/>
      <c r="N103" s="48"/>
    </row>
    <row r="104" spans="1:14" ht="30" customHeight="1">
      <c r="A104" s="48"/>
      <c r="B104" s="48"/>
      <c r="C104" s="48"/>
      <c r="D104" s="48"/>
      <c r="E104" s="48"/>
      <c r="F104" s="48"/>
      <c r="G104" s="48"/>
      <c r="H104" s="48"/>
      <c r="I104" s="48"/>
      <c r="J104" s="48"/>
      <c r="K104" s="48"/>
      <c r="L104" s="48"/>
      <c r="M104" s="48"/>
      <c r="N104" s="48"/>
    </row>
    <row r="105" spans="1:14" ht="30" customHeight="1">
      <c r="A105" s="48"/>
      <c r="B105" s="48"/>
      <c r="C105" s="48"/>
      <c r="D105" s="48"/>
      <c r="E105" s="48"/>
      <c r="F105" s="48"/>
      <c r="G105" s="48"/>
      <c r="H105" s="48"/>
      <c r="I105" s="48"/>
      <c r="J105" s="48"/>
      <c r="K105" s="48"/>
      <c r="L105" s="48"/>
      <c r="M105" s="48"/>
      <c r="N105" s="48"/>
    </row>
    <row r="106" spans="1:14" ht="30" customHeight="1">
      <c r="A106" s="48"/>
      <c r="B106" s="48"/>
      <c r="C106" s="48"/>
      <c r="D106" s="48"/>
      <c r="E106" s="48"/>
      <c r="F106" s="48"/>
      <c r="G106" s="48"/>
      <c r="H106" s="48"/>
      <c r="I106" s="48"/>
      <c r="J106" s="48"/>
      <c r="K106" s="48"/>
      <c r="L106" s="48"/>
      <c r="M106" s="48"/>
      <c r="N106" s="48"/>
    </row>
    <row r="107" spans="1:14" ht="30" customHeight="1">
      <c r="A107" s="48"/>
      <c r="B107" s="48"/>
      <c r="C107" s="48"/>
      <c r="D107" s="48"/>
      <c r="E107" s="48"/>
      <c r="F107" s="48"/>
      <c r="G107" s="48"/>
      <c r="H107" s="48"/>
      <c r="I107" s="48"/>
      <c r="J107" s="48"/>
      <c r="K107" s="48"/>
      <c r="L107" s="48"/>
      <c r="M107" s="48"/>
      <c r="N107" s="48"/>
    </row>
    <row r="108" spans="1:14" ht="30" customHeight="1">
      <c r="A108" s="48"/>
      <c r="B108" s="48"/>
      <c r="C108" s="48"/>
      <c r="D108" s="48"/>
      <c r="E108" s="48"/>
      <c r="F108" s="48"/>
      <c r="G108" s="48"/>
      <c r="H108" s="48"/>
      <c r="I108" s="48"/>
      <c r="J108" s="48"/>
      <c r="K108" s="48"/>
      <c r="L108" s="48"/>
      <c r="M108" s="48"/>
      <c r="N108" s="48"/>
    </row>
    <row r="109" spans="1:14" ht="30" customHeight="1">
      <c r="A109" s="48"/>
      <c r="B109" s="48"/>
      <c r="C109" s="48"/>
      <c r="D109" s="48"/>
      <c r="E109" s="48"/>
      <c r="F109" s="48"/>
      <c r="G109" s="48"/>
      <c r="H109" s="48"/>
      <c r="I109" s="48"/>
      <c r="J109" s="48"/>
      <c r="K109" s="48"/>
      <c r="L109" s="48"/>
      <c r="M109" s="48"/>
      <c r="N109" s="48"/>
    </row>
    <row r="110" spans="1:14" ht="30" customHeight="1">
      <c r="A110" s="48"/>
      <c r="B110" s="48"/>
      <c r="C110" s="48"/>
      <c r="D110" s="48"/>
      <c r="E110" s="48"/>
      <c r="F110" s="48"/>
      <c r="G110" s="48"/>
      <c r="H110" s="48"/>
      <c r="I110" s="48"/>
      <c r="J110" s="48"/>
      <c r="K110" s="48"/>
      <c r="L110" s="48"/>
      <c r="M110" s="48"/>
      <c r="N110" s="48"/>
    </row>
    <row r="111" spans="1:14" ht="30" customHeight="1">
      <c r="A111" s="48"/>
      <c r="B111" s="48"/>
      <c r="C111" s="48"/>
      <c r="D111" s="48"/>
      <c r="E111" s="48"/>
      <c r="F111" s="48"/>
      <c r="G111" s="48"/>
      <c r="H111" s="48"/>
      <c r="I111" s="48"/>
      <c r="J111" s="48"/>
      <c r="K111" s="48"/>
      <c r="L111" s="48"/>
      <c r="M111" s="48"/>
      <c r="N111" s="48"/>
    </row>
    <row r="112" spans="1:14" ht="30" customHeight="1">
      <c r="A112" s="48"/>
      <c r="B112" s="48"/>
      <c r="C112" s="48"/>
      <c r="D112" s="48"/>
      <c r="E112" s="48"/>
      <c r="F112" s="48"/>
      <c r="G112" s="48"/>
      <c r="H112" s="48"/>
      <c r="I112" s="48"/>
      <c r="J112" s="48"/>
      <c r="K112" s="48"/>
      <c r="L112" s="48"/>
      <c r="M112" s="48"/>
      <c r="N112" s="48"/>
    </row>
    <row r="113" spans="1:14" ht="30" customHeight="1">
      <c r="A113" s="48"/>
      <c r="B113" s="48"/>
      <c r="C113" s="48"/>
      <c r="D113" s="48"/>
      <c r="E113" s="48"/>
      <c r="F113" s="48"/>
      <c r="G113" s="48"/>
      <c r="H113" s="48"/>
      <c r="I113" s="48"/>
      <c r="J113" s="48"/>
      <c r="K113" s="48"/>
      <c r="L113" s="48"/>
      <c r="M113" s="48"/>
      <c r="N113" s="48"/>
    </row>
    <row r="114" spans="1:14" ht="30" customHeight="1">
      <c r="A114" s="48"/>
      <c r="B114" s="48"/>
      <c r="C114" s="48"/>
      <c r="D114" s="48"/>
      <c r="E114" s="48"/>
      <c r="F114" s="48"/>
      <c r="G114" s="48"/>
      <c r="H114" s="48"/>
      <c r="I114" s="48"/>
      <c r="J114" s="48"/>
      <c r="K114" s="48"/>
      <c r="L114" s="48"/>
      <c r="M114" s="48"/>
      <c r="N114" s="48"/>
    </row>
    <row r="115" spans="1:14" ht="30" customHeight="1">
      <c r="A115" s="48"/>
      <c r="B115" s="48"/>
      <c r="C115" s="48"/>
      <c r="D115" s="48"/>
      <c r="E115" s="48"/>
      <c r="F115" s="48"/>
      <c r="G115" s="48"/>
      <c r="H115" s="48"/>
      <c r="I115" s="48"/>
      <c r="J115" s="48"/>
      <c r="K115" s="48"/>
      <c r="L115" s="48"/>
      <c r="M115" s="48"/>
      <c r="N115" s="48"/>
    </row>
    <row r="116" spans="1:14" ht="30" customHeight="1">
      <c r="A116" s="48"/>
      <c r="B116" s="48"/>
      <c r="C116" s="48"/>
      <c r="D116" s="48"/>
      <c r="E116" s="48"/>
      <c r="F116" s="48"/>
      <c r="G116" s="48"/>
      <c r="H116" s="48"/>
      <c r="I116" s="48"/>
      <c r="J116" s="48"/>
      <c r="K116" s="48"/>
      <c r="L116" s="48"/>
      <c r="M116" s="48"/>
      <c r="N116" s="48"/>
    </row>
    <row r="117" spans="1:14" ht="30" customHeight="1">
      <c r="A117" s="48"/>
      <c r="B117" s="48"/>
      <c r="C117" s="48"/>
      <c r="D117" s="48"/>
      <c r="E117" s="48"/>
      <c r="F117" s="48"/>
      <c r="G117" s="48"/>
      <c r="H117" s="48"/>
      <c r="I117" s="48"/>
      <c r="J117" s="48"/>
      <c r="K117" s="48"/>
      <c r="L117" s="48"/>
      <c r="M117" s="48"/>
      <c r="N117" s="48"/>
    </row>
    <row r="118" spans="1:14" ht="30" customHeight="1">
      <c r="A118" s="48"/>
      <c r="B118" s="48"/>
      <c r="C118" s="48"/>
      <c r="D118" s="48"/>
      <c r="E118" s="48"/>
      <c r="F118" s="48"/>
      <c r="G118" s="48"/>
      <c r="H118" s="48"/>
      <c r="I118" s="48"/>
      <c r="J118" s="48"/>
      <c r="K118" s="48"/>
      <c r="L118" s="48"/>
      <c r="M118" s="48"/>
      <c r="N118" s="48"/>
    </row>
    <row r="119" spans="1:14" ht="30" customHeight="1">
      <c r="A119" s="48"/>
      <c r="B119" s="48"/>
      <c r="C119" s="48"/>
      <c r="D119" s="48"/>
      <c r="E119" s="48"/>
      <c r="F119" s="48"/>
      <c r="G119" s="48"/>
      <c r="H119" s="48"/>
      <c r="I119" s="48"/>
      <c r="J119" s="48"/>
      <c r="K119" s="48"/>
      <c r="L119" s="48"/>
      <c r="M119" s="48"/>
      <c r="N119" s="48"/>
    </row>
    <row r="120" spans="1:14" ht="30" customHeight="1">
      <c r="A120" s="48"/>
      <c r="B120" s="48"/>
      <c r="C120" s="48"/>
      <c r="D120" s="48"/>
      <c r="E120" s="48"/>
      <c r="F120" s="48"/>
      <c r="G120" s="48"/>
      <c r="H120" s="48"/>
      <c r="I120" s="48"/>
      <c r="J120" s="48"/>
      <c r="K120" s="48"/>
      <c r="L120" s="48"/>
      <c r="M120" s="48"/>
      <c r="N120" s="48"/>
    </row>
    <row r="121" spans="1:14" ht="30" customHeight="1">
      <c r="A121" s="48"/>
      <c r="B121" s="48"/>
      <c r="C121" s="48"/>
      <c r="D121" s="48"/>
      <c r="E121" s="48"/>
      <c r="F121" s="48"/>
      <c r="G121" s="48"/>
      <c r="H121" s="48"/>
      <c r="I121" s="48"/>
      <c r="J121" s="48"/>
      <c r="K121" s="48"/>
      <c r="L121" s="48"/>
      <c r="M121" s="48"/>
      <c r="N121" s="48"/>
    </row>
  </sheetData>
  <mergeCells count="3">
    <mergeCell ref="A4:N4"/>
    <mergeCell ref="A3:N3"/>
    <mergeCell ref="A1:N1"/>
  </mergeCells>
  <dataValidations count="3">
    <dataValidation type="list" allowBlank="1" sqref="I7:I121" xr:uid="{00000000-0002-0000-0900-000000000000}">
      <formula1>"Not Started,In Progress,Awaiting Information,Complete,N/A,On Hold,Gap / Action Required,Approved,Rejected,Superseded"</formula1>
    </dataValidation>
    <dataValidation type="list" allowBlank="1" sqref="B8:B23" xr:uid="{00000000-0002-0000-0900-000001000000}">
      <formula1>"Y,N,N/A,Conditional"</formula1>
    </dataValidation>
    <dataValidation type="list" allowBlank="1" sqref="H8:H23" xr:uid="{00000000-0002-0000-0900-000002000000}">
      <formula1>"Not Started,In Progress,Needs Review,Complete,Not Applicable,Blocked"</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N78"/>
  <sheetViews>
    <sheetView showGridLines="0" workbookViewId="0">
      <selection activeCell="F21" sqref="F21"/>
    </sheetView>
  </sheetViews>
  <sheetFormatPr defaultRowHeight="15"/>
  <cols>
    <col min="1" max="1" width="60" customWidth="1"/>
    <col min="2" max="2" width="30" customWidth="1"/>
    <col min="3" max="3" width="12" customWidth="1"/>
    <col min="4" max="5" width="22" customWidth="1"/>
    <col min="6" max="7" width="16" customWidth="1"/>
    <col min="8" max="9" width="28" customWidth="1"/>
    <col min="10" max="10" width="24" customWidth="1"/>
    <col min="11" max="11" width="28" customWidth="1"/>
    <col min="12" max="12" width="30" customWidth="1"/>
    <col min="13" max="13" width="22" customWidth="1"/>
    <col min="14" max="14" width="30" customWidth="1"/>
  </cols>
  <sheetData>
    <row r="1" spans="1:14" s="48" customFormat="1">
      <c r="A1" s="166" t="s">
        <v>1753</v>
      </c>
      <c r="B1" s="166"/>
      <c r="C1" s="166"/>
      <c r="D1" s="166"/>
      <c r="E1" s="166"/>
      <c r="F1" s="166"/>
      <c r="G1" s="166"/>
      <c r="H1" s="166"/>
      <c r="I1" s="166"/>
      <c r="J1" s="166"/>
      <c r="K1" s="166"/>
      <c r="L1" s="166"/>
      <c r="M1" s="166"/>
      <c r="N1" s="166"/>
    </row>
    <row r="2" spans="1:14" ht="24" customHeight="1">
      <c r="A2" s="56" t="s">
        <v>0</v>
      </c>
      <c r="B2" s="56"/>
      <c r="C2" s="56"/>
      <c r="D2" s="56"/>
      <c r="E2" s="56"/>
      <c r="F2" s="56"/>
      <c r="G2" s="56"/>
      <c r="H2" s="56"/>
      <c r="I2" s="56"/>
      <c r="J2" s="56"/>
      <c r="K2" s="56"/>
      <c r="L2" s="56"/>
      <c r="M2" s="56"/>
      <c r="N2" s="56"/>
    </row>
    <row r="3" spans="1:14" ht="30" customHeight="1">
      <c r="A3" s="45" t="s">
        <v>2065</v>
      </c>
      <c r="B3" s="45"/>
      <c r="C3" s="45"/>
      <c r="D3" s="45"/>
      <c r="E3" s="45"/>
      <c r="F3" s="45"/>
      <c r="G3" s="45"/>
      <c r="H3" s="45"/>
      <c r="I3" s="45"/>
      <c r="J3" s="45"/>
      <c r="K3" s="45"/>
      <c r="L3" s="45"/>
      <c r="M3" s="45"/>
      <c r="N3" s="45"/>
    </row>
    <row r="4" spans="1:14" ht="72" customHeight="1">
      <c r="A4" s="44" t="s">
        <v>2066</v>
      </c>
      <c r="B4" s="44"/>
      <c r="C4" s="44"/>
      <c r="D4" s="44"/>
      <c r="E4" s="44"/>
      <c r="F4" s="44"/>
      <c r="G4" s="44"/>
      <c r="H4" s="44"/>
      <c r="I4" s="44"/>
      <c r="J4" s="44"/>
      <c r="K4" s="44"/>
      <c r="L4" s="44"/>
      <c r="M4" s="44"/>
      <c r="N4" s="44"/>
    </row>
    <row r="5" spans="1:14">
      <c r="A5" s="46"/>
      <c r="B5" s="46"/>
      <c r="C5" s="46"/>
      <c r="D5" s="46"/>
      <c r="E5" s="46"/>
      <c r="F5" s="46"/>
      <c r="G5" s="46"/>
      <c r="H5" s="46"/>
      <c r="I5" s="46"/>
      <c r="J5" s="46"/>
      <c r="K5" s="46"/>
      <c r="L5" s="46"/>
      <c r="M5" s="46"/>
      <c r="N5" s="46"/>
    </row>
    <row r="6" spans="1:14" ht="21.95" customHeight="1">
      <c r="A6" s="57" t="s">
        <v>2067</v>
      </c>
      <c r="B6" s="57"/>
      <c r="C6" s="57"/>
      <c r="D6" s="57"/>
      <c r="E6" s="57"/>
      <c r="F6" s="57"/>
      <c r="G6" s="57"/>
      <c r="H6" s="57"/>
      <c r="I6" s="57"/>
      <c r="J6" s="57"/>
      <c r="K6" s="57"/>
      <c r="L6" s="57"/>
      <c r="M6" s="57"/>
      <c r="N6" s="57"/>
    </row>
    <row r="7" spans="1:14" ht="33.950000000000003" customHeight="1">
      <c r="A7" s="36" t="s">
        <v>1605</v>
      </c>
      <c r="B7" s="36" t="s">
        <v>79</v>
      </c>
      <c r="C7" s="36" t="s">
        <v>578</v>
      </c>
      <c r="D7" s="36" t="s">
        <v>144</v>
      </c>
      <c r="E7" s="36" t="s">
        <v>145</v>
      </c>
      <c r="F7" s="36" t="s">
        <v>70</v>
      </c>
      <c r="G7" s="36"/>
      <c r="H7" s="36"/>
      <c r="I7" s="36"/>
      <c r="J7" s="36"/>
      <c r="K7" s="36"/>
      <c r="L7" s="36"/>
      <c r="M7" s="36"/>
      <c r="N7" s="36"/>
    </row>
    <row r="8" spans="1:14">
      <c r="A8" s="37" t="s">
        <v>1757</v>
      </c>
      <c r="B8" s="37"/>
      <c r="C8" s="37"/>
      <c r="D8" s="37" t="s">
        <v>730</v>
      </c>
      <c r="E8" s="37" t="s">
        <v>152</v>
      </c>
      <c r="F8" s="37"/>
      <c r="G8" s="37"/>
      <c r="H8" s="37"/>
      <c r="I8" s="37"/>
      <c r="J8" s="37"/>
      <c r="K8" s="37"/>
      <c r="L8" s="37"/>
      <c r="M8" s="37"/>
      <c r="N8" s="37"/>
    </row>
    <row r="9" spans="1:14">
      <c r="A9" s="37" t="s">
        <v>1019</v>
      </c>
      <c r="B9" s="37"/>
      <c r="C9" s="37"/>
      <c r="D9" s="37" t="s">
        <v>186</v>
      </c>
      <c r="E9" s="37" t="s">
        <v>152</v>
      </c>
      <c r="F9" s="37" t="s">
        <v>2068</v>
      </c>
      <c r="G9" s="37"/>
      <c r="H9" s="37"/>
      <c r="I9" s="37"/>
      <c r="J9" s="37"/>
      <c r="K9" s="37"/>
      <c r="L9" s="37"/>
      <c r="M9" s="37"/>
      <c r="N9" s="37"/>
    </row>
    <row r="10" spans="1:14">
      <c r="A10" s="37" t="s">
        <v>2069</v>
      </c>
      <c r="B10" s="37" t="s">
        <v>2070</v>
      </c>
      <c r="C10" s="37"/>
      <c r="D10" s="37" t="s">
        <v>2071</v>
      </c>
      <c r="E10" s="37" t="s">
        <v>152</v>
      </c>
      <c r="F10" s="37"/>
      <c r="G10" s="37"/>
      <c r="H10" s="37"/>
      <c r="I10" s="37"/>
      <c r="J10" s="37"/>
      <c r="K10" s="37"/>
      <c r="L10" s="37"/>
      <c r="M10" s="37"/>
      <c r="N10" s="37"/>
    </row>
    <row r="11" spans="1:14">
      <c r="A11" s="37" t="s">
        <v>2072</v>
      </c>
      <c r="B11" s="37"/>
      <c r="C11" s="38"/>
      <c r="D11" s="37" t="s">
        <v>197</v>
      </c>
      <c r="E11" s="37" t="s">
        <v>152</v>
      </c>
      <c r="F11" s="37"/>
      <c r="G11" s="37"/>
      <c r="H11" s="37"/>
      <c r="I11" s="37"/>
      <c r="J11" s="37"/>
      <c r="K11" s="37"/>
      <c r="L11" s="37"/>
      <c r="M11" s="37"/>
      <c r="N11" s="37"/>
    </row>
    <row r="12" spans="1:14">
      <c r="A12" s="46"/>
      <c r="B12" s="46"/>
      <c r="C12" s="58"/>
      <c r="D12" s="46"/>
      <c r="E12" s="46"/>
      <c r="F12" s="46"/>
      <c r="G12" s="46"/>
      <c r="H12" s="46"/>
      <c r="I12" s="46"/>
      <c r="J12" s="46"/>
      <c r="K12" s="46"/>
      <c r="L12" s="46"/>
      <c r="M12" s="46"/>
      <c r="N12" s="46"/>
    </row>
    <row r="13" spans="1:14" ht="21.95" customHeight="1">
      <c r="A13" s="57" t="s">
        <v>2073</v>
      </c>
      <c r="B13" s="57"/>
      <c r="C13" s="59"/>
      <c r="D13" s="57"/>
      <c r="E13" s="57"/>
      <c r="F13" s="57"/>
      <c r="G13" s="57"/>
      <c r="H13" s="57"/>
      <c r="I13" s="57"/>
      <c r="J13" s="57"/>
      <c r="K13" s="57"/>
      <c r="L13" s="57"/>
      <c r="M13" s="57"/>
      <c r="N13" s="57"/>
    </row>
    <row r="14" spans="1:14" ht="33.950000000000003" customHeight="1">
      <c r="A14" s="36" t="s">
        <v>1740</v>
      </c>
      <c r="B14" s="36" t="s">
        <v>1742</v>
      </c>
      <c r="C14" s="43" t="s">
        <v>1745</v>
      </c>
      <c r="D14" s="36" t="s">
        <v>1743</v>
      </c>
      <c r="E14" s="36" t="s">
        <v>1744</v>
      </c>
      <c r="F14" s="36" t="s">
        <v>2074</v>
      </c>
      <c r="G14" s="36" t="s">
        <v>2075</v>
      </c>
      <c r="H14" s="36" t="s">
        <v>2076</v>
      </c>
      <c r="I14" s="36" t="s">
        <v>2077</v>
      </c>
      <c r="J14" s="36" t="s">
        <v>2078</v>
      </c>
      <c r="K14" s="36" t="s">
        <v>2079</v>
      </c>
      <c r="L14" s="36" t="s">
        <v>578</v>
      </c>
      <c r="M14" s="36" t="s">
        <v>2080</v>
      </c>
      <c r="N14" s="36" t="s">
        <v>70</v>
      </c>
    </row>
    <row r="15" spans="1:14">
      <c r="A15" s="37" t="str">
        <f>IF('Tuan-Formula_BOM'!$C8="","",'Tuan-Formula_BOM'!$A8)</f>
        <v/>
      </c>
      <c r="B15" s="37" t="str">
        <f>IF('Tuan-Formula_BOM'!$C8="","",'Tuan-Formula_BOM'!$C8)</f>
        <v/>
      </c>
      <c r="C15" s="38" t="str">
        <f>IF('Tuan-Formula_BOM'!$C8="","",'Tuan-Formula_BOM'!$F8)</f>
        <v/>
      </c>
      <c r="D15" s="37" t="str">
        <f>IF('Tuan-Formula_BOM'!$C8="","",'Tuan-Formula_BOM'!$D8)</f>
        <v/>
      </c>
      <c r="E15" s="37" t="str">
        <f>IF('Tuan-Formula_BOM'!$C8="","",'Tuan-Formula_BOM'!$E8)</f>
        <v/>
      </c>
      <c r="F15" s="37" t="str">
        <f>IF(B15="","",COUNTIF('ChiChu-Prohibited_Ingred'!$A:$A,"*"&amp;B15&amp;"*"))</f>
        <v/>
      </c>
      <c r="G15" s="37" t="str">
        <f>IF(B15="","",COUNTIF('ChiChu-PB_Caution_Limits'!$A:$A,"*"&amp;B15&amp;"*"))</f>
        <v/>
      </c>
      <c r="H15" s="37"/>
      <c r="I15" s="37"/>
      <c r="J15" s="37"/>
      <c r="K15" s="37"/>
      <c r="L15" s="37"/>
      <c r="M15" s="37" t="str">
        <f>IF(B15="","",IF(OR(F15&gt;0,G15&gt;0),"Needs Review","No listed match"))</f>
        <v/>
      </c>
      <c r="N15" s="37"/>
    </row>
    <row r="16" spans="1:14">
      <c r="A16" s="37" t="str">
        <f>IF('Tuan-Formula_BOM'!$C9="","",'Tuan-Formula_BOM'!$A9)</f>
        <v/>
      </c>
      <c r="B16" s="37" t="str">
        <f>IF('Tuan-Formula_BOM'!$C9="","",'Tuan-Formula_BOM'!$C9)</f>
        <v/>
      </c>
      <c r="C16" s="38" t="str">
        <f>IF('Tuan-Formula_BOM'!$C9="","",'Tuan-Formula_BOM'!$F9)</f>
        <v/>
      </c>
      <c r="D16" s="37" t="str">
        <f>IF('Tuan-Formula_BOM'!$C9="","",'Tuan-Formula_BOM'!$D9)</f>
        <v/>
      </c>
      <c r="E16" s="37" t="str">
        <f>IF('Tuan-Formula_BOM'!$C9="","",'Tuan-Formula_BOM'!$E9)</f>
        <v/>
      </c>
      <c r="F16" s="37" t="str">
        <f>IF(B16="","",COUNTIF('ChiChu-Prohibited_Ingred'!$A:$A,"*"&amp;B16&amp;"*"))</f>
        <v/>
      </c>
      <c r="G16" s="37" t="str">
        <f>IF(B16="","",COUNTIF('ChiChu-PB_Caution_Limits'!$A:$A,"*"&amp;B16&amp;"*"))</f>
        <v/>
      </c>
      <c r="H16" s="37"/>
      <c r="I16" s="37"/>
      <c r="J16" s="37"/>
      <c r="K16" s="37"/>
      <c r="L16" s="37"/>
      <c r="M16" s="37" t="str">
        <f>IF(B16="","",IF(OR(F16&gt;0,G16&gt;0),"Needs Review","No listed match"))</f>
        <v/>
      </c>
      <c r="N16" s="37"/>
    </row>
    <row r="17" spans="1:14">
      <c r="A17" s="37" t="str">
        <f>IF('Tuan-Formula_BOM'!$C10="","",'Tuan-Formula_BOM'!$A10)</f>
        <v/>
      </c>
      <c r="B17" s="37" t="str">
        <f>IF('Tuan-Formula_BOM'!$C10="","",'Tuan-Formula_BOM'!$C10)</f>
        <v/>
      </c>
      <c r="C17" s="38" t="str">
        <f>IF('Tuan-Formula_BOM'!$C10="","",'Tuan-Formula_BOM'!$F10)</f>
        <v/>
      </c>
      <c r="D17" s="37" t="str">
        <f>IF('Tuan-Formula_BOM'!$C10="","",'Tuan-Formula_BOM'!$D10)</f>
        <v/>
      </c>
      <c r="E17" s="37" t="str">
        <f>IF('Tuan-Formula_BOM'!$C10="","",'Tuan-Formula_BOM'!$E10)</f>
        <v/>
      </c>
      <c r="F17" s="37" t="str">
        <f>IF(B17="","",COUNTIF('ChiChu-Prohibited_Ingred'!$A:$A,"*"&amp;B17&amp;"*"))</f>
        <v/>
      </c>
      <c r="G17" s="37" t="str">
        <f>IF(B17="","",COUNTIF('ChiChu-PB_Caution_Limits'!$A:$A,"*"&amp;B17&amp;"*"))</f>
        <v/>
      </c>
      <c r="H17" s="37"/>
      <c r="I17" s="37"/>
      <c r="J17" s="37"/>
      <c r="K17" s="37"/>
      <c r="L17" s="37"/>
      <c r="M17" s="37" t="str">
        <f>IF(B17="","",IF(OR(F17&gt;0,G17&gt;0),"Needs Review","No listed match"))</f>
        <v/>
      </c>
      <c r="N17" s="37"/>
    </row>
    <row r="18" spans="1:14">
      <c r="A18" s="37" t="str">
        <f>IF('Tuan-Formula_BOM'!$C11="","",'Tuan-Formula_BOM'!$A11)</f>
        <v/>
      </c>
      <c r="B18" s="37" t="str">
        <f>IF('Tuan-Formula_BOM'!$C11="","",'Tuan-Formula_BOM'!$C11)</f>
        <v/>
      </c>
      <c r="C18" s="38" t="str">
        <f>IF('Tuan-Formula_BOM'!$C11="","",'Tuan-Formula_BOM'!$F11)</f>
        <v/>
      </c>
      <c r="D18" s="37" t="str">
        <f>IF('Tuan-Formula_BOM'!$C11="","",'Tuan-Formula_BOM'!$D11)</f>
        <v/>
      </c>
      <c r="E18" s="37" t="str">
        <f>IF('Tuan-Formula_BOM'!$C11="","",'Tuan-Formula_BOM'!$E11)</f>
        <v/>
      </c>
      <c r="F18" s="37" t="str">
        <f>IF(B18="","",COUNTIF('ChiChu-Prohibited_Ingred'!$A:$A,"*"&amp;B18&amp;"*"))</f>
        <v/>
      </c>
      <c r="G18" s="37" t="str">
        <f>IF(B18="","",COUNTIF('ChiChu-PB_Caution_Limits'!$A:$A,"*"&amp;B18&amp;"*"))</f>
        <v/>
      </c>
      <c r="H18" s="37"/>
      <c r="I18" s="37"/>
      <c r="J18" s="37"/>
      <c r="K18" s="37"/>
      <c r="L18" s="37"/>
      <c r="M18" s="37" t="str">
        <f>IF(B18="","",IF(OR(F18&gt;0,G18&gt;0),"Needs Review","No listed match"))</f>
        <v/>
      </c>
      <c r="N18" s="37"/>
    </row>
    <row r="19" spans="1:14">
      <c r="A19" s="37" t="str">
        <f>IF('Tuan-Formula_BOM'!$C12="","",'Tuan-Formula_BOM'!$A12)</f>
        <v/>
      </c>
      <c r="B19" s="37" t="str">
        <f>IF('Tuan-Formula_BOM'!$C12="","",'Tuan-Formula_BOM'!$C12)</f>
        <v/>
      </c>
      <c r="C19" s="38" t="str">
        <f>IF('Tuan-Formula_BOM'!$C12="","",'Tuan-Formula_BOM'!$F12)</f>
        <v/>
      </c>
      <c r="D19" s="37" t="str">
        <f>IF('Tuan-Formula_BOM'!$C12="","",'Tuan-Formula_BOM'!$D12)</f>
        <v/>
      </c>
      <c r="E19" s="37" t="str">
        <f>IF('Tuan-Formula_BOM'!$C12="","",'Tuan-Formula_BOM'!$E12)</f>
        <v/>
      </c>
      <c r="F19" s="37" t="str">
        <f>IF(B19="","",COUNTIF('ChiChu-Prohibited_Ingred'!$A:$A,"*"&amp;B19&amp;"*"))</f>
        <v/>
      </c>
      <c r="G19" s="37" t="str">
        <f>IF(B19="","",COUNTIF('ChiChu-PB_Caution_Limits'!$A:$A,"*"&amp;B19&amp;"*"))</f>
        <v/>
      </c>
      <c r="H19" s="37"/>
      <c r="I19" s="37"/>
      <c r="J19" s="37"/>
      <c r="K19" s="37"/>
      <c r="L19" s="37"/>
      <c r="M19" s="37" t="str">
        <f>IF(B19="","",IF(OR(F19&gt;0,G19&gt;0),"Needs Review","No listed match"))</f>
        <v/>
      </c>
      <c r="N19" s="37"/>
    </row>
    <row r="20" spans="1:14">
      <c r="A20" s="37" t="str">
        <f>IF('Tuan-Formula_BOM'!$C13="","",'Tuan-Formula_BOM'!$A13)</f>
        <v/>
      </c>
      <c r="B20" s="37" t="str">
        <f>IF('Tuan-Formula_BOM'!$C13="","",'Tuan-Formula_BOM'!$C13)</f>
        <v/>
      </c>
      <c r="C20" s="38" t="str">
        <f>IF('Tuan-Formula_BOM'!$C13="","",'Tuan-Formula_BOM'!$F13)</f>
        <v/>
      </c>
      <c r="D20" s="37" t="str">
        <f>IF('Tuan-Formula_BOM'!$C13="","",'Tuan-Formula_BOM'!$D13)</f>
        <v/>
      </c>
      <c r="E20" s="37" t="str">
        <f>IF('Tuan-Formula_BOM'!$C13="","",'Tuan-Formula_BOM'!$E13)</f>
        <v/>
      </c>
      <c r="F20" s="37" t="str">
        <f>IF(B20="","",COUNTIF('ChiChu-Prohibited_Ingred'!$A:$A,"*"&amp;B20&amp;"*"))</f>
        <v/>
      </c>
      <c r="G20" s="37" t="str">
        <f>IF(B20="","",COUNTIF('ChiChu-PB_Caution_Limits'!$A:$A,"*"&amp;B20&amp;"*"))</f>
        <v/>
      </c>
      <c r="H20" s="37"/>
      <c r="I20" s="37"/>
      <c r="J20" s="37"/>
      <c r="K20" s="37"/>
      <c r="L20" s="37"/>
      <c r="M20" s="37" t="str">
        <f>IF(B20="","",IF(OR(F20&gt;0,G20&gt;0),"Needs Review","No listed match"))</f>
        <v/>
      </c>
      <c r="N20" s="37"/>
    </row>
    <row r="21" spans="1:14">
      <c r="A21" s="37" t="str">
        <f>IF('Tuan-Formula_BOM'!$C14="","",'Tuan-Formula_BOM'!$A14)</f>
        <v/>
      </c>
      <c r="B21" s="37" t="str">
        <f>IF('Tuan-Formula_BOM'!$C14="","",'Tuan-Formula_BOM'!$C14)</f>
        <v/>
      </c>
      <c r="C21" s="38" t="str">
        <f>IF('Tuan-Formula_BOM'!$C14="","",'Tuan-Formula_BOM'!$F14)</f>
        <v/>
      </c>
      <c r="D21" s="37" t="str">
        <f>IF('Tuan-Formula_BOM'!$C14="","",'Tuan-Formula_BOM'!$D14)</f>
        <v/>
      </c>
      <c r="E21" s="37" t="str">
        <f>IF('Tuan-Formula_BOM'!$C14="","",'Tuan-Formula_BOM'!$E14)</f>
        <v/>
      </c>
      <c r="F21" s="37" t="str">
        <f>IF(B21="","",COUNTIF('ChiChu-Prohibited_Ingred'!$A:$A,"*"&amp;B21&amp;"*"))</f>
        <v/>
      </c>
      <c r="G21" s="37" t="str">
        <f>IF(B21="","",COUNTIF('ChiChu-PB_Caution_Limits'!$A:$A,"*"&amp;B21&amp;"*"))</f>
        <v/>
      </c>
      <c r="H21" s="37"/>
      <c r="I21" s="37"/>
      <c r="J21" s="37"/>
      <c r="K21" s="37"/>
      <c r="L21" s="37"/>
      <c r="M21" s="37" t="str">
        <f>IF(B21="","",IF(OR(F21&gt;0,G21&gt;0),"Needs Review","No listed match"))</f>
        <v/>
      </c>
      <c r="N21" s="37"/>
    </row>
    <row r="22" spans="1:14">
      <c r="A22" s="37" t="str">
        <f>IF('Tuan-Formula_BOM'!$C15="","",'Tuan-Formula_BOM'!$A15)</f>
        <v/>
      </c>
      <c r="B22" s="37" t="str">
        <f>IF('Tuan-Formula_BOM'!$C15="","",'Tuan-Formula_BOM'!$C15)</f>
        <v/>
      </c>
      <c r="C22" s="38" t="str">
        <f>IF('Tuan-Formula_BOM'!$C15="","",'Tuan-Formula_BOM'!$F15)</f>
        <v/>
      </c>
      <c r="D22" s="37" t="str">
        <f>IF('Tuan-Formula_BOM'!$C15="","",'Tuan-Formula_BOM'!$D15)</f>
        <v/>
      </c>
      <c r="E22" s="37" t="str">
        <f>IF('Tuan-Formula_BOM'!$C15="","",'Tuan-Formula_BOM'!$E15)</f>
        <v/>
      </c>
      <c r="F22" s="37" t="str">
        <f>IF(B22="","",COUNTIF('ChiChu-Prohibited_Ingred'!$A:$A,"*"&amp;B22&amp;"*"))</f>
        <v/>
      </c>
      <c r="G22" s="37" t="str">
        <f>IF(B22="","",COUNTIF('ChiChu-PB_Caution_Limits'!$A:$A,"*"&amp;B22&amp;"*"))</f>
        <v/>
      </c>
      <c r="H22" s="37"/>
      <c r="I22" s="37"/>
      <c r="J22" s="37"/>
      <c r="K22" s="37"/>
      <c r="L22" s="37"/>
      <c r="M22" s="37" t="str">
        <f>IF(B22="","",IF(OR(F22&gt;0,G22&gt;0),"Needs Review","No listed match"))</f>
        <v/>
      </c>
      <c r="N22" s="37"/>
    </row>
    <row r="23" spans="1:14">
      <c r="A23" s="37" t="str">
        <f>IF('Tuan-Formula_BOM'!$C16="","",'Tuan-Formula_BOM'!$A16)</f>
        <v/>
      </c>
      <c r="B23" s="37" t="str">
        <f>IF('Tuan-Formula_BOM'!$C16="","",'Tuan-Formula_BOM'!$C16)</f>
        <v/>
      </c>
      <c r="C23" s="38" t="str">
        <f>IF('Tuan-Formula_BOM'!$C16="","",'Tuan-Formula_BOM'!$F16)</f>
        <v/>
      </c>
      <c r="D23" s="37" t="str">
        <f>IF('Tuan-Formula_BOM'!$C16="","",'Tuan-Formula_BOM'!$D16)</f>
        <v/>
      </c>
      <c r="E23" s="37" t="str">
        <f>IF('Tuan-Formula_BOM'!$C16="","",'Tuan-Formula_BOM'!$E16)</f>
        <v/>
      </c>
      <c r="F23" s="37" t="str">
        <f>IF(B23="","",COUNTIF('ChiChu-Prohibited_Ingred'!$A:$A,"*"&amp;B23&amp;"*"))</f>
        <v/>
      </c>
      <c r="G23" s="37" t="str">
        <f>IF(B23="","",COUNTIF('ChiChu-PB_Caution_Limits'!$A:$A,"*"&amp;B23&amp;"*"))</f>
        <v/>
      </c>
      <c r="H23" s="37"/>
      <c r="I23" s="37"/>
      <c r="J23" s="37"/>
      <c r="K23" s="37"/>
      <c r="L23" s="37"/>
      <c r="M23" s="37" t="str">
        <f>IF(B23="","",IF(OR(F23&gt;0,G23&gt;0),"Needs Review","No listed match"))</f>
        <v/>
      </c>
      <c r="N23" s="37"/>
    </row>
    <row r="24" spans="1:14">
      <c r="A24" s="37" t="str">
        <f>IF('Tuan-Formula_BOM'!$C17="","",'Tuan-Formula_BOM'!$A17)</f>
        <v/>
      </c>
      <c r="B24" s="37" t="str">
        <f>IF('Tuan-Formula_BOM'!$C17="","",'Tuan-Formula_BOM'!$C17)</f>
        <v/>
      </c>
      <c r="C24" s="38" t="str">
        <f>IF('Tuan-Formula_BOM'!$C17="","",'Tuan-Formula_BOM'!$F17)</f>
        <v/>
      </c>
      <c r="D24" s="37" t="str">
        <f>IF('Tuan-Formula_BOM'!$C17="","",'Tuan-Formula_BOM'!$D17)</f>
        <v/>
      </c>
      <c r="E24" s="37" t="str">
        <f>IF('Tuan-Formula_BOM'!$C17="","",'Tuan-Formula_BOM'!$E17)</f>
        <v/>
      </c>
      <c r="F24" s="37" t="str">
        <f>IF(B24="","",COUNTIF('ChiChu-Prohibited_Ingred'!$A:$A,"*"&amp;B24&amp;"*"))</f>
        <v/>
      </c>
      <c r="G24" s="37" t="str">
        <f>IF(B24="","",COUNTIF('ChiChu-PB_Caution_Limits'!$A:$A,"*"&amp;B24&amp;"*"))</f>
        <v/>
      </c>
      <c r="H24" s="37"/>
      <c r="I24" s="37"/>
      <c r="J24" s="37"/>
      <c r="K24" s="37"/>
      <c r="L24" s="37"/>
      <c r="M24" s="37" t="str">
        <f>IF(B24="","",IF(OR(F24&gt;0,G24&gt;0),"Needs Review","No listed match"))</f>
        <v/>
      </c>
      <c r="N24" s="37"/>
    </row>
    <row r="25" spans="1:14">
      <c r="A25" s="37" t="str">
        <f>IF('Tuan-Formula_BOM'!$C18="","",'Tuan-Formula_BOM'!$A18)</f>
        <v/>
      </c>
      <c r="B25" s="37" t="str">
        <f>IF('Tuan-Formula_BOM'!$C18="","",'Tuan-Formula_BOM'!$C18)</f>
        <v/>
      </c>
      <c r="C25" s="38" t="str">
        <f>IF('Tuan-Formula_BOM'!$C18="","",'Tuan-Formula_BOM'!$F18)</f>
        <v/>
      </c>
      <c r="D25" s="37" t="str">
        <f>IF('Tuan-Formula_BOM'!$C18="","",'Tuan-Formula_BOM'!$D18)</f>
        <v/>
      </c>
      <c r="E25" s="37" t="str">
        <f>IF('Tuan-Formula_BOM'!$C18="","",'Tuan-Formula_BOM'!$E18)</f>
        <v/>
      </c>
      <c r="F25" s="37" t="str">
        <f>IF(B25="","",COUNTIF('ChiChu-Prohibited_Ingred'!$A:$A,"*"&amp;B25&amp;"*"))</f>
        <v/>
      </c>
      <c r="G25" s="37" t="str">
        <f>IF(B25="","",COUNTIF('ChiChu-PB_Caution_Limits'!$A:$A,"*"&amp;B25&amp;"*"))</f>
        <v/>
      </c>
      <c r="H25" s="37"/>
      <c r="I25" s="37"/>
      <c r="J25" s="37"/>
      <c r="K25" s="37"/>
      <c r="L25" s="37"/>
      <c r="M25" s="37" t="str">
        <f>IF(B25="","",IF(OR(F25&gt;0,G25&gt;0),"Needs Review","No listed match"))</f>
        <v/>
      </c>
      <c r="N25" s="37"/>
    </row>
    <row r="26" spans="1:14">
      <c r="A26" s="37" t="str">
        <f>IF('Tuan-Formula_BOM'!$C19="","",'Tuan-Formula_BOM'!$A19)</f>
        <v/>
      </c>
      <c r="B26" s="37" t="str">
        <f>IF('Tuan-Formula_BOM'!$C19="","",'Tuan-Formula_BOM'!$C19)</f>
        <v/>
      </c>
      <c r="C26" s="38" t="str">
        <f>IF('Tuan-Formula_BOM'!$C19="","",'Tuan-Formula_BOM'!$F19)</f>
        <v/>
      </c>
      <c r="D26" s="37" t="str">
        <f>IF('Tuan-Formula_BOM'!$C19="","",'Tuan-Formula_BOM'!$D19)</f>
        <v/>
      </c>
      <c r="E26" s="37" t="str">
        <f>IF('Tuan-Formula_BOM'!$C19="","",'Tuan-Formula_BOM'!$E19)</f>
        <v/>
      </c>
      <c r="F26" s="37" t="str">
        <f>IF(B26="","",COUNTIF('ChiChu-Prohibited_Ingred'!$A:$A,"*"&amp;B26&amp;"*"))</f>
        <v/>
      </c>
      <c r="G26" s="37" t="str">
        <f>IF(B26="","",COUNTIF('ChiChu-PB_Caution_Limits'!$A:$A,"*"&amp;B26&amp;"*"))</f>
        <v/>
      </c>
      <c r="H26" s="37"/>
      <c r="I26" s="37"/>
      <c r="J26" s="37"/>
      <c r="K26" s="37"/>
      <c r="L26" s="37"/>
      <c r="M26" s="37" t="str">
        <f>IF(B26="","",IF(OR(F26&gt;0,G26&gt;0),"Needs Review","No listed match"))</f>
        <v/>
      </c>
      <c r="N26" s="37"/>
    </row>
    <row r="27" spans="1:14">
      <c r="A27" s="37" t="str">
        <f>IF('Tuan-Formula_BOM'!$C20="","",'Tuan-Formula_BOM'!$A20)</f>
        <v/>
      </c>
      <c r="B27" s="37" t="str">
        <f>IF('Tuan-Formula_BOM'!$C20="","",'Tuan-Formula_BOM'!$C20)</f>
        <v/>
      </c>
      <c r="C27" s="38" t="str">
        <f>IF('Tuan-Formula_BOM'!$C20="","",'Tuan-Formula_BOM'!$F20)</f>
        <v/>
      </c>
      <c r="D27" s="37" t="str">
        <f>IF('Tuan-Formula_BOM'!$C20="","",'Tuan-Formula_BOM'!$D20)</f>
        <v/>
      </c>
      <c r="E27" s="37" t="str">
        <f>IF('Tuan-Formula_BOM'!$C20="","",'Tuan-Formula_BOM'!$E20)</f>
        <v/>
      </c>
      <c r="F27" s="37" t="str">
        <f>IF(B27="","",COUNTIF('ChiChu-Prohibited_Ingred'!$A:$A,"*"&amp;B27&amp;"*"))</f>
        <v/>
      </c>
      <c r="G27" s="37" t="str">
        <f>IF(B27="","",COUNTIF('ChiChu-PB_Caution_Limits'!$A:$A,"*"&amp;B27&amp;"*"))</f>
        <v/>
      </c>
      <c r="H27" s="37"/>
      <c r="I27" s="37"/>
      <c r="J27" s="37"/>
      <c r="K27" s="37"/>
      <c r="L27" s="37"/>
      <c r="M27" s="37" t="str">
        <f>IF(B27="","",IF(OR(F27&gt;0,G27&gt;0),"Needs Review","No listed match"))</f>
        <v/>
      </c>
      <c r="N27" s="37"/>
    </row>
    <row r="28" spans="1:14">
      <c r="A28" s="37" t="str">
        <f>IF('Tuan-Formula_BOM'!$C21="","",'Tuan-Formula_BOM'!$A21)</f>
        <v/>
      </c>
      <c r="B28" s="37" t="str">
        <f>IF('Tuan-Formula_BOM'!$C21="","",'Tuan-Formula_BOM'!$C21)</f>
        <v/>
      </c>
      <c r="C28" s="38" t="str">
        <f>IF('Tuan-Formula_BOM'!$C21="","",'Tuan-Formula_BOM'!$F21)</f>
        <v/>
      </c>
      <c r="D28" s="37" t="str">
        <f>IF('Tuan-Formula_BOM'!$C21="","",'Tuan-Formula_BOM'!$D21)</f>
        <v/>
      </c>
      <c r="E28" s="37" t="str">
        <f>IF('Tuan-Formula_BOM'!$C21="","",'Tuan-Formula_BOM'!$E21)</f>
        <v/>
      </c>
      <c r="F28" s="37" t="str">
        <f>IF(B28="","",COUNTIF('ChiChu-Prohibited_Ingred'!$A:$A,"*"&amp;B28&amp;"*"))</f>
        <v/>
      </c>
      <c r="G28" s="37" t="str">
        <f>IF(B28="","",COUNTIF('ChiChu-PB_Caution_Limits'!$A:$A,"*"&amp;B28&amp;"*"))</f>
        <v/>
      </c>
      <c r="H28" s="37"/>
      <c r="I28" s="37"/>
      <c r="J28" s="37"/>
      <c r="K28" s="37"/>
      <c r="L28" s="37"/>
      <c r="M28" s="37" t="str">
        <f>IF(B28="","",IF(OR(F28&gt;0,G28&gt;0),"Needs Review","No listed match"))</f>
        <v/>
      </c>
      <c r="N28" s="37"/>
    </row>
    <row r="29" spans="1:14">
      <c r="A29" s="37" t="str">
        <f>IF('Tuan-Formula_BOM'!$C22="","",'Tuan-Formula_BOM'!$A22)</f>
        <v/>
      </c>
      <c r="B29" s="37" t="str">
        <f>IF('Tuan-Formula_BOM'!$C22="","",'Tuan-Formula_BOM'!$C22)</f>
        <v/>
      </c>
      <c r="C29" s="38" t="str">
        <f>IF('Tuan-Formula_BOM'!$C22="","",'Tuan-Formula_BOM'!$F22)</f>
        <v/>
      </c>
      <c r="D29" s="37" t="str">
        <f>IF('Tuan-Formula_BOM'!$C22="","",'Tuan-Formula_BOM'!$D22)</f>
        <v/>
      </c>
      <c r="E29" s="37" t="str">
        <f>IF('Tuan-Formula_BOM'!$C22="","",'Tuan-Formula_BOM'!$E22)</f>
        <v/>
      </c>
      <c r="F29" s="37" t="str">
        <f>IF(B29="","",COUNTIF('ChiChu-Prohibited_Ingred'!$A:$A,"*"&amp;B29&amp;"*"))</f>
        <v/>
      </c>
      <c r="G29" s="37" t="str">
        <f>IF(B29="","",COUNTIF('ChiChu-PB_Caution_Limits'!$A:$A,"*"&amp;B29&amp;"*"))</f>
        <v/>
      </c>
      <c r="H29" s="37"/>
      <c r="I29" s="37"/>
      <c r="J29" s="37"/>
      <c r="K29" s="37"/>
      <c r="L29" s="37"/>
      <c r="M29" s="37" t="str">
        <f>IF(B29="","",IF(OR(F29&gt;0,G29&gt;0),"Needs Review","No listed match"))</f>
        <v/>
      </c>
      <c r="N29" s="37"/>
    </row>
    <row r="30" spans="1:14">
      <c r="A30" s="37" t="str">
        <f>IF('Tuan-Formula_BOM'!$C23="","",'Tuan-Formula_BOM'!$A23)</f>
        <v/>
      </c>
      <c r="B30" s="37" t="str">
        <f>IF('Tuan-Formula_BOM'!$C23="","",'Tuan-Formula_BOM'!$C23)</f>
        <v/>
      </c>
      <c r="C30" s="38" t="str">
        <f>IF('Tuan-Formula_BOM'!$C23="","",'Tuan-Formula_BOM'!$F23)</f>
        <v/>
      </c>
      <c r="D30" s="37" t="str">
        <f>IF('Tuan-Formula_BOM'!$C23="","",'Tuan-Formula_BOM'!$D23)</f>
        <v/>
      </c>
      <c r="E30" s="37" t="str">
        <f>IF('Tuan-Formula_BOM'!$C23="","",'Tuan-Formula_BOM'!$E23)</f>
        <v/>
      </c>
      <c r="F30" s="37" t="str">
        <f>IF(B30="","",COUNTIF('ChiChu-Prohibited_Ingred'!$A:$A,"*"&amp;B30&amp;"*"))</f>
        <v/>
      </c>
      <c r="G30" s="37" t="str">
        <f>IF(B30="","",COUNTIF('ChiChu-PB_Caution_Limits'!$A:$A,"*"&amp;B30&amp;"*"))</f>
        <v/>
      </c>
      <c r="H30" s="37"/>
      <c r="I30" s="37"/>
      <c r="J30" s="37"/>
      <c r="K30" s="37"/>
      <c r="L30" s="37"/>
      <c r="M30" s="37" t="str">
        <f>IF(B30="","",IF(OR(F30&gt;0,G30&gt;0),"Needs Review","No listed match"))</f>
        <v/>
      </c>
      <c r="N30" s="37"/>
    </row>
    <row r="31" spans="1:14">
      <c r="A31" s="37" t="str">
        <f>IF('Tuan-Formula_BOM'!$C24="","",'Tuan-Formula_BOM'!$A24)</f>
        <v/>
      </c>
      <c r="B31" s="37" t="str">
        <f>IF('Tuan-Formula_BOM'!$C24="","",'Tuan-Formula_BOM'!$C24)</f>
        <v/>
      </c>
      <c r="C31" s="38" t="str">
        <f>IF('Tuan-Formula_BOM'!$C24="","",'Tuan-Formula_BOM'!$F24)</f>
        <v/>
      </c>
      <c r="D31" s="37" t="str">
        <f>IF('Tuan-Formula_BOM'!$C24="","",'Tuan-Formula_BOM'!$D24)</f>
        <v/>
      </c>
      <c r="E31" s="37" t="str">
        <f>IF('Tuan-Formula_BOM'!$C24="","",'Tuan-Formula_BOM'!$E24)</f>
        <v/>
      </c>
      <c r="F31" s="37" t="str">
        <f>IF(B31="","",COUNTIF('ChiChu-Prohibited_Ingred'!$A:$A,"*"&amp;B31&amp;"*"))</f>
        <v/>
      </c>
      <c r="G31" s="37" t="str">
        <f>IF(B31="","",COUNTIF('ChiChu-PB_Caution_Limits'!$A:$A,"*"&amp;B31&amp;"*"))</f>
        <v/>
      </c>
      <c r="H31" s="37"/>
      <c r="I31" s="37"/>
      <c r="J31" s="37"/>
      <c r="K31" s="37"/>
      <c r="L31" s="37"/>
      <c r="M31" s="37" t="str">
        <f>IF(B31="","",IF(OR(F31&gt;0,G31&gt;0),"Needs Review","No listed match"))</f>
        <v/>
      </c>
      <c r="N31" s="37"/>
    </row>
    <row r="32" spans="1:14">
      <c r="A32" s="37" t="str">
        <f>IF('Tuan-Formula_BOM'!$C25="","",'Tuan-Formula_BOM'!$A25)</f>
        <v/>
      </c>
      <c r="B32" s="37" t="str">
        <f>IF('Tuan-Formula_BOM'!$C25="","",'Tuan-Formula_BOM'!$C25)</f>
        <v/>
      </c>
      <c r="C32" s="38" t="str">
        <f>IF('Tuan-Formula_BOM'!$C25="","",'Tuan-Formula_BOM'!$F25)</f>
        <v/>
      </c>
      <c r="D32" s="37" t="str">
        <f>IF('Tuan-Formula_BOM'!$C25="","",'Tuan-Formula_BOM'!$D25)</f>
        <v/>
      </c>
      <c r="E32" s="37" t="str">
        <f>IF('Tuan-Formula_BOM'!$C25="","",'Tuan-Formula_BOM'!$E25)</f>
        <v/>
      </c>
      <c r="F32" s="37" t="str">
        <f>IF(B32="","",COUNTIF('ChiChu-Prohibited_Ingred'!$A:$A,"*"&amp;B32&amp;"*"))</f>
        <v/>
      </c>
      <c r="G32" s="37" t="str">
        <f>IF(B32="","",COUNTIF('ChiChu-PB_Caution_Limits'!$A:$A,"*"&amp;B32&amp;"*"))</f>
        <v/>
      </c>
      <c r="H32" s="37"/>
      <c r="I32" s="37"/>
      <c r="J32" s="37"/>
      <c r="K32" s="37"/>
      <c r="L32" s="37"/>
      <c r="M32" s="37" t="str">
        <f>IF(B32="","",IF(OR(F32&gt;0,G32&gt;0),"Needs Review","No listed match"))</f>
        <v/>
      </c>
      <c r="N32" s="37"/>
    </row>
    <row r="33" spans="1:14">
      <c r="A33" s="37" t="str">
        <f>IF('Tuan-Formula_BOM'!$C26="","",'Tuan-Formula_BOM'!$A26)</f>
        <v/>
      </c>
      <c r="B33" s="37" t="str">
        <f>IF('Tuan-Formula_BOM'!$C26="","",'Tuan-Formula_BOM'!$C26)</f>
        <v/>
      </c>
      <c r="C33" s="38" t="str">
        <f>IF('Tuan-Formula_BOM'!$C26="","",'Tuan-Formula_BOM'!$F26)</f>
        <v/>
      </c>
      <c r="D33" s="37" t="str">
        <f>IF('Tuan-Formula_BOM'!$C26="","",'Tuan-Formula_BOM'!$D26)</f>
        <v/>
      </c>
      <c r="E33" s="37" t="str">
        <f>IF('Tuan-Formula_BOM'!$C26="","",'Tuan-Formula_BOM'!$E26)</f>
        <v/>
      </c>
      <c r="F33" s="37" t="str">
        <f>IF(B33="","",COUNTIF('ChiChu-Prohibited_Ingred'!$A:$A,"*"&amp;B33&amp;"*"))</f>
        <v/>
      </c>
      <c r="G33" s="37" t="str">
        <f>IF(B33="","",COUNTIF('ChiChu-PB_Caution_Limits'!$A:$A,"*"&amp;B33&amp;"*"))</f>
        <v/>
      </c>
      <c r="H33" s="37"/>
      <c r="I33" s="37"/>
      <c r="J33" s="37"/>
      <c r="K33" s="37"/>
      <c r="L33" s="37"/>
      <c r="M33" s="37" t="str">
        <f>IF(B33="","",IF(OR(F33&gt;0,G33&gt;0),"Needs Review","No listed match"))</f>
        <v/>
      </c>
      <c r="N33" s="37"/>
    </row>
    <row r="34" spans="1:14">
      <c r="A34" s="37" t="str">
        <f>IF('Tuan-Formula_BOM'!$C27="","",'Tuan-Formula_BOM'!$A27)</f>
        <v/>
      </c>
      <c r="B34" s="37" t="str">
        <f>IF('Tuan-Formula_BOM'!$C27="","",'Tuan-Formula_BOM'!$C27)</f>
        <v/>
      </c>
      <c r="C34" s="38" t="str">
        <f>IF('Tuan-Formula_BOM'!$C27="","",'Tuan-Formula_BOM'!$F27)</f>
        <v/>
      </c>
      <c r="D34" s="37" t="str">
        <f>IF('Tuan-Formula_BOM'!$C27="","",'Tuan-Formula_BOM'!$D27)</f>
        <v/>
      </c>
      <c r="E34" s="37" t="str">
        <f>IF('Tuan-Formula_BOM'!$C27="","",'Tuan-Formula_BOM'!$E27)</f>
        <v/>
      </c>
      <c r="F34" s="37" t="str">
        <f>IF(B34="","",COUNTIF('ChiChu-Prohibited_Ingred'!$A:$A,"*"&amp;B34&amp;"*"))</f>
        <v/>
      </c>
      <c r="G34" s="37" t="str">
        <f>IF(B34="","",COUNTIF('ChiChu-PB_Caution_Limits'!$A:$A,"*"&amp;B34&amp;"*"))</f>
        <v/>
      </c>
      <c r="H34" s="37"/>
      <c r="I34" s="37"/>
      <c r="J34" s="37"/>
      <c r="K34" s="37"/>
      <c r="L34" s="37"/>
      <c r="M34" s="37" t="str">
        <f>IF(B34="","",IF(OR(F34&gt;0,G34&gt;0),"Needs Review","No listed match"))</f>
        <v/>
      </c>
      <c r="N34" s="37"/>
    </row>
    <row r="35" spans="1:14">
      <c r="A35" s="37" t="str">
        <f>IF('Tuan-Formula_BOM'!$C28="","",'Tuan-Formula_BOM'!$A28)</f>
        <v/>
      </c>
      <c r="B35" s="37" t="str">
        <f>IF('Tuan-Formula_BOM'!$C28="","",'Tuan-Formula_BOM'!$C28)</f>
        <v/>
      </c>
      <c r="C35" s="38" t="str">
        <f>IF('Tuan-Formula_BOM'!$C28="","",'Tuan-Formula_BOM'!$F28)</f>
        <v/>
      </c>
      <c r="D35" s="37" t="str">
        <f>IF('Tuan-Formula_BOM'!$C28="","",'Tuan-Formula_BOM'!$D28)</f>
        <v/>
      </c>
      <c r="E35" s="37" t="str">
        <f>IF('Tuan-Formula_BOM'!$C28="","",'Tuan-Formula_BOM'!$E28)</f>
        <v/>
      </c>
      <c r="F35" s="37" t="str">
        <f>IF(B35="","",COUNTIF('ChiChu-Prohibited_Ingred'!$A:$A,"*"&amp;B35&amp;"*"))</f>
        <v/>
      </c>
      <c r="G35" s="37" t="str">
        <f>IF(B35="","",COUNTIF('ChiChu-PB_Caution_Limits'!$A:$A,"*"&amp;B35&amp;"*"))</f>
        <v/>
      </c>
      <c r="H35" s="37"/>
      <c r="I35" s="37"/>
      <c r="J35" s="37"/>
      <c r="K35" s="37"/>
      <c r="L35" s="37"/>
      <c r="M35" s="37" t="str">
        <f>IF(B35="","",IF(OR(F35&gt;0,G35&gt;0),"Needs Review","No listed match"))</f>
        <v/>
      </c>
      <c r="N35" s="37"/>
    </row>
    <row r="36" spans="1:14">
      <c r="A36" s="37" t="str">
        <f>IF('Tuan-Formula_BOM'!$C29="","",'Tuan-Formula_BOM'!$A29)</f>
        <v/>
      </c>
      <c r="B36" s="37" t="str">
        <f>IF('Tuan-Formula_BOM'!$C29="","",'Tuan-Formula_BOM'!$C29)</f>
        <v/>
      </c>
      <c r="C36" s="38" t="str">
        <f>IF('Tuan-Formula_BOM'!$C29="","",'Tuan-Formula_BOM'!$F29)</f>
        <v/>
      </c>
      <c r="D36" s="37" t="str">
        <f>IF('Tuan-Formula_BOM'!$C29="","",'Tuan-Formula_BOM'!$D29)</f>
        <v/>
      </c>
      <c r="E36" s="37" t="str">
        <f>IF('Tuan-Formula_BOM'!$C29="","",'Tuan-Formula_BOM'!$E29)</f>
        <v/>
      </c>
      <c r="F36" s="37" t="str">
        <f>IF(B36="","",COUNTIF('ChiChu-Prohibited_Ingred'!$A:$A,"*"&amp;B36&amp;"*"))</f>
        <v/>
      </c>
      <c r="G36" s="37" t="str">
        <f>IF(B36="","",COUNTIF('ChiChu-PB_Caution_Limits'!$A:$A,"*"&amp;B36&amp;"*"))</f>
        <v/>
      </c>
      <c r="H36" s="37"/>
      <c r="I36" s="37"/>
      <c r="J36" s="37"/>
      <c r="K36" s="37"/>
      <c r="L36" s="37"/>
      <c r="M36" s="37" t="str">
        <f>IF(B36="","",IF(OR(F36&gt;0,G36&gt;0),"Needs Review","No listed match"))</f>
        <v/>
      </c>
      <c r="N36" s="37"/>
    </row>
    <row r="37" spans="1:14">
      <c r="A37" s="37" t="str">
        <f>IF('Tuan-Formula_BOM'!$C30="","",'Tuan-Formula_BOM'!$A30)</f>
        <v/>
      </c>
      <c r="B37" s="37" t="str">
        <f>IF('Tuan-Formula_BOM'!$C30="","",'Tuan-Formula_BOM'!$C30)</f>
        <v/>
      </c>
      <c r="C37" s="38" t="str">
        <f>IF('Tuan-Formula_BOM'!$C30="","",'Tuan-Formula_BOM'!$F30)</f>
        <v/>
      </c>
      <c r="D37" s="37" t="str">
        <f>IF('Tuan-Formula_BOM'!$C30="","",'Tuan-Formula_BOM'!$D30)</f>
        <v/>
      </c>
      <c r="E37" s="37" t="str">
        <f>IF('Tuan-Formula_BOM'!$C30="","",'Tuan-Formula_BOM'!$E30)</f>
        <v/>
      </c>
      <c r="F37" s="37" t="str">
        <f>IF(B37="","",COUNTIF('ChiChu-Prohibited_Ingred'!$A:$A,"*"&amp;B37&amp;"*"))</f>
        <v/>
      </c>
      <c r="G37" s="37" t="str">
        <f>IF(B37="","",COUNTIF('ChiChu-PB_Caution_Limits'!$A:$A,"*"&amp;B37&amp;"*"))</f>
        <v/>
      </c>
      <c r="H37" s="37"/>
      <c r="I37" s="37"/>
      <c r="J37" s="37"/>
      <c r="K37" s="37"/>
      <c r="L37" s="37"/>
      <c r="M37" s="37" t="str">
        <f>IF(B37="","",IF(OR(F37&gt;0,G37&gt;0),"Needs Review","No listed match"))</f>
        <v/>
      </c>
      <c r="N37" s="37"/>
    </row>
    <row r="38" spans="1:14">
      <c r="A38" s="37" t="str">
        <f>IF('Tuan-Formula_BOM'!$C31="","",'Tuan-Formula_BOM'!$A31)</f>
        <v/>
      </c>
      <c r="B38" s="37" t="str">
        <f>IF('Tuan-Formula_BOM'!$C31="","",'Tuan-Formula_BOM'!$C31)</f>
        <v/>
      </c>
      <c r="C38" s="38" t="str">
        <f>IF('Tuan-Formula_BOM'!$C31="","",'Tuan-Formula_BOM'!$F31)</f>
        <v/>
      </c>
      <c r="D38" s="37" t="str">
        <f>IF('Tuan-Formula_BOM'!$C31="","",'Tuan-Formula_BOM'!$D31)</f>
        <v/>
      </c>
      <c r="E38" s="37" t="str">
        <f>IF('Tuan-Formula_BOM'!$C31="","",'Tuan-Formula_BOM'!$E31)</f>
        <v/>
      </c>
      <c r="F38" s="37" t="str">
        <f>IF(B38="","",COUNTIF('ChiChu-Prohibited_Ingred'!$A:$A,"*"&amp;B38&amp;"*"))</f>
        <v/>
      </c>
      <c r="G38" s="37" t="str">
        <f>IF(B38="","",COUNTIF('ChiChu-PB_Caution_Limits'!$A:$A,"*"&amp;B38&amp;"*"))</f>
        <v/>
      </c>
      <c r="H38" s="37"/>
      <c r="I38" s="37"/>
      <c r="J38" s="37"/>
      <c r="K38" s="37"/>
      <c r="L38" s="37"/>
      <c r="M38" s="37" t="str">
        <f>IF(B38="","",IF(OR(F38&gt;0,G38&gt;0),"Needs Review","No listed match"))</f>
        <v/>
      </c>
      <c r="N38" s="37"/>
    </row>
    <row r="39" spans="1:14">
      <c r="A39" s="37" t="str">
        <f>IF('Tuan-Formula_BOM'!$C32="","",'Tuan-Formula_BOM'!$A32)</f>
        <v/>
      </c>
      <c r="B39" s="37" t="str">
        <f>IF('Tuan-Formula_BOM'!$C32="","",'Tuan-Formula_BOM'!$C32)</f>
        <v/>
      </c>
      <c r="C39" s="38" t="str">
        <f>IF('Tuan-Formula_BOM'!$C32="","",'Tuan-Formula_BOM'!$F32)</f>
        <v/>
      </c>
      <c r="D39" s="37" t="str">
        <f>IF('Tuan-Formula_BOM'!$C32="","",'Tuan-Formula_BOM'!$D32)</f>
        <v/>
      </c>
      <c r="E39" s="37" t="str">
        <f>IF('Tuan-Formula_BOM'!$C32="","",'Tuan-Formula_BOM'!$E32)</f>
        <v/>
      </c>
      <c r="F39" s="37" t="str">
        <f>IF(B39="","",COUNTIF('ChiChu-Prohibited_Ingred'!$A:$A,"*"&amp;B39&amp;"*"))</f>
        <v/>
      </c>
      <c r="G39" s="37" t="str">
        <f>IF(B39="","",COUNTIF('ChiChu-PB_Caution_Limits'!$A:$A,"*"&amp;B39&amp;"*"))</f>
        <v/>
      </c>
      <c r="H39" s="37"/>
      <c r="I39" s="37"/>
      <c r="J39" s="37"/>
      <c r="K39" s="37"/>
      <c r="L39" s="37"/>
      <c r="M39" s="37" t="str">
        <f>IF(B39="","",IF(OR(F39&gt;0,G39&gt;0),"Needs Review","No listed match"))</f>
        <v/>
      </c>
      <c r="N39" s="37"/>
    </row>
    <row r="40" spans="1:14">
      <c r="A40" s="37" t="str">
        <f>IF('Tuan-Formula_BOM'!$C33="","",'Tuan-Formula_BOM'!$A33)</f>
        <v/>
      </c>
      <c r="B40" s="37" t="str">
        <f>IF('Tuan-Formula_BOM'!$C33="","",'Tuan-Formula_BOM'!$C33)</f>
        <v/>
      </c>
      <c r="C40" s="38" t="str">
        <f>IF('Tuan-Formula_BOM'!$C33="","",'Tuan-Formula_BOM'!$F33)</f>
        <v/>
      </c>
      <c r="D40" s="37" t="str">
        <f>IF('Tuan-Formula_BOM'!$C33="","",'Tuan-Formula_BOM'!$D33)</f>
        <v/>
      </c>
      <c r="E40" s="37" t="str">
        <f>IF('Tuan-Formula_BOM'!$C33="","",'Tuan-Formula_BOM'!$E33)</f>
        <v/>
      </c>
      <c r="F40" s="37" t="str">
        <f>IF(B40="","",COUNTIF('ChiChu-Prohibited_Ingred'!$A:$A,"*"&amp;B40&amp;"*"))</f>
        <v/>
      </c>
      <c r="G40" s="37" t="str">
        <f>IF(B40="","",COUNTIF('ChiChu-PB_Caution_Limits'!$A:$A,"*"&amp;B40&amp;"*"))</f>
        <v/>
      </c>
      <c r="H40" s="37"/>
      <c r="I40" s="37"/>
      <c r="J40" s="37"/>
      <c r="K40" s="37"/>
      <c r="L40" s="37"/>
      <c r="M40" s="37" t="str">
        <f>IF(B40="","",IF(OR(F40&gt;0,G40&gt;0),"Needs Review","No listed match"))</f>
        <v/>
      </c>
      <c r="N40" s="37"/>
    </row>
    <row r="41" spans="1:14">
      <c r="A41" s="37" t="str">
        <f>IF('Tuan-Formula_BOM'!$C34="","",'Tuan-Formula_BOM'!$A34)</f>
        <v/>
      </c>
      <c r="B41" s="37" t="str">
        <f>IF('Tuan-Formula_BOM'!$C34="","",'Tuan-Formula_BOM'!$C34)</f>
        <v/>
      </c>
      <c r="C41" s="38" t="str">
        <f>IF('Tuan-Formula_BOM'!$C34="","",'Tuan-Formula_BOM'!$F34)</f>
        <v/>
      </c>
      <c r="D41" s="37" t="str">
        <f>IF('Tuan-Formula_BOM'!$C34="","",'Tuan-Formula_BOM'!$D34)</f>
        <v/>
      </c>
      <c r="E41" s="37" t="str">
        <f>IF('Tuan-Formula_BOM'!$C34="","",'Tuan-Formula_BOM'!$E34)</f>
        <v/>
      </c>
      <c r="F41" s="37" t="str">
        <f>IF(B41="","",COUNTIF('ChiChu-Prohibited_Ingred'!$A:$A,"*"&amp;B41&amp;"*"))</f>
        <v/>
      </c>
      <c r="G41" s="37" t="str">
        <f>IF(B41="","",COUNTIF('ChiChu-PB_Caution_Limits'!$A:$A,"*"&amp;B41&amp;"*"))</f>
        <v/>
      </c>
      <c r="H41" s="37"/>
      <c r="I41" s="37"/>
      <c r="J41" s="37"/>
      <c r="K41" s="37"/>
      <c r="L41" s="37"/>
      <c r="M41" s="37" t="str">
        <f>IF(B41="","",IF(OR(F41&gt;0,G41&gt;0),"Needs Review","No listed match"))</f>
        <v/>
      </c>
      <c r="N41" s="37"/>
    </row>
    <row r="42" spans="1:14">
      <c r="A42" s="37" t="str">
        <f>IF('Tuan-Formula_BOM'!$C35="","",'Tuan-Formula_BOM'!$A35)</f>
        <v/>
      </c>
      <c r="B42" s="37" t="str">
        <f>IF('Tuan-Formula_BOM'!$C35="","",'Tuan-Formula_BOM'!$C35)</f>
        <v/>
      </c>
      <c r="C42" s="38" t="str">
        <f>IF('Tuan-Formula_BOM'!$C35="","",'Tuan-Formula_BOM'!$F35)</f>
        <v/>
      </c>
      <c r="D42" s="37" t="str">
        <f>IF('Tuan-Formula_BOM'!$C35="","",'Tuan-Formula_BOM'!$D35)</f>
        <v/>
      </c>
      <c r="E42" s="37" t="str">
        <f>IF('Tuan-Formula_BOM'!$C35="","",'Tuan-Formula_BOM'!$E35)</f>
        <v/>
      </c>
      <c r="F42" s="37" t="str">
        <f>IF(B42="","",COUNTIF('ChiChu-Prohibited_Ingred'!$A:$A,"*"&amp;B42&amp;"*"))</f>
        <v/>
      </c>
      <c r="G42" s="37" t="str">
        <f>IF(B42="","",COUNTIF('ChiChu-PB_Caution_Limits'!$A:$A,"*"&amp;B42&amp;"*"))</f>
        <v/>
      </c>
      <c r="H42" s="37"/>
      <c r="I42" s="37"/>
      <c r="J42" s="37"/>
      <c r="K42" s="37"/>
      <c r="L42" s="37"/>
      <c r="M42" s="37" t="str">
        <f>IF(B42="","",IF(OR(F42&gt;0,G42&gt;0),"Needs Review","No listed match"))</f>
        <v/>
      </c>
      <c r="N42" s="37"/>
    </row>
    <row r="43" spans="1:14">
      <c r="A43" s="37" t="str">
        <f>IF('Tuan-Formula_BOM'!$C36="","",'Tuan-Formula_BOM'!$A36)</f>
        <v/>
      </c>
      <c r="B43" s="37" t="str">
        <f>IF('Tuan-Formula_BOM'!$C36="","",'Tuan-Formula_BOM'!$C36)</f>
        <v/>
      </c>
      <c r="C43" s="38" t="str">
        <f>IF('Tuan-Formula_BOM'!$C36="","",'Tuan-Formula_BOM'!$F36)</f>
        <v/>
      </c>
      <c r="D43" s="37" t="str">
        <f>IF('Tuan-Formula_BOM'!$C36="","",'Tuan-Formula_BOM'!$D36)</f>
        <v/>
      </c>
      <c r="E43" s="37" t="str">
        <f>IF('Tuan-Formula_BOM'!$C36="","",'Tuan-Formula_BOM'!$E36)</f>
        <v/>
      </c>
      <c r="F43" s="37" t="str">
        <f>IF(B43="","",COUNTIF('ChiChu-Prohibited_Ingred'!$A:$A,"*"&amp;B43&amp;"*"))</f>
        <v/>
      </c>
      <c r="G43" s="37" t="str">
        <f>IF(B43="","",COUNTIF('ChiChu-PB_Caution_Limits'!$A:$A,"*"&amp;B43&amp;"*"))</f>
        <v/>
      </c>
      <c r="H43" s="37"/>
      <c r="I43" s="37"/>
      <c r="J43" s="37"/>
      <c r="K43" s="37"/>
      <c r="L43" s="37"/>
      <c r="M43" s="37" t="str">
        <f>IF(B43="","",IF(OR(F43&gt;0,G43&gt;0),"Needs Review","No listed match"))</f>
        <v/>
      </c>
      <c r="N43" s="37"/>
    </row>
    <row r="44" spans="1:14">
      <c r="A44" s="37" t="str">
        <f>IF('Tuan-Formula_BOM'!$C37="","",'Tuan-Formula_BOM'!$A37)</f>
        <v/>
      </c>
      <c r="B44" s="37" t="str">
        <f>IF('Tuan-Formula_BOM'!$C37="","",'Tuan-Formula_BOM'!$C37)</f>
        <v/>
      </c>
      <c r="C44" s="38" t="str">
        <f>IF('Tuan-Formula_BOM'!$C37="","",'Tuan-Formula_BOM'!$F37)</f>
        <v/>
      </c>
      <c r="D44" s="37" t="str">
        <f>IF('Tuan-Formula_BOM'!$C37="","",'Tuan-Formula_BOM'!$D37)</f>
        <v/>
      </c>
      <c r="E44" s="37" t="str">
        <f>IF('Tuan-Formula_BOM'!$C37="","",'Tuan-Formula_BOM'!$E37)</f>
        <v/>
      </c>
      <c r="F44" s="37" t="str">
        <f>IF(B44="","",COUNTIF('ChiChu-Prohibited_Ingred'!$A:$A,"*"&amp;B44&amp;"*"))</f>
        <v/>
      </c>
      <c r="G44" s="37" t="str">
        <f>IF(B44="","",COUNTIF('ChiChu-PB_Caution_Limits'!$A:$A,"*"&amp;B44&amp;"*"))</f>
        <v/>
      </c>
      <c r="H44" s="37"/>
      <c r="I44" s="37"/>
      <c r="J44" s="37"/>
      <c r="K44" s="37"/>
      <c r="L44" s="37"/>
      <c r="M44" s="37" t="str">
        <f>IF(B44="","",IF(OR(F44&gt;0,G44&gt;0),"Needs Review","No listed match"))</f>
        <v/>
      </c>
      <c r="N44" s="37"/>
    </row>
    <row r="45" spans="1:14">
      <c r="A45" s="37" t="str">
        <f>IF('Tuan-Formula_BOM'!$C38="","",'Tuan-Formula_BOM'!$A38)</f>
        <v/>
      </c>
      <c r="B45" s="37" t="str">
        <f>IF('Tuan-Formula_BOM'!$C38="","",'Tuan-Formula_BOM'!$C38)</f>
        <v/>
      </c>
      <c r="C45" s="38" t="str">
        <f>IF('Tuan-Formula_BOM'!$C38="","",'Tuan-Formula_BOM'!$F38)</f>
        <v/>
      </c>
      <c r="D45" s="37" t="str">
        <f>IF('Tuan-Formula_BOM'!$C38="","",'Tuan-Formula_BOM'!$D38)</f>
        <v/>
      </c>
      <c r="E45" s="37" t="str">
        <f>IF('Tuan-Formula_BOM'!$C38="","",'Tuan-Formula_BOM'!$E38)</f>
        <v/>
      </c>
      <c r="F45" s="37" t="str">
        <f>IF(B45="","",COUNTIF('ChiChu-Prohibited_Ingred'!$A:$A,"*"&amp;B45&amp;"*"))</f>
        <v/>
      </c>
      <c r="G45" s="37" t="str">
        <f>IF(B45="","",COUNTIF('ChiChu-PB_Caution_Limits'!$A:$A,"*"&amp;B45&amp;"*"))</f>
        <v/>
      </c>
      <c r="H45" s="37"/>
      <c r="I45" s="37"/>
      <c r="J45" s="37"/>
      <c r="K45" s="37"/>
      <c r="L45" s="37"/>
      <c r="M45" s="37" t="str">
        <f>IF(B45="","",IF(OR(F45&gt;0,G45&gt;0),"Needs Review","No listed match"))</f>
        <v/>
      </c>
      <c r="N45" s="37"/>
    </row>
    <row r="46" spans="1:14">
      <c r="A46" s="37" t="str">
        <f>IF('Tuan-Formula_BOM'!$C39="","",'Tuan-Formula_BOM'!$A39)</f>
        <v/>
      </c>
      <c r="B46" s="37" t="str">
        <f>IF('Tuan-Formula_BOM'!$C39="","",'Tuan-Formula_BOM'!$C39)</f>
        <v/>
      </c>
      <c r="C46" s="38" t="str">
        <f>IF('Tuan-Formula_BOM'!$C39="","",'Tuan-Formula_BOM'!$F39)</f>
        <v/>
      </c>
      <c r="D46" s="37" t="str">
        <f>IF('Tuan-Formula_BOM'!$C39="","",'Tuan-Formula_BOM'!$D39)</f>
        <v/>
      </c>
      <c r="E46" s="37" t="str">
        <f>IF('Tuan-Formula_BOM'!$C39="","",'Tuan-Formula_BOM'!$E39)</f>
        <v/>
      </c>
      <c r="F46" s="37" t="str">
        <f>IF(B46="","",COUNTIF('ChiChu-Prohibited_Ingred'!$A:$A,"*"&amp;B46&amp;"*"))</f>
        <v/>
      </c>
      <c r="G46" s="37" t="str">
        <f>IF(B46="","",COUNTIF('ChiChu-PB_Caution_Limits'!$A:$A,"*"&amp;B46&amp;"*"))</f>
        <v/>
      </c>
      <c r="H46" s="37"/>
      <c r="I46" s="37"/>
      <c r="J46" s="37"/>
      <c r="K46" s="37"/>
      <c r="L46" s="37"/>
      <c r="M46" s="37" t="str">
        <f>IF(B46="","",IF(OR(F46&gt;0,G46&gt;0),"Needs Review","No listed match"))</f>
        <v/>
      </c>
      <c r="N46" s="37"/>
    </row>
    <row r="47" spans="1:14">
      <c r="A47" s="37" t="str">
        <f>IF('Tuan-Formula_BOM'!$C40="","",'Tuan-Formula_BOM'!$A40)</f>
        <v/>
      </c>
      <c r="B47" s="37" t="str">
        <f>IF('Tuan-Formula_BOM'!$C40="","",'Tuan-Formula_BOM'!$C40)</f>
        <v/>
      </c>
      <c r="C47" s="38" t="str">
        <f>IF('Tuan-Formula_BOM'!$C40="","",'Tuan-Formula_BOM'!$F40)</f>
        <v/>
      </c>
      <c r="D47" s="37" t="str">
        <f>IF('Tuan-Formula_BOM'!$C40="","",'Tuan-Formula_BOM'!$D40)</f>
        <v/>
      </c>
      <c r="E47" s="37" t="str">
        <f>IF('Tuan-Formula_BOM'!$C40="","",'Tuan-Formula_BOM'!$E40)</f>
        <v/>
      </c>
      <c r="F47" s="37" t="str">
        <f>IF(B47="","",COUNTIF('ChiChu-Prohibited_Ingred'!$A:$A,"*"&amp;B47&amp;"*"))</f>
        <v/>
      </c>
      <c r="G47" s="37" t="str">
        <f>IF(B47="","",COUNTIF('ChiChu-PB_Caution_Limits'!$A:$A,"*"&amp;B47&amp;"*"))</f>
        <v/>
      </c>
      <c r="H47" s="37"/>
      <c r="I47" s="37"/>
      <c r="J47" s="37"/>
      <c r="K47" s="37"/>
      <c r="L47" s="37"/>
      <c r="M47" s="37" t="str">
        <f>IF(B47="","",IF(OR(F47&gt;0,G47&gt;0),"Needs Review","No listed match"))</f>
        <v/>
      </c>
      <c r="N47" s="37"/>
    </row>
    <row r="48" spans="1:14">
      <c r="A48" s="37" t="str">
        <f>IF('Tuan-Formula_BOM'!$C41="","",'Tuan-Formula_BOM'!$A41)</f>
        <v/>
      </c>
      <c r="B48" s="37" t="str">
        <f>IF('Tuan-Formula_BOM'!$C41="","",'Tuan-Formula_BOM'!$C41)</f>
        <v/>
      </c>
      <c r="C48" s="38" t="str">
        <f>IF('Tuan-Formula_BOM'!$C41="","",'Tuan-Formula_BOM'!$F41)</f>
        <v/>
      </c>
      <c r="D48" s="37" t="str">
        <f>IF('Tuan-Formula_BOM'!$C41="","",'Tuan-Formula_BOM'!$D41)</f>
        <v/>
      </c>
      <c r="E48" s="37" t="str">
        <f>IF('Tuan-Formula_BOM'!$C41="","",'Tuan-Formula_BOM'!$E41)</f>
        <v/>
      </c>
      <c r="F48" s="37" t="str">
        <f>IF(B48="","",COUNTIF('ChiChu-Prohibited_Ingred'!$A:$A,"*"&amp;B48&amp;"*"))</f>
        <v/>
      </c>
      <c r="G48" s="37" t="str">
        <f>IF(B48="","",COUNTIF('ChiChu-PB_Caution_Limits'!$A:$A,"*"&amp;B48&amp;"*"))</f>
        <v/>
      </c>
      <c r="H48" s="37"/>
      <c r="I48" s="37"/>
      <c r="J48" s="37"/>
      <c r="K48" s="37"/>
      <c r="L48" s="37"/>
      <c r="M48" s="37" t="str">
        <f>IF(B48="","",IF(OR(F48&gt;0,G48&gt;0),"Needs Review","No listed match"))</f>
        <v/>
      </c>
      <c r="N48" s="37"/>
    </row>
    <row r="49" spans="1:14">
      <c r="A49" s="37" t="str">
        <f>IF('Tuan-Formula_BOM'!$C42="","",'Tuan-Formula_BOM'!$A42)</f>
        <v/>
      </c>
      <c r="B49" s="37" t="str">
        <f>IF('Tuan-Formula_BOM'!$C42="","",'Tuan-Formula_BOM'!$C42)</f>
        <v/>
      </c>
      <c r="C49" s="38" t="str">
        <f>IF('Tuan-Formula_BOM'!$C42="","",'Tuan-Formula_BOM'!$F42)</f>
        <v/>
      </c>
      <c r="D49" s="37" t="str">
        <f>IF('Tuan-Formula_BOM'!$C42="","",'Tuan-Formula_BOM'!$D42)</f>
        <v/>
      </c>
      <c r="E49" s="37" t="str">
        <f>IF('Tuan-Formula_BOM'!$C42="","",'Tuan-Formula_BOM'!$E42)</f>
        <v/>
      </c>
      <c r="F49" s="37" t="str">
        <f>IF(B49="","",COUNTIF('ChiChu-Prohibited_Ingred'!$A:$A,"*"&amp;B49&amp;"*"))</f>
        <v/>
      </c>
      <c r="G49" s="37" t="str">
        <f>IF(B49="","",COUNTIF('ChiChu-PB_Caution_Limits'!$A:$A,"*"&amp;B49&amp;"*"))</f>
        <v/>
      </c>
      <c r="H49" s="37"/>
      <c r="I49" s="37"/>
      <c r="J49" s="37"/>
      <c r="K49" s="37"/>
      <c r="L49" s="37"/>
      <c r="M49" s="37" t="str">
        <f>IF(B49="","",IF(OR(F49&gt;0,G49&gt;0),"Needs Review","No listed match"))</f>
        <v/>
      </c>
      <c r="N49" s="37"/>
    </row>
    <row r="50" spans="1:14">
      <c r="A50" s="37" t="str">
        <f>IF('Tuan-Formula_BOM'!$C43="","",'Tuan-Formula_BOM'!$A43)</f>
        <v/>
      </c>
      <c r="B50" s="37" t="str">
        <f>IF('Tuan-Formula_BOM'!$C43="","",'Tuan-Formula_BOM'!$C43)</f>
        <v/>
      </c>
      <c r="C50" s="38" t="str">
        <f>IF('Tuan-Formula_BOM'!$C43="","",'Tuan-Formula_BOM'!$F43)</f>
        <v/>
      </c>
      <c r="D50" s="37" t="str">
        <f>IF('Tuan-Formula_BOM'!$C43="","",'Tuan-Formula_BOM'!$D43)</f>
        <v/>
      </c>
      <c r="E50" s="37" t="str">
        <f>IF('Tuan-Formula_BOM'!$C43="","",'Tuan-Formula_BOM'!$E43)</f>
        <v/>
      </c>
      <c r="F50" s="37" t="str">
        <f>IF(B50="","",COUNTIF('ChiChu-Prohibited_Ingred'!$A:$A,"*"&amp;B50&amp;"*"))</f>
        <v/>
      </c>
      <c r="G50" s="37" t="str">
        <f>IF(B50="","",COUNTIF('ChiChu-PB_Caution_Limits'!$A:$A,"*"&amp;B50&amp;"*"))</f>
        <v/>
      </c>
      <c r="H50" s="37"/>
      <c r="I50" s="37"/>
      <c r="J50" s="37"/>
      <c r="K50" s="37"/>
      <c r="L50" s="37"/>
      <c r="M50" s="37" t="str">
        <f>IF(B50="","",IF(OR(F50&gt;0,G50&gt;0),"Needs Review","No listed match"))</f>
        <v/>
      </c>
      <c r="N50" s="37"/>
    </row>
    <row r="51" spans="1:14">
      <c r="A51" s="37" t="str">
        <f>IF('Tuan-Formula_BOM'!$C44="","",'Tuan-Formula_BOM'!$A44)</f>
        <v/>
      </c>
      <c r="B51" s="37" t="str">
        <f>IF('Tuan-Formula_BOM'!$C44="","",'Tuan-Formula_BOM'!$C44)</f>
        <v/>
      </c>
      <c r="C51" s="38" t="str">
        <f>IF('Tuan-Formula_BOM'!$C44="","",'Tuan-Formula_BOM'!$F44)</f>
        <v/>
      </c>
      <c r="D51" s="37" t="str">
        <f>IF('Tuan-Formula_BOM'!$C44="","",'Tuan-Formula_BOM'!$D44)</f>
        <v/>
      </c>
      <c r="E51" s="37" t="str">
        <f>IF('Tuan-Formula_BOM'!$C44="","",'Tuan-Formula_BOM'!$E44)</f>
        <v/>
      </c>
      <c r="F51" s="37" t="str">
        <f>IF(B51="","",COUNTIF('ChiChu-Prohibited_Ingred'!$A:$A,"*"&amp;B51&amp;"*"))</f>
        <v/>
      </c>
      <c r="G51" s="37" t="str">
        <f>IF(B51="","",COUNTIF('ChiChu-PB_Caution_Limits'!$A:$A,"*"&amp;B51&amp;"*"))</f>
        <v/>
      </c>
      <c r="H51" s="37"/>
      <c r="I51" s="37"/>
      <c r="J51" s="37"/>
      <c r="K51" s="37"/>
      <c r="L51" s="37"/>
      <c r="M51" s="37" t="str">
        <f>IF(B51="","",IF(OR(F51&gt;0,G51&gt;0),"Needs Review","No listed match"))</f>
        <v/>
      </c>
      <c r="N51" s="37"/>
    </row>
    <row r="52" spans="1:14">
      <c r="A52" s="37" t="str">
        <f>IF('Tuan-Formula_BOM'!$C45="","",'Tuan-Formula_BOM'!$A45)</f>
        <v/>
      </c>
      <c r="B52" s="37" t="str">
        <f>IF('Tuan-Formula_BOM'!$C45="","",'Tuan-Formula_BOM'!$C45)</f>
        <v/>
      </c>
      <c r="C52" s="38" t="str">
        <f>IF('Tuan-Formula_BOM'!$C45="","",'Tuan-Formula_BOM'!$F45)</f>
        <v/>
      </c>
      <c r="D52" s="37" t="str">
        <f>IF('Tuan-Formula_BOM'!$C45="","",'Tuan-Formula_BOM'!$D45)</f>
        <v/>
      </c>
      <c r="E52" s="37" t="str">
        <f>IF('Tuan-Formula_BOM'!$C45="","",'Tuan-Formula_BOM'!$E45)</f>
        <v/>
      </c>
      <c r="F52" s="37" t="str">
        <f>IF(B52="","",COUNTIF('ChiChu-Prohibited_Ingred'!$A:$A,"*"&amp;B52&amp;"*"))</f>
        <v/>
      </c>
      <c r="G52" s="37" t="str">
        <f>IF(B52="","",COUNTIF('ChiChu-PB_Caution_Limits'!$A:$A,"*"&amp;B52&amp;"*"))</f>
        <v/>
      </c>
      <c r="H52" s="37"/>
      <c r="I52" s="37"/>
      <c r="J52" s="37"/>
      <c r="K52" s="37"/>
      <c r="L52" s="37"/>
      <c r="M52" s="37" t="str">
        <f>IF(B52="","",IF(OR(F52&gt;0,G52&gt;0),"Needs Review","No listed match"))</f>
        <v/>
      </c>
      <c r="N52" s="37"/>
    </row>
    <row r="53" spans="1:14">
      <c r="A53" s="37" t="str">
        <f>IF('Tuan-Formula_BOM'!$C46="","",'Tuan-Formula_BOM'!$A46)</f>
        <v/>
      </c>
      <c r="B53" s="37" t="str">
        <f>IF('Tuan-Formula_BOM'!$C46="","",'Tuan-Formula_BOM'!$C46)</f>
        <v/>
      </c>
      <c r="C53" s="38" t="str">
        <f>IF('Tuan-Formula_BOM'!$C46="","",'Tuan-Formula_BOM'!$F46)</f>
        <v/>
      </c>
      <c r="D53" s="37" t="str">
        <f>IF('Tuan-Formula_BOM'!$C46="","",'Tuan-Formula_BOM'!$D46)</f>
        <v/>
      </c>
      <c r="E53" s="37" t="str">
        <f>IF('Tuan-Formula_BOM'!$C46="","",'Tuan-Formula_BOM'!$E46)</f>
        <v/>
      </c>
      <c r="F53" s="37" t="str">
        <f>IF(B53="","",COUNTIF('ChiChu-Prohibited_Ingred'!$A:$A,"*"&amp;B53&amp;"*"))</f>
        <v/>
      </c>
      <c r="G53" s="37" t="str">
        <f>IF(B53="","",COUNTIF('ChiChu-PB_Caution_Limits'!$A:$A,"*"&amp;B53&amp;"*"))</f>
        <v/>
      </c>
      <c r="H53" s="37"/>
      <c r="I53" s="37"/>
      <c r="J53" s="37"/>
      <c r="K53" s="37"/>
      <c r="L53" s="37"/>
      <c r="M53" s="37" t="str">
        <f>IF(B53="","",IF(OR(F53&gt;0,G53&gt;0),"Needs Review","No listed match"))</f>
        <v/>
      </c>
      <c r="N53" s="37"/>
    </row>
    <row r="54" spans="1:14">
      <c r="A54" s="37" t="str">
        <f>IF('Tuan-Formula_BOM'!$C47="","",'Tuan-Formula_BOM'!$A47)</f>
        <v/>
      </c>
      <c r="B54" s="37" t="str">
        <f>IF('Tuan-Formula_BOM'!$C47="","",'Tuan-Formula_BOM'!$C47)</f>
        <v/>
      </c>
      <c r="C54" s="38" t="str">
        <f>IF('Tuan-Formula_BOM'!$C47="","",'Tuan-Formula_BOM'!$F47)</f>
        <v/>
      </c>
      <c r="D54" s="37" t="str">
        <f>IF('Tuan-Formula_BOM'!$C47="","",'Tuan-Formula_BOM'!$D47)</f>
        <v/>
      </c>
      <c r="E54" s="37" t="str">
        <f>IF('Tuan-Formula_BOM'!$C47="","",'Tuan-Formula_BOM'!$E47)</f>
        <v/>
      </c>
      <c r="F54" s="37" t="str">
        <f>IF(B54="","",COUNTIF('ChiChu-Prohibited_Ingred'!$A:$A,"*"&amp;B54&amp;"*"))</f>
        <v/>
      </c>
      <c r="G54" s="37" t="str">
        <f>IF(B54="","",COUNTIF('ChiChu-PB_Caution_Limits'!$A:$A,"*"&amp;B54&amp;"*"))</f>
        <v/>
      </c>
      <c r="H54" s="37"/>
      <c r="I54" s="37"/>
      <c r="J54" s="37"/>
      <c r="K54" s="37"/>
      <c r="L54" s="37"/>
      <c r="M54" s="37" t="str">
        <f>IF(B54="","",IF(OR(F54&gt;0,G54&gt;0),"Needs Review","No listed match"))</f>
        <v/>
      </c>
      <c r="N54" s="37"/>
    </row>
    <row r="55" spans="1:14">
      <c r="A55" s="37" t="str">
        <f>IF('Tuan-Formula_BOM'!$C48="","",'Tuan-Formula_BOM'!$A48)</f>
        <v/>
      </c>
      <c r="B55" s="37" t="str">
        <f>IF('Tuan-Formula_BOM'!$C48="","",'Tuan-Formula_BOM'!$C48)</f>
        <v/>
      </c>
      <c r="C55" s="38" t="str">
        <f>IF('Tuan-Formula_BOM'!$C48="","",'Tuan-Formula_BOM'!$F48)</f>
        <v/>
      </c>
      <c r="D55" s="37" t="str">
        <f>IF('Tuan-Formula_BOM'!$C48="","",'Tuan-Formula_BOM'!$D48)</f>
        <v/>
      </c>
      <c r="E55" s="37" t="str">
        <f>IF('Tuan-Formula_BOM'!$C48="","",'Tuan-Formula_BOM'!$E48)</f>
        <v/>
      </c>
      <c r="F55" s="37" t="str">
        <f>IF(B55="","",COUNTIF('ChiChu-Prohibited_Ingred'!$A:$A,"*"&amp;B55&amp;"*"))</f>
        <v/>
      </c>
      <c r="G55" s="37" t="str">
        <f>IF(B55="","",COUNTIF('ChiChu-PB_Caution_Limits'!$A:$A,"*"&amp;B55&amp;"*"))</f>
        <v/>
      </c>
      <c r="H55" s="37"/>
      <c r="I55" s="37"/>
      <c r="J55" s="37"/>
      <c r="K55" s="37"/>
      <c r="L55" s="37"/>
      <c r="M55" s="37" t="str">
        <f>IF(B55="","",IF(OR(F55&gt;0,G55&gt;0),"Needs Review","No listed match"))</f>
        <v/>
      </c>
      <c r="N55" s="37"/>
    </row>
    <row r="56" spans="1:14">
      <c r="A56" s="37" t="str">
        <f>IF('Tuan-Formula_BOM'!$C49="","",'Tuan-Formula_BOM'!$A49)</f>
        <v/>
      </c>
      <c r="B56" s="37" t="str">
        <f>IF('Tuan-Formula_BOM'!$C49="","",'Tuan-Formula_BOM'!$C49)</f>
        <v/>
      </c>
      <c r="C56" s="38" t="str">
        <f>IF('Tuan-Formula_BOM'!$C49="","",'Tuan-Formula_BOM'!$F49)</f>
        <v/>
      </c>
      <c r="D56" s="37" t="str">
        <f>IF('Tuan-Formula_BOM'!$C49="","",'Tuan-Formula_BOM'!$D49)</f>
        <v/>
      </c>
      <c r="E56" s="37" t="str">
        <f>IF('Tuan-Formula_BOM'!$C49="","",'Tuan-Formula_BOM'!$E49)</f>
        <v/>
      </c>
      <c r="F56" s="37" t="str">
        <f>IF(B56="","",COUNTIF('ChiChu-Prohibited_Ingred'!$A:$A,"*"&amp;B56&amp;"*"))</f>
        <v/>
      </c>
      <c r="G56" s="37" t="str">
        <f>IF(B56="","",COUNTIF('ChiChu-PB_Caution_Limits'!$A:$A,"*"&amp;B56&amp;"*"))</f>
        <v/>
      </c>
      <c r="H56" s="37"/>
      <c r="I56" s="37"/>
      <c r="J56" s="37"/>
      <c r="K56" s="37"/>
      <c r="L56" s="37"/>
      <c r="M56" s="37" t="str">
        <f>IF(B56="","",IF(OR(F56&gt;0,G56&gt;0),"Needs Review","No listed match"))</f>
        <v/>
      </c>
      <c r="N56" s="37"/>
    </row>
    <row r="57" spans="1:14">
      <c r="A57" s="37" t="str">
        <f>IF('Tuan-Formula_BOM'!$C50="","",'Tuan-Formula_BOM'!$A50)</f>
        <v/>
      </c>
      <c r="B57" s="37" t="str">
        <f>IF('Tuan-Formula_BOM'!$C50="","",'Tuan-Formula_BOM'!$C50)</f>
        <v/>
      </c>
      <c r="C57" s="38" t="str">
        <f>IF('Tuan-Formula_BOM'!$C50="","",'Tuan-Formula_BOM'!$F50)</f>
        <v/>
      </c>
      <c r="D57" s="37" t="str">
        <f>IF('Tuan-Formula_BOM'!$C50="","",'Tuan-Formula_BOM'!$D50)</f>
        <v/>
      </c>
      <c r="E57" s="37" t="str">
        <f>IF('Tuan-Formula_BOM'!$C50="","",'Tuan-Formula_BOM'!$E50)</f>
        <v/>
      </c>
      <c r="F57" s="37" t="str">
        <f>IF(B57="","",COUNTIF('ChiChu-Prohibited_Ingred'!$A:$A,"*"&amp;B57&amp;"*"))</f>
        <v/>
      </c>
      <c r="G57" s="37" t="str">
        <f>IF(B57="","",COUNTIF('ChiChu-PB_Caution_Limits'!$A:$A,"*"&amp;B57&amp;"*"))</f>
        <v/>
      </c>
      <c r="H57" s="37"/>
      <c r="I57" s="37"/>
      <c r="J57" s="37"/>
      <c r="K57" s="37"/>
      <c r="L57" s="37"/>
      <c r="M57" s="37" t="str">
        <f>IF(B57="","",IF(OR(F57&gt;0,G57&gt;0),"Needs Review","No listed match"))</f>
        <v/>
      </c>
      <c r="N57" s="37"/>
    </row>
    <row r="58" spans="1:14">
      <c r="A58" s="37" t="str">
        <f>IF('Tuan-Formula_BOM'!$C51="","",'Tuan-Formula_BOM'!$A51)</f>
        <v/>
      </c>
      <c r="B58" s="37" t="str">
        <f>IF('Tuan-Formula_BOM'!$C51="","",'Tuan-Formula_BOM'!$C51)</f>
        <v/>
      </c>
      <c r="C58" s="38" t="str">
        <f>IF('Tuan-Formula_BOM'!$C51="","",'Tuan-Formula_BOM'!$F51)</f>
        <v/>
      </c>
      <c r="D58" s="37" t="str">
        <f>IF('Tuan-Formula_BOM'!$C51="","",'Tuan-Formula_BOM'!$D51)</f>
        <v/>
      </c>
      <c r="E58" s="37" t="str">
        <f>IF('Tuan-Formula_BOM'!$C51="","",'Tuan-Formula_BOM'!$E51)</f>
        <v/>
      </c>
      <c r="F58" s="37" t="str">
        <f>IF(B58="","",COUNTIF('ChiChu-Prohibited_Ingred'!$A:$A,"*"&amp;B58&amp;"*"))</f>
        <v/>
      </c>
      <c r="G58" s="37" t="str">
        <f>IF(B58="","",COUNTIF('ChiChu-PB_Caution_Limits'!$A:$A,"*"&amp;B58&amp;"*"))</f>
        <v/>
      </c>
      <c r="H58" s="37"/>
      <c r="I58" s="37"/>
      <c r="J58" s="37"/>
      <c r="K58" s="37"/>
      <c r="L58" s="37"/>
      <c r="M58" s="37" t="str">
        <f>IF(B58="","",IF(OR(F58&gt;0,G58&gt;0),"Needs Review","No listed match"))</f>
        <v/>
      </c>
      <c r="N58" s="37"/>
    </row>
    <row r="59" spans="1:14">
      <c r="A59" s="37" t="str">
        <f>IF('Tuan-Formula_BOM'!$C52="","",'Tuan-Formula_BOM'!$A52)</f>
        <v/>
      </c>
      <c r="B59" s="37" t="str">
        <f>IF('Tuan-Formula_BOM'!$C52="","",'Tuan-Formula_BOM'!$C52)</f>
        <v/>
      </c>
      <c r="C59" s="38" t="str">
        <f>IF('Tuan-Formula_BOM'!$C52="","",'Tuan-Formula_BOM'!$F52)</f>
        <v/>
      </c>
      <c r="D59" s="37" t="str">
        <f>IF('Tuan-Formula_BOM'!$C52="","",'Tuan-Formula_BOM'!$D52)</f>
        <v/>
      </c>
      <c r="E59" s="37" t="str">
        <f>IF('Tuan-Formula_BOM'!$C52="","",'Tuan-Formula_BOM'!$E52)</f>
        <v/>
      </c>
      <c r="F59" s="37" t="str">
        <f>IF(B59="","",COUNTIF('ChiChu-Prohibited_Ingred'!$A:$A,"*"&amp;B59&amp;"*"))</f>
        <v/>
      </c>
      <c r="G59" s="37" t="str">
        <f>IF(B59="","",COUNTIF('ChiChu-PB_Caution_Limits'!$A:$A,"*"&amp;B59&amp;"*"))</f>
        <v/>
      </c>
      <c r="H59" s="37"/>
      <c r="I59" s="37"/>
      <c r="J59" s="37"/>
      <c r="K59" s="37"/>
      <c r="L59" s="37"/>
      <c r="M59" s="37" t="str">
        <f>IF(B59="","",IF(OR(F59&gt;0,G59&gt;0),"Needs Review","No listed match"))</f>
        <v/>
      </c>
      <c r="N59" s="37"/>
    </row>
    <row r="60" spans="1:14">
      <c r="A60" s="37" t="str">
        <f>IF('Tuan-Formula_BOM'!$C53="","",'Tuan-Formula_BOM'!$A53)</f>
        <v/>
      </c>
      <c r="B60" s="37" t="str">
        <f>IF('Tuan-Formula_BOM'!$C53="","",'Tuan-Formula_BOM'!$C53)</f>
        <v/>
      </c>
      <c r="C60" s="38" t="str">
        <f>IF('Tuan-Formula_BOM'!$C53="","",'Tuan-Formula_BOM'!$F53)</f>
        <v/>
      </c>
      <c r="D60" s="37" t="str">
        <f>IF('Tuan-Formula_BOM'!$C53="","",'Tuan-Formula_BOM'!$D53)</f>
        <v/>
      </c>
      <c r="E60" s="37" t="str">
        <f>IF('Tuan-Formula_BOM'!$C53="","",'Tuan-Formula_BOM'!$E53)</f>
        <v/>
      </c>
      <c r="F60" s="37" t="str">
        <f>IF(B60="","",COUNTIF('ChiChu-Prohibited_Ingred'!$A:$A,"*"&amp;B60&amp;"*"))</f>
        <v/>
      </c>
      <c r="G60" s="37" t="str">
        <f>IF(B60="","",COUNTIF('ChiChu-PB_Caution_Limits'!$A:$A,"*"&amp;B60&amp;"*"))</f>
        <v/>
      </c>
      <c r="H60" s="37"/>
      <c r="I60" s="37"/>
      <c r="J60" s="37"/>
      <c r="K60" s="37"/>
      <c r="L60" s="37"/>
      <c r="M60" s="37" t="str">
        <f>IF(B60="","",IF(OR(F60&gt;0,G60&gt;0),"Needs Review","No listed match"))</f>
        <v/>
      </c>
      <c r="N60" s="37"/>
    </row>
    <row r="61" spans="1:14">
      <c r="A61" s="37" t="str">
        <f>IF('Tuan-Formula_BOM'!$C54="","",'Tuan-Formula_BOM'!$A54)</f>
        <v/>
      </c>
      <c r="B61" s="37" t="str">
        <f>IF('Tuan-Formula_BOM'!$C54="","",'Tuan-Formula_BOM'!$C54)</f>
        <v/>
      </c>
      <c r="C61" s="37" t="str">
        <f>IF('Tuan-Formula_BOM'!$C54="","",'Tuan-Formula_BOM'!$F54)</f>
        <v/>
      </c>
      <c r="D61" s="37" t="str">
        <f>IF('Tuan-Formula_BOM'!$C54="","",'Tuan-Formula_BOM'!$D54)</f>
        <v/>
      </c>
      <c r="E61" s="37" t="str">
        <f>IF('Tuan-Formula_BOM'!$C54="","",'Tuan-Formula_BOM'!$E54)</f>
        <v/>
      </c>
      <c r="F61" s="37" t="str">
        <f>IF(B61="","",COUNTIF('ChiChu-Prohibited_Ingred'!$A:$A,"*"&amp;B61&amp;"*"))</f>
        <v/>
      </c>
      <c r="G61" s="37" t="str">
        <f>IF(B61="","",COUNTIF('ChiChu-PB_Caution_Limits'!$A:$A,"*"&amp;B61&amp;"*"))</f>
        <v/>
      </c>
      <c r="H61" s="37"/>
      <c r="I61" s="37"/>
      <c r="J61" s="37"/>
      <c r="K61" s="37"/>
      <c r="L61" s="37"/>
      <c r="M61" s="37" t="str">
        <f>IF(B61="","",IF(OR(F61&gt;0,G61&gt;0),"Needs Review","No listed match"))</f>
        <v/>
      </c>
      <c r="N61" s="37"/>
    </row>
    <row r="62" spans="1:14">
      <c r="A62" s="37" t="str">
        <f>IF('Tuan-Formula_BOM'!$C55="","",'Tuan-Formula_BOM'!$A55)</f>
        <v/>
      </c>
      <c r="B62" s="37" t="str">
        <f>IF('Tuan-Formula_BOM'!$C55="","",'Tuan-Formula_BOM'!$C55)</f>
        <v/>
      </c>
      <c r="C62" s="37" t="str">
        <f>IF('Tuan-Formula_BOM'!$C55="","",'Tuan-Formula_BOM'!$F55)</f>
        <v/>
      </c>
      <c r="D62" s="37" t="str">
        <f>IF('Tuan-Formula_BOM'!$C55="","",'Tuan-Formula_BOM'!$D55)</f>
        <v/>
      </c>
      <c r="E62" s="37" t="str">
        <f>IF('Tuan-Formula_BOM'!$C55="","",'Tuan-Formula_BOM'!$E55)</f>
        <v/>
      </c>
      <c r="F62" s="37" t="str">
        <f>IF(B62="","",COUNTIF('ChiChu-Prohibited_Ingred'!$A:$A,"*"&amp;B62&amp;"*"))</f>
        <v/>
      </c>
      <c r="G62" s="37" t="str">
        <f>IF(B62="","",COUNTIF('ChiChu-PB_Caution_Limits'!$A:$A,"*"&amp;B62&amp;"*"))</f>
        <v/>
      </c>
      <c r="H62" s="37"/>
      <c r="I62" s="37"/>
      <c r="J62" s="37"/>
      <c r="K62" s="37"/>
      <c r="L62" s="37"/>
      <c r="M62" s="37" t="str">
        <f>IF(B62="","",IF(OR(F62&gt;0,G62&gt;0),"Needs Review","No listed match"))</f>
        <v/>
      </c>
      <c r="N62" s="37"/>
    </row>
    <row r="63" spans="1:14">
      <c r="A63" s="37" t="str">
        <f>IF('Tuan-Formula_BOM'!$C56="","",'Tuan-Formula_BOM'!$A56)</f>
        <v/>
      </c>
      <c r="B63" s="37" t="str">
        <f>IF('Tuan-Formula_BOM'!$C56="","",'Tuan-Formula_BOM'!$C56)</f>
        <v/>
      </c>
      <c r="C63" s="37" t="str">
        <f>IF('Tuan-Formula_BOM'!$C56="","",'Tuan-Formula_BOM'!$F56)</f>
        <v/>
      </c>
      <c r="D63" s="37" t="str">
        <f>IF('Tuan-Formula_BOM'!$C56="","",'Tuan-Formula_BOM'!$D56)</f>
        <v/>
      </c>
      <c r="E63" s="37" t="str">
        <f>IF('Tuan-Formula_BOM'!$C56="","",'Tuan-Formula_BOM'!$E56)</f>
        <v/>
      </c>
      <c r="F63" s="37" t="str">
        <f>IF(B63="","",COUNTIF('ChiChu-Prohibited_Ingred'!$A:$A,"*"&amp;B63&amp;"*"))</f>
        <v/>
      </c>
      <c r="G63" s="37" t="str">
        <f>IF(B63="","",COUNTIF('ChiChu-PB_Caution_Limits'!$A:$A,"*"&amp;B63&amp;"*"))</f>
        <v/>
      </c>
      <c r="H63" s="37"/>
      <c r="I63" s="37"/>
      <c r="J63" s="37"/>
      <c r="K63" s="37"/>
      <c r="L63" s="37"/>
      <c r="M63" s="37" t="str">
        <f>IF(B63="","",IF(OR(F63&gt;0,G63&gt;0),"Needs Review","No listed match"))</f>
        <v/>
      </c>
      <c r="N63" s="37"/>
    </row>
    <row r="64" spans="1:14">
      <c r="A64" s="37" t="str">
        <f>IF('Tuan-Formula_BOM'!$C57="","",'Tuan-Formula_BOM'!$A57)</f>
        <v/>
      </c>
      <c r="B64" s="37" t="str">
        <f>IF('Tuan-Formula_BOM'!$C57="","",'Tuan-Formula_BOM'!$C57)</f>
        <v/>
      </c>
      <c r="C64" s="37" t="str">
        <f>IF('Tuan-Formula_BOM'!$C57="","",'Tuan-Formula_BOM'!$F57)</f>
        <v/>
      </c>
      <c r="D64" s="37" t="str">
        <f>IF('Tuan-Formula_BOM'!$C57="","",'Tuan-Formula_BOM'!$D57)</f>
        <v/>
      </c>
      <c r="E64" s="37" t="str">
        <f>IF('Tuan-Formula_BOM'!$C57="","",'Tuan-Formula_BOM'!$E57)</f>
        <v/>
      </c>
      <c r="F64" s="37" t="str">
        <f>IF(B64="","",COUNTIF('ChiChu-Prohibited_Ingred'!$A:$A,"*"&amp;B64&amp;"*"))</f>
        <v/>
      </c>
      <c r="G64" s="37" t="str">
        <f>IF(B64="","",COUNTIF('ChiChu-PB_Caution_Limits'!$A:$A,"*"&amp;B64&amp;"*"))</f>
        <v/>
      </c>
      <c r="H64" s="37"/>
      <c r="I64" s="37"/>
      <c r="J64" s="37"/>
      <c r="K64" s="37"/>
      <c r="L64" s="37"/>
      <c r="M64" s="37" t="str">
        <f>IF(B64="","",IF(OR(F64&gt;0,G64&gt;0),"Needs Review","No listed match"))</f>
        <v/>
      </c>
      <c r="N64" s="37"/>
    </row>
    <row r="65" spans="1:14">
      <c r="A65" s="46"/>
      <c r="B65" s="46"/>
      <c r="C65" s="46"/>
      <c r="D65" s="46"/>
      <c r="E65" s="46"/>
      <c r="F65" s="46"/>
      <c r="G65" s="46"/>
      <c r="H65" s="46"/>
      <c r="I65" s="46"/>
      <c r="J65" s="46"/>
      <c r="K65" s="46"/>
      <c r="L65" s="46"/>
      <c r="M65" s="46"/>
      <c r="N65" s="46"/>
    </row>
    <row r="66" spans="1:14" ht="21.95" customHeight="1">
      <c r="A66" s="57" t="s">
        <v>2081</v>
      </c>
      <c r="B66" s="57"/>
      <c r="C66" s="57"/>
      <c r="D66" s="57"/>
      <c r="E66" s="57"/>
      <c r="F66" s="57"/>
      <c r="G66" s="57"/>
      <c r="H66" s="57"/>
      <c r="I66" s="57"/>
      <c r="J66" s="57"/>
      <c r="K66" s="57"/>
      <c r="L66" s="57"/>
      <c r="M66" s="57"/>
      <c r="N66" s="57"/>
    </row>
    <row r="67" spans="1:14" ht="33.950000000000003" customHeight="1">
      <c r="A67" s="36" t="s">
        <v>2082</v>
      </c>
      <c r="B67" s="36" t="s">
        <v>2083</v>
      </c>
      <c r="C67" s="36" t="s">
        <v>2084</v>
      </c>
      <c r="D67" s="36" t="s">
        <v>578</v>
      </c>
      <c r="E67" s="36" t="s">
        <v>145</v>
      </c>
      <c r="F67" s="36" t="s">
        <v>144</v>
      </c>
      <c r="G67" s="36" t="s">
        <v>2085</v>
      </c>
      <c r="H67" s="36" t="s">
        <v>70</v>
      </c>
      <c r="I67" s="36"/>
      <c r="J67" s="36"/>
      <c r="K67" s="36"/>
      <c r="L67" s="36"/>
      <c r="M67" s="36"/>
      <c r="N67" s="36"/>
    </row>
    <row r="68" spans="1:14">
      <c r="A68" s="37" t="s">
        <v>2086</v>
      </c>
      <c r="B68" s="37" t="s">
        <v>2087</v>
      </c>
      <c r="C68" s="37" t="s">
        <v>2088</v>
      </c>
      <c r="D68" s="37"/>
      <c r="E68" s="37" t="s">
        <v>152</v>
      </c>
      <c r="F68" s="37" t="s">
        <v>186</v>
      </c>
      <c r="G68" s="42"/>
      <c r="H68" s="37"/>
      <c r="I68" s="37"/>
      <c r="J68" s="37"/>
      <c r="K68" s="37"/>
      <c r="L68" s="37"/>
      <c r="M68" s="37"/>
      <c r="N68" s="37"/>
    </row>
    <row r="69" spans="1:14">
      <c r="A69" s="37" t="s">
        <v>2089</v>
      </c>
      <c r="B69" s="37" t="s">
        <v>2090</v>
      </c>
      <c r="C69" s="37" t="s">
        <v>2091</v>
      </c>
      <c r="D69" s="37"/>
      <c r="E69" s="37" t="s">
        <v>152</v>
      </c>
      <c r="F69" s="37" t="s">
        <v>180</v>
      </c>
      <c r="G69" s="42"/>
      <c r="H69" s="37"/>
      <c r="I69" s="37"/>
      <c r="J69" s="37"/>
      <c r="K69" s="37"/>
      <c r="L69" s="37"/>
      <c r="M69" s="37"/>
      <c r="N69" s="37"/>
    </row>
    <row r="70" spans="1:14">
      <c r="A70" s="37" t="s">
        <v>2092</v>
      </c>
      <c r="B70" s="37" t="s">
        <v>2093</v>
      </c>
      <c r="C70" s="37" t="s">
        <v>2094</v>
      </c>
      <c r="D70" s="37"/>
      <c r="E70" s="37" t="s">
        <v>152</v>
      </c>
      <c r="F70" s="37" t="s">
        <v>518</v>
      </c>
      <c r="G70" s="42"/>
      <c r="H70" s="37"/>
      <c r="I70" s="37"/>
      <c r="J70" s="37"/>
      <c r="K70" s="37"/>
      <c r="L70" s="37"/>
      <c r="M70" s="37"/>
      <c r="N70" s="37"/>
    </row>
    <row r="71" spans="1:14">
      <c r="A71" s="37" t="s">
        <v>2095</v>
      </c>
      <c r="B71" s="37" t="s">
        <v>2096</v>
      </c>
      <c r="C71" s="37" t="s">
        <v>2097</v>
      </c>
      <c r="D71" s="37"/>
      <c r="E71" s="37" t="s">
        <v>152</v>
      </c>
      <c r="F71" s="37" t="s">
        <v>180</v>
      </c>
      <c r="G71" s="42"/>
      <c r="H71" s="37"/>
      <c r="I71" s="37"/>
      <c r="J71" s="37"/>
      <c r="K71" s="37"/>
      <c r="L71" s="37"/>
      <c r="M71" s="37"/>
      <c r="N71" s="37"/>
    </row>
    <row r="72" spans="1:14">
      <c r="A72" s="37" t="s">
        <v>2098</v>
      </c>
      <c r="B72" s="37" t="s">
        <v>2099</v>
      </c>
      <c r="C72" s="37" t="s">
        <v>2100</v>
      </c>
      <c r="D72" s="37"/>
      <c r="E72" s="37" t="s">
        <v>152</v>
      </c>
      <c r="F72" s="37" t="s">
        <v>211</v>
      </c>
      <c r="G72" s="42"/>
      <c r="H72" s="37"/>
      <c r="I72" s="37"/>
      <c r="J72" s="37"/>
      <c r="K72" s="37"/>
      <c r="L72" s="37"/>
      <c r="M72" s="37"/>
      <c r="N72" s="37"/>
    </row>
    <row r="73" spans="1:14">
      <c r="A73" s="37" t="s">
        <v>2101</v>
      </c>
      <c r="B73" s="37" t="s">
        <v>2102</v>
      </c>
      <c r="C73" s="37" t="s">
        <v>2103</v>
      </c>
      <c r="D73" s="37"/>
      <c r="E73" s="37" t="s">
        <v>152</v>
      </c>
      <c r="F73" s="37" t="s">
        <v>211</v>
      </c>
      <c r="G73" s="42"/>
      <c r="H73" s="37"/>
      <c r="I73" s="37"/>
      <c r="J73" s="37"/>
      <c r="K73" s="37"/>
      <c r="L73" s="37"/>
      <c r="M73" s="37"/>
      <c r="N73" s="37"/>
    </row>
    <row r="74" spans="1:14">
      <c r="A74" s="37" t="s">
        <v>2104</v>
      </c>
      <c r="B74" s="37" t="s">
        <v>2105</v>
      </c>
      <c r="C74" s="37" t="s">
        <v>2106</v>
      </c>
      <c r="D74" s="37"/>
      <c r="E74" s="37" t="s">
        <v>152</v>
      </c>
      <c r="F74" s="37" t="s">
        <v>2107</v>
      </c>
      <c r="G74" s="42"/>
      <c r="H74" s="37"/>
      <c r="I74" s="37"/>
      <c r="J74" s="37"/>
      <c r="K74" s="37"/>
      <c r="L74" s="37"/>
      <c r="M74" s="37"/>
      <c r="N74" s="37"/>
    </row>
    <row r="75" spans="1:14">
      <c r="A75" s="37" t="s">
        <v>2108</v>
      </c>
      <c r="B75" s="37" t="s">
        <v>2109</v>
      </c>
      <c r="C75" s="37" t="s">
        <v>2110</v>
      </c>
      <c r="D75" s="37"/>
      <c r="E75" s="37" t="s">
        <v>152</v>
      </c>
      <c r="F75" s="37" t="s">
        <v>211</v>
      </c>
      <c r="G75" s="42"/>
      <c r="H75" s="37"/>
      <c r="I75" s="37"/>
      <c r="J75" s="37"/>
      <c r="K75" s="37"/>
      <c r="L75" s="37"/>
      <c r="M75" s="37"/>
      <c r="N75" s="37"/>
    </row>
    <row r="76" spans="1:14">
      <c r="A76" s="37" t="s">
        <v>2111</v>
      </c>
      <c r="B76" s="37" t="s">
        <v>2112</v>
      </c>
      <c r="C76" s="37" t="s">
        <v>2113</v>
      </c>
      <c r="D76" s="37"/>
      <c r="E76" s="37" t="s">
        <v>152</v>
      </c>
      <c r="F76" s="37" t="s">
        <v>176</v>
      </c>
      <c r="G76" s="42"/>
      <c r="H76" s="37"/>
      <c r="I76" s="37"/>
      <c r="J76" s="37"/>
      <c r="K76" s="37"/>
      <c r="L76" s="37"/>
      <c r="M76" s="37"/>
      <c r="N76" s="37"/>
    </row>
    <row r="77" spans="1:14">
      <c r="A77" s="37" t="s">
        <v>2114</v>
      </c>
      <c r="B77" s="37" t="s">
        <v>2115</v>
      </c>
      <c r="C77" s="37" t="s">
        <v>2116</v>
      </c>
      <c r="D77" s="37"/>
      <c r="E77" s="37" t="s">
        <v>152</v>
      </c>
      <c r="F77" s="37" t="s">
        <v>2117</v>
      </c>
      <c r="G77" s="42"/>
      <c r="H77" s="37"/>
      <c r="I77" s="37"/>
      <c r="J77" s="37"/>
      <c r="K77" s="37"/>
      <c r="L77" s="37"/>
      <c r="M77" s="37"/>
      <c r="N77" s="37"/>
    </row>
    <row r="78" spans="1:14">
      <c r="A78" s="46"/>
      <c r="B78" s="46"/>
      <c r="C78" s="46"/>
      <c r="D78" s="46"/>
      <c r="E78" s="46"/>
      <c r="F78" s="46"/>
      <c r="G78" s="46"/>
      <c r="H78" s="46"/>
      <c r="I78" s="46"/>
      <c r="J78" s="46"/>
      <c r="K78" s="46"/>
      <c r="L78" s="46"/>
      <c r="M78" s="46"/>
      <c r="N78" s="46"/>
    </row>
  </sheetData>
  <mergeCells count="1">
    <mergeCell ref="A1:N1"/>
  </mergeCells>
  <dataValidations count="2">
    <dataValidation type="list" allowBlank="1" sqref="E8:E11 E68:E77" xr:uid="{00000000-0002-0000-0E00-000000000000}">
      <formula1>"Not Started,In Progress,Needs Review,Complete,Not Applicable,Blocked"</formula1>
    </dataValidation>
    <dataValidation type="list" allowBlank="1" sqref="M15:M64 G68:G77" xr:uid="{00000000-0002-0000-0E00-000001000000}">
      <formula1>"Not Started,Approved,Conditional,Rejected,Needs Review,Not Applicable"</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2E75B6"/>
  </sheetPr>
  <dimension ref="A1:L121"/>
  <sheetViews>
    <sheetView showGridLines="0" workbookViewId="0"/>
  </sheetViews>
  <sheetFormatPr defaultRowHeight="15"/>
  <cols>
    <col min="1" max="2" width="28" customWidth="1"/>
    <col min="3" max="3" width="32" customWidth="1"/>
    <col min="4" max="5" width="28" customWidth="1"/>
    <col min="6" max="6" width="20" customWidth="1"/>
    <col min="7" max="7" width="30" customWidth="1"/>
    <col min="8" max="8" width="34" customWidth="1"/>
    <col min="9" max="9" width="18" customWidth="1"/>
    <col min="10" max="10" width="34" customWidth="1"/>
    <col min="11" max="11" width="18" customWidth="1"/>
    <col min="12" max="12" width="16" customWidth="1"/>
  </cols>
  <sheetData>
    <row r="1" spans="1:12" s="48" customFormat="1">
      <c r="A1" s="178" t="s">
        <v>2118</v>
      </c>
      <c r="B1" s="178"/>
      <c r="C1" s="178"/>
      <c r="D1" s="178"/>
      <c r="E1" s="178"/>
      <c r="F1" s="178"/>
      <c r="G1" s="178"/>
      <c r="H1" s="178"/>
      <c r="I1" s="178"/>
      <c r="J1" s="178"/>
      <c r="K1" s="178"/>
      <c r="L1" s="178"/>
    </row>
    <row r="2" spans="1:12" ht="24" customHeight="1">
      <c r="A2" s="56" t="s">
        <v>0</v>
      </c>
      <c r="B2" s="56"/>
      <c r="C2" s="56"/>
      <c r="D2" s="56"/>
      <c r="E2" s="56"/>
      <c r="F2" s="56"/>
      <c r="G2" s="56"/>
      <c r="H2" s="56"/>
      <c r="I2" s="56"/>
      <c r="J2" s="56"/>
      <c r="K2" s="48"/>
      <c r="L2" s="48"/>
    </row>
    <row r="3" spans="1:12" ht="30" customHeight="1">
      <c r="A3" s="168" t="s">
        <v>2119</v>
      </c>
      <c r="B3" s="193"/>
      <c r="C3" s="193"/>
      <c r="D3" s="193"/>
      <c r="E3" s="193"/>
      <c r="F3" s="193"/>
      <c r="G3" s="193"/>
      <c r="H3" s="193"/>
      <c r="I3" s="193"/>
      <c r="J3" s="193"/>
      <c r="K3" s="193"/>
      <c r="L3" s="193"/>
    </row>
    <row r="4" spans="1:12" ht="30" customHeight="1">
      <c r="A4" s="167" t="s">
        <v>2120</v>
      </c>
      <c r="B4" s="193"/>
      <c r="C4" s="193"/>
      <c r="D4" s="193"/>
      <c r="E4" s="193"/>
      <c r="F4" s="193"/>
      <c r="G4" s="193"/>
      <c r="H4" s="193"/>
      <c r="I4" s="193"/>
      <c r="J4" s="193"/>
      <c r="K4" s="193"/>
      <c r="L4" s="193"/>
    </row>
    <row r="5" spans="1:12" ht="36" customHeight="1">
      <c r="A5" s="46"/>
      <c r="B5" s="46"/>
      <c r="C5" s="46"/>
      <c r="D5" s="46"/>
      <c r="E5" s="46"/>
      <c r="F5" s="46"/>
      <c r="G5" s="46"/>
      <c r="H5" s="46"/>
      <c r="I5" s="46"/>
      <c r="J5" s="46"/>
      <c r="K5" s="48"/>
      <c r="L5" s="48"/>
    </row>
    <row r="6" spans="1:12" ht="21.95" customHeight="1">
      <c r="A6" s="57" t="s">
        <v>2121</v>
      </c>
      <c r="B6" s="57"/>
      <c r="C6" s="57"/>
      <c r="D6" s="57"/>
      <c r="E6" s="57"/>
      <c r="F6" s="57"/>
      <c r="G6" s="57"/>
      <c r="H6" s="57"/>
      <c r="I6" s="57"/>
      <c r="J6" s="57"/>
      <c r="K6" s="48"/>
      <c r="L6" s="48"/>
    </row>
    <row r="7" spans="1:12" ht="33.950000000000003" customHeight="1">
      <c r="A7" s="36" t="s">
        <v>2122</v>
      </c>
      <c r="B7" s="36" t="s">
        <v>2123</v>
      </c>
      <c r="C7" s="36" t="s">
        <v>1533</v>
      </c>
      <c r="D7" s="36" t="s">
        <v>2124</v>
      </c>
      <c r="E7" s="36" t="s">
        <v>2125</v>
      </c>
      <c r="F7" s="36" t="s">
        <v>2126</v>
      </c>
      <c r="G7" s="36" t="s">
        <v>578</v>
      </c>
      <c r="H7" s="36" t="s">
        <v>2127</v>
      </c>
      <c r="I7" s="36" t="s">
        <v>145</v>
      </c>
      <c r="J7" s="36" t="s">
        <v>70</v>
      </c>
      <c r="K7" s="48"/>
      <c r="L7" s="48"/>
    </row>
    <row r="8" spans="1:12" ht="78" customHeight="1">
      <c r="A8" s="37"/>
      <c r="B8" s="37"/>
      <c r="C8" s="37"/>
      <c r="D8" s="37"/>
      <c r="E8" s="37"/>
      <c r="F8" s="37"/>
      <c r="G8" s="37"/>
      <c r="H8" s="37"/>
      <c r="I8" s="37" t="s">
        <v>152</v>
      </c>
      <c r="J8" s="37"/>
      <c r="K8" s="48"/>
      <c r="L8" s="48"/>
    </row>
    <row r="9" spans="1:12" ht="78" customHeight="1">
      <c r="A9" s="37"/>
      <c r="B9" s="37"/>
      <c r="C9" s="37"/>
      <c r="D9" s="37"/>
      <c r="E9" s="37"/>
      <c r="F9" s="37"/>
      <c r="G9" s="37"/>
      <c r="H9" s="37"/>
      <c r="I9" s="37" t="s">
        <v>152</v>
      </c>
      <c r="J9" s="37"/>
      <c r="K9" s="48"/>
      <c r="L9" s="48"/>
    </row>
    <row r="10" spans="1:12" ht="78" customHeight="1">
      <c r="A10" s="37"/>
      <c r="B10" s="37"/>
      <c r="C10" s="37"/>
      <c r="D10" s="37"/>
      <c r="E10" s="37"/>
      <c r="F10" s="37"/>
      <c r="G10" s="37"/>
      <c r="H10" s="37"/>
      <c r="I10" s="37" t="s">
        <v>152</v>
      </c>
      <c r="J10" s="37"/>
      <c r="K10" s="48"/>
      <c r="L10" s="48"/>
    </row>
    <row r="11" spans="1:12" ht="78" customHeight="1">
      <c r="A11" s="37"/>
      <c r="B11" s="37"/>
      <c r="C11" s="37"/>
      <c r="D11" s="37"/>
      <c r="E11" s="37"/>
      <c r="F11" s="37"/>
      <c r="G11" s="37"/>
      <c r="H11" s="37"/>
      <c r="I11" s="37" t="s">
        <v>152</v>
      </c>
      <c r="J11" s="37"/>
      <c r="K11" s="48"/>
      <c r="L11" s="48"/>
    </row>
    <row r="12" spans="1:12" ht="36" customHeight="1">
      <c r="A12" s="37"/>
      <c r="B12" s="37"/>
      <c r="C12" s="37"/>
      <c r="D12" s="37"/>
      <c r="E12" s="37"/>
      <c r="F12" s="37"/>
      <c r="G12" s="37"/>
      <c r="H12" s="37"/>
      <c r="I12" s="37" t="s">
        <v>152</v>
      </c>
      <c r="J12" s="37"/>
      <c r="K12" s="48"/>
      <c r="L12" s="48"/>
    </row>
    <row r="13" spans="1:12" ht="36" customHeight="1">
      <c r="A13" s="37"/>
      <c r="B13" s="37"/>
      <c r="C13" s="37"/>
      <c r="D13" s="37"/>
      <c r="E13" s="37"/>
      <c r="F13" s="37"/>
      <c r="G13" s="37"/>
      <c r="H13" s="37"/>
      <c r="I13" s="37" t="s">
        <v>152</v>
      </c>
      <c r="J13" s="37"/>
      <c r="K13" s="48"/>
      <c r="L13" s="48"/>
    </row>
    <row r="14" spans="1:12" ht="36" customHeight="1">
      <c r="A14" s="37"/>
      <c r="B14" s="37"/>
      <c r="C14" s="37"/>
      <c r="D14" s="37"/>
      <c r="E14" s="37"/>
      <c r="F14" s="37"/>
      <c r="G14" s="37"/>
      <c r="H14" s="37"/>
      <c r="I14" s="37" t="s">
        <v>152</v>
      </c>
      <c r="J14" s="37"/>
      <c r="K14" s="48"/>
      <c r="L14" s="48"/>
    </row>
    <row r="15" spans="1:12" ht="36" customHeight="1">
      <c r="A15" s="37"/>
      <c r="B15" s="37"/>
      <c r="C15" s="37"/>
      <c r="D15" s="37"/>
      <c r="E15" s="37"/>
      <c r="F15" s="37"/>
      <c r="G15" s="37"/>
      <c r="H15" s="37"/>
      <c r="I15" s="37" t="s">
        <v>152</v>
      </c>
      <c r="J15" s="37"/>
      <c r="K15" s="48"/>
      <c r="L15" s="48"/>
    </row>
    <row r="16" spans="1:12" ht="36" customHeight="1">
      <c r="A16" s="37"/>
      <c r="B16" s="37"/>
      <c r="C16" s="37"/>
      <c r="D16" s="37"/>
      <c r="E16" s="37"/>
      <c r="F16" s="37"/>
      <c r="G16" s="37"/>
      <c r="H16" s="37"/>
      <c r="I16" s="37" t="s">
        <v>152</v>
      </c>
      <c r="J16" s="37"/>
      <c r="K16" s="48"/>
      <c r="L16" s="48"/>
    </row>
    <row r="17" spans="1:12" ht="36" customHeight="1">
      <c r="A17" s="37"/>
      <c r="B17" s="37"/>
      <c r="C17" s="37"/>
      <c r="D17" s="37"/>
      <c r="E17" s="37"/>
      <c r="F17" s="37"/>
      <c r="G17" s="37"/>
      <c r="H17" s="37"/>
      <c r="I17" s="37" t="s">
        <v>152</v>
      </c>
      <c r="J17" s="37"/>
      <c r="K17" s="48"/>
      <c r="L17" s="48"/>
    </row>
    <row r="18" spans="1:12" ht="36" customHeight="1">
      <c r="A18" s="37"/>
      <c r="B18" s="37"/>
      <c r="C18" s="37"/>
      <c r="D18" s="37"/>
      <c r="E18" s="37"/>
      <c r="F18" s="37"/>
      <c r="G18" s="37"/>
      <c r="H18" s="37"/>
      <c r="I18" s="37" t="s">
        <v>152</v>
      </c>
      <c r="J18" s="37"/>
      <c r="K18" s="48"/>
      <c r="L18" s="48"/>
    </row>
    <row r="19" spans="1:12" ht="36" customHeight="1">
      <c r="A19" s="37"/>
      <c r="B19" s="37"/>
      <c r="C19" s="37"/>
      <c r="D19" s="37"/>
      <c r="E19" s="37"/>
      <c r="F19" s="37"/>
      <c r="G19" s="37"/>
      <c r="H19" s="37"/>
      <c r="I19" s="37" t="s">
        <v>152</v>
      </c>
      <c r="J19" s="37"/>
      <c r="K19" s="48"/>
      <c r="L19" s="48"/>
    </row>
    <row r="20" spans="1:12" ht="36" customHeight="1">
      <c r="A20" s="46"/>
      <c r="B20" s="46"/>
      <c r="C20" s="46"/>
      <c r="D20" s="46"/>
      <c r="E20" s="46"/>
      <c r="F20" s="46"/>
      <c r="G20" s="46"/>
      <c r="H20" s="46"/>
      <c r="I20" s="46"/>
      <c r="J20" s="46"/>
      <c r="K20" s="48"/>
      <c r="L20" s="48"/>
    </row>
    <row r="21" spans="1:12" ht="36" customHeight="1">
      <c r="A21" s="48"/>
      <c r="B21" s="48"/>
      <c r="C21" s="48"/>
      <c r="D21" s="48"/>
      <c r="E21" s="48"/>
      <c r="F21" s="48"/>
      <c r="G21" s="48"/>
      <c r="H21" s="48"/>
      <c r="I21" s="48"/>
      <c r="J21" s="48"/>
      <c r="K21" s="48"/>
      <c r="L21" s="48"/>
    </row>
    <row r="22" spans="1:12" ht="36" customHeight="1">
      <c r="A22" s="48"/>
      <c r="B22" s="48"/>
      <c r="C22" s="48"/>
      <c r="D22" s="48"/>
      <c r="E22" s="48"/>
      <c r="F22" s="48"/>
      <c r="G22" s="48"/>
      <c r="H22" s="48"/>
      <c r="I22" s="48"/>
      <c r="J22" s="48"/>
      <c r="K22" s="48"/>
      <c r="L22" s="48"/>
    </row>
    <row r="23" spans="1:12" ht="36" customHeight="1">
      <c r="A23" s="48"/>
      <c r="B23" s="48"/>
      <c r="C23" s="48"/>
      <c r="D23" s="48"/>
      <c r="E23" s="48"/>
      <c r="F23" s="48"/>
      <c r="G23" s="48"/>
      <c r="H23" s="48"/>
      <c r="I23" s="48"/>
      <c r="J23" s="48"/>
      <c r="K23" s="48"/>
      <c r="L23" s="48"/>
    </row>
    <row r="24" spans="1:12" ht="36" customHeight="1">
      <c r="A24" s="48"/>
      <c r="B24" s="48"/>
      <c r="C24" s="48"/>
      <c r="D24" s="48"/>
      <c r="E24" s="48"/>
      <c r="F24" s="48"/>
      <c r="G24" s="48"/>
      <c r="H24" s="48"/>
      <c r="I24" s="48"/>
      <c r="J24" s="48"/>
      <c r="K24" s="48"/>
      <c r="L24" s="48"/>
    </row>
    <row r="25" spans="1:12" ht="36" customHeight="1">
      <c r="A25" s="48"/>
      <c r="B25" s="48"/>
      <c r="C25" s="48"/>
      <c r="D25" s="48"/>
      <c r="E25" s="48"/>
      <c r="F25" s="48"/>
      <c r="G25" s="48"/>
      <c r="H25" s="48"/>
      <c r="I25" s="48"/>
      <c r="J25" s="48"/>
      <c r="K25" s="48"/>
      <c r="L25" s="48"/>
    </row>
    <row r="26" spans="1:12" ht="36" customHeight="1">
      <c r="A26" s="48"/>
      <c r="B26" s="48"/>
      <c r="C26" s="48"/>
      <c r="D26" s="48"/>
      <c r="E26" s="48"/>
      <c r="F26" s="48"/>
      <c r="G26" s="48"/>
      <c r="H26" s="48"/>
      <c r="I26" s="48"/>
      <c r="J26" s="48"/>
      <c r="K26" s="48"/>
      <c r="L26" s="48"/>
    </row>
    <row r="27" spans="1:12" ht="36" customHeight="1">
      <c r="A27" s="48"/>
      <c r="B27" s="48"/>
      <c r="C27" s="48"/>
      <c r="D27" s="48"/>
      <c r="E27" s="48"/>
      <c r="F27" s="48"/>
      <c r="G27" s="48"/>
      <c r="H27" s="48"/>
      <c r="I27" s="48"/>
      <c r="J27" s="48"/>
      <c r="K27" s="48"/>
      <c r="L27" s="48"/>
    </row>
    <row r="28" spans="1:12" ht="36" customHeight="1">
      <c r="A28" s="48"/>
      <c r="B28" s="48"/>
      <c r="C28" s="48"/>
      <c r="D28" s="48"/>
      <c r="E28" s="48"/>
      <c r="F28" s="48"/>
      <c r="G28" s="48"/>
      <c r="H28" s="48"/>
      <c r="I28" s="48"/>
      <c r="J28" s="48"/>
      <c r="K28" s="48"/>
      <c r="L28" s="48"/>
    </row>
    <row r="29" spans="1:12" ht="36" customHeight="1">
      <c r="A29" s="48"/>
      <c r="B29" s="48"/>
      <c r="C29" s="48"/>
      <c r="D29" s="48"/>
      <c r="E29" s="48"/>
      <c r="F29" s="48"/>
      <c r="G29" s="48"/>
      <c r="H29" s="48"/>
      <c r="I29" s="48"/>
      <c r="J29" s="48"/>
      <c r="K29" s="48"/>
      <c r="L29" s="48"/>
    </row>
    <row r="30" spans="1:12" ht="36" customHeight="1">
      <c r="A30" s="48"/>
      <c r="B30" s="48"/>
      <c r="C30" s="48"/>
      <c r="D30" s="48"/>
      <c r="E30" s="48"/>
      <c r="F30" s="48"/>
      <c r="G30" s="48"/>
      <c r="H30" s="48"/>
      <c r="I30" s="48"/>
      <c r="J30" s="48"/>
      <c r="K30" s="48"/>
      <c r="L30" s="48"/>
    </row>
    <row r="31" spans="1:12" ht="36" customHeight="1">
      <c r="A31" s="48"/>
      <c r="B31" s="48"/>
      <c r="C31" s="48"/>
      <c r="D31" s="48"/>
      <c r="E31" s="48"/>
      <c r="F31" s="48"/>
      <c r="G31" s="48"/>
      <c r="H31" s="48"/>
      <c r="I31" s="48"/>
      <c r="J31" s="48"/>
      <c r="K31" s="48"/>
      <c r="L31" s="48"/>
    </row>
    <row r="32" spans="1:12" ht="36" customHeight="1">
      <c r="A32" s="48"/>
      <c r="B32" s="48"/>
      <c r="C32" s="48"/>
      <c r="D32" s="48"/>
      <c r="E32" s="48"/>
      <c r="F32" s="48"/>
      <c r="G32" s="48"/>
      <c r="H32" s="48"/>
      <c r="I32" s="48"/>
      <c r="J32" s="48"/>
      <c r="K32" s="48"/>
      <c r="L32" s="48"/>
    </row>
    <row r="33" spans="1:12" ht="36" customHeight="1">
      <c r="A33" s="48"/>
      <c r="B33" s="48"/>
      <c r="C33" s="48"/>
      <c r="D33" s="48"/>
      <c r="E33" s="48"/>
      <c r="F33" s="48"/>
      <c r="G33" s="48"/>
      <c r="H33" s="48"/>
      <c r="I33" s="48"/>
      <c r="J33" s="48"/>
      <c r="K33" s="48"/>
      <c r="L33" s="48"/>
    </row>
    <row r="34" spans="1:12" ht="36" customHeight="1">
      <c r="A34" s="48"/>
      <c r="B34" s="48"/>
      <c r="C34" s="48"/>
      <c r="D34" s="48"/>
      <c r="E34" s="48"/>
      <c r="F34" s="48"/>
      <c r="G34" s="48"/>
      <c r="H34" s="48"/>
      <c r="I34" s="48"/>
      <c r="J34" s="48"/>
      <c r="K34" s="48"/>
      <c r="L34" s="48"/>
    </row>
    <row r="35" spans="1:12" ht="36" customHeight="1">
      <c r="A35" s="48"/>
      <c r="B35" s="48"/>
      <c r="C35" s="48"/>
      <c r="D35" s="48"/>
      <c r="E35" s="48"/>
      <c r="F35" s="48"/>
      <c r="G35" s="48"/>
      <c r="H35" s="48"/>
      <c r="I35" s="48"/>
      <c r="J35" s="48"/>
      <c r="K35" s="48"/>
      <c r="L35" s="48"/>
    </row>
    <row r="36" spans="1:12" ht="36" customHeight="1">
      <c r="A36" s="48"/>
      <c r="B36" s="48"/>
      <c r="C36" s="48"/>
      <c r="D36" s="48"/>
      <c r="E36" s="48"/>
      <c r="F36" s="48"/>
      <c r="G36" s="48"/>
      <c r="H36" s="48"/>
      <c r="I36" s="48"/>
      <c r="J36" s="48"/>
      <c r="K36" s="48"/>
      <c r="L36" s="48"/>
    </row>
    <row r="37" spans="1:12" ht="36" customHeight="1">
      <c r="A37" s="48"/>
      <c r="B37" s="48"/>
      <c r="C37" s="48"/>
      <c r="D37" s="48"/>
      <c r="E37" s="48"/>
      <c r="F37" s="48"/>
      <c r="G37" s="48"/>
      <c r="H37" s="48"/>
      <c r="I37" s="48"/>
      <c r="J37" s="48"/>
      <c r="K37" s="48"/>
      <c r="L37" s="48"/>
    </row>
    <row r="38" spans="1:12" ht="36" customHeight="1">
      <c r="A38" s="48"/>
      <c r="B38" s="48"/>
      <c r="C38" s="48"/>
      <c r="D38" s="48"/>
      <c r="E38" s="48"/>
      <c r="F38" s="48"/>
      <c r="G38" s="48"/>
      <c r="H38" s="48"/>
      <c r="I38" s="48"/>
      <c r="J38" s="48"/>
      <c r="K38" s="48"/>
      <c r="L38" s="48"/>
    </row>
    <row r="39" spans="1:12" ht="36" customHeight="1">
      <c r="A39" s="48"/>
      <c r="B39" s="48"/>
      <c r="C39" s="48"/>
      <c r="D39" s="48"/>
      <c r="E39" s="48"/>
      <c r="F39" s="48"/>
      <c r="G39" s="48"/>
      <c r="H39" s="48"/>
      <c r="I39" s="48"/>
      <c r="J39" s="48"/>
      <c r="K39" s="48"/>
      <c r="L39" s="48"/>
    </row>
    <row r="40" spans="1:12" ht="36" customHeight="1">
      <c r="A40" s="48"/>
      <c r="B40" s="48"/>
      <c r="C40" s="48"/>
      <c r="D40" s="48"/>
      <c r="E40" s="48"/>
      <c r="F40" s="48"/>
      <c r="G40" s="48"/>
      <c r="H40" s="48"/>
      <c r="I40" s="48"/>
      <c r="J40" s="48"/>
      <c r="K40" s="48"/>
      <c r="L40" s="48"/>
    </row>
    <row r="41" spans="1:12" ht="36" customHeight="1">
      <c r="A41" s="48"/>
      <c r="B41" s="48"/>
      <c r="C41" s="48"/>
      <c r="D41" s="48"/>
      <c r="E41" s="48"/>
      <c r="F41" s="48"/>
      <c r="G41" s="48"/>
      <c r="H41" s="48"/>
      <c r="I41" s="48"/>
      <c r="J41" s="48"/>
      <c r="K41" s="48"/>
      <c r="L41" s="48"/>
    </row>
    <row r="42" spans="1:12" ht="36" customHeight="1">
      <c r="A42" s="48"/>
      <c r="B42" s="48"/>
      <c r="C42" s="48"/>
      <c r="D42" s="48"/>
      <c r="E42" s="48"/>
      <c r="F42" s="48"/>
      <c r="G42" s="48"/>
      <c r="H42" s="48"/>
      <c r="I42" s="48"/>
      <c r="J42" s="48"/>
      <c r="K42" s="48"/>
      <c r="L42" s="48"/>
    </row>
    <row r="43" spans="1:12" ht="36" customHeight="1">
      <c r="A43" s="48"/>
      <c r="B43" s="48"/>
      <c r="C43" s="48"/>
      <c r="D43" s="48"/>
      <c r="E43" s="48"/>
      <c r="F43" s="48"/>
      <c r="G43" s="48"/>
      <c r="H43" s="48"/>
      <c r="I43" s="48"/>
      <c r="J43" s="48"/>
      <c r="K43" s="48"/>
      <c r="L43" s="48"/>
    </row>
    <row r="44" spans="1:12" ht="36" customHeight="1">
      <c r="A44" s="48"/>
      <c r="B44" s="48"/>
      <c r="C44" s="48"/>
      <c r="D44" s="48"/>
      <c r="E44" s="48"/>
      <c r="F44" s="48"/>
      <c r="G44" s="48"/>
      <c r="H44" s="48"/>
      <c r="I44" s="48"/>
      <c r="J44" s="48"/>
      <c r="K44" s="48"/>
      <c r="L44" s="48"/>
    </row>
    <row r="45" spans="1:12" ht="36" customHeight="1">
      <c r="A45" s="48"/>
      <c r="B45" s="48"/>
      <c r="C45" s="48"/>
      <c r="D45" s="48"/>
      <c r="E45" s="48"/>
      <c r="F45" s="48"/>
      <c r="G45" s="48"/>
      <c r="H45" s="48"/>
      <c r="I45" s="48"/>
      <c r="J45" s="48"/>
      <c r="K45" s="48"/>
      <c r="L45" s="48"/>
    </row>
    <row r="46" spans="1:12" ht="36" customHeight="1">
      <c r="A46" s="48"/>
      <c r="B46" s="48"/>
      <c r="C46" s="48"/>
      <c r="D46" s="48"/>
      <c r="E46" s="48"/>
      <c r="F46" s="48"/>
      <c r="G46" s="48"/>
      <c r="H46" s="48"/>
      <c r="I46" s="48"/>
      <c r="J46" s="48"/>
      <c r="K46" s="48"/>
      <c r="L46" s="48"/>
    </row>
    <row r="47" spans="1:12" ht="36" customHeight="1">
      <c r="A47" s="48"/>
      <c r="B47" s="48"/>
      <c r="C47" s="48"/>
      <c r="D47" s="48"/>
      <c r="E47" s="48"/>
      <c r="F47" s="48"/>
      <c r="G47" s="48"/>
      <c r="H47" s="48"/>
      <c r="I47" s="48"/>
      <c r="J47" s="48"/>
      <c r="K47" s="48"/>
      <c r="L47" s="48"/>
    </row>
    <row r="48" spans="1:12" ht="36" customHeight="1">
      <c r="A48" s="48"/>
      <c r="B48" s="48"/>
      <c r="C48" s="48"/>
      <c r="D48" s="48"/>
      <c r="E48" s="48"/>
      <c r="F48" s="48"/>
      <c r="G48" s="48"/>
      <c r="H48" s="48"/>
      <c r="I48" s="48"/>
      <c r="J48" s="48"/>
      <c r="K48" s="48"/>
      <c r="L48" s="48"/>
    </row>
    <row r="49" spans="1:12" ht="36" customHeight="1">
      <c r="A49" s="48"/>
      <c r="B49" s="48"/>
      <c r="C49" s="48"/>
      <c r="D49" s="48"/>
      <c r="E49" s="48"/>
      <c r="F49" s="48"/>
      <c r="G49" s="48"/>
      <c r="H49" s="48"/>
      <c r="I49" s="48"/>
      <c r="J49" s="48"/>
      <c r="K49" s="48"/>
      <c r="L49" s="48"/>
    </row>
    <row r="50" spans="1:12" ht="36" customHeight="1">
      <c r="A50" s="48"/>
      <c r="B50" s="48"/>
      <c r="C50" s="48"/>
      <c r="D50" s="48"/>
      <c r="E50" s="48"/>
      <c r="F50" s="48"/>
      <c r="G50" s="48"/>
      <c r="H50" s="48"/>
      <c r="I50" s="48"/>
      <c r="J50" s="48"/>
      <c r="K50" s="48"/>
      <c r="L50" s="48"/>
    </row>
    <row r="51" spans="1:12" ht="36" customHeight="1">
      <c r="A51" s="48"/>
      <c r="B51" s="48"/>
      <c r="C51" s="48"/>
      <c r="D51" s="48"/>
      <c r="E51" s="48"/>
      <c r="F51" s="48"/>
      <c r="G51" s="48"/>
      <c r="H51" s="48"/>
      <c r="I51" s="48"/>
      <c r="J51" s="48"/>
      <c r="K51" s="48"/>
      <c r="L51" s="48"/>
    </row>
    <row r="52" spans="1:12" ht="36" customHeight="1">
      <c r="A52" s="48"/>
      <c r="B52" s="48"/>
      <c r="C52" s="48"/>
      <c r="D52" s="48"/>
      <c r="E52" s="48"/>
      <c r="F52" s="48"/>
      <c r="G52" s="48"/>
      <c r="H52" s="48"/>
      <c r="I52" s="48"/>
      <c r="J52" s="48"/>
      <c r="K52" s="48"/>
      <c r="L52" s="48"/>
    </row>
    <row r="53" spans="1:12" ht="36" customHeight="1">
      <c r="A53" s="48"/>
      <c r="B53" s="48"/>
      <c r="C53" s="48"/>
      <c r="D53" s="48"/>
      <c r="E53" s="48"/>
      <c r="F53" s="48"/>
      <c r="G53" s="48"/>
      <c r="H53" s="48"/>
      <c r="I53" s="48"/>
      <c r="J53" s="48"/>
      <c r="K53" s="48"/>
      <c r="L53" s="48"/>
    </row>
    <row r="54" spans="1:12" ht="36" customHeight="1">
      <c r="A54" s="48"/>
      <c r="B54" s="48"/>
      <c r="C54" s="48"/>
      <c r="D54" s="48"/>
      <c r="E54" s="48"/>
      <c r="F54" s="48"/>
      <c r="G54" s="48"/>
      <c r="H54" s="48"/>
      <c r="I54" s="48"/>
      <c r="J54" s="48"/>
      <c r="K54" s="48"/>
      <c r="L54" s="48"/>
    </row>
    <row r="55" spans="1:12" ht="36" customHeight="1">
      <c r="A55" s="48"/>
      <c r="B55" s="48"/>
      <c r="C55" s="48"/>
      <c r="D55" s="48"/>
      <c r="E55" s="48"/>
      <c r="F55" s="48"/>
      <c r="G55" s="48"/>
      <c r="H55" s="48"/>
      <c r="I55" s="48"/>
      <c r="J55" s="48"/>
      <c r="K55" s="48"/>
      <c r="L55" s="48"/>
    </row>
    <row r="56" spans="1:12" ht="36" customHeight="1">
      <c r="A56" s="48"/>
      <c r="B56" s="48"/>
      <c r="C56" s="48"/>
      <c r="D56" s="48"/>
      <c r="E56" s="48"/>
      <c r="F56" s="48"/>
      <c r="G56" s="48"/>
      <c r="H56" s="48"/>
      <c r="I56" s="48"/>
      <c r="J56" s="48"/>
      <c r="K56" s="48"/>
      <c r="L56" s="48"/>
    </row>
    <row r="57" spans="1:12" ht="36" customHeight="1">
      <c r="A57" s="48"/>
      <c r="B57" s="48"/>
      <c r="C57" s="48"/>
      <c r="D57" s="48"/>
      <c r="E57" s="48"/>
      <c r="F57" s="48"/>
      <c r="G57" s="48"/>
      <c r="H57" s="48"/>
      <c r="I57" s="48"/>
      <c r="J57" s="48"/>
      <c r="K57" s="48"/>
      <c r="L57" s="48"/>
    </row>
    <row r="58" spans="1:12" ht="36" customHeight="1">
      <c r="A58" s="48"/>
      <c r="B58" s="48"/>
      <c r="C58" s="48"/>
      <c r="D58" s="48"/>
      <c r="E58" s="48"/>
      <c r="F58" s="48"/>
      <c r="G58" s="48"/>
      <c r="H58" s="48"/>
      <c r="I58" s="48"/>
      <c r="J58" s="48"/>
      <c r="K58" s="48"/>
      <c r="L58" s="48"/>
    </row>
    <row r="59" spans="1:12" ht="36" customHeight="1">
      <c r="A59" s="48"/>
      <c r="B59" s="48"/>
      <c r="C59" s="48"/>
      <c r="D59" s="48"/>
      <c r="E59" s="48"/>
      <c r="F59" s="48"/>
      <c r="G59" s="48"/>
      <c r="H59" s="48"/>
      <c r="I59" s="48"/>
      <c r="J59" s="48"/>
      <c r="K59" s="48"/>
      <c r="L59" s="48"/>
    </row>
    <row r="60" spans="1:12" ht="36" customHeight="1">
      <c r="A60" s="48"/>
      <c r="B60" s="48"/>
      <c r="C60" s="48"/>
      <c r="D60" s="48"/>
      <c r="E60" s="48"/>
      <c r="F60" s="48"/>
      <c r="G60" s="48"/>
      <c r="H60" s="48"/>
      <c r="I60" s="48"/>
      <c r="J60" s="48"/>
      <c r="K60" s="48"/>
      <c r="L60" s="48"/>
    </row>
    <row r="61" spans="1:12" ht="36" customHeight="1">
      <c r="A61" s="48"/>
      <c r="B61" s="48"/>
      <c r="C61" s="48"/>
      <c r="D61" s="48"/>
      <c r="E61" s="48"/>
      <c r="F61" s="48"/>
      <c r="G61" s="48"/>
      <c r="H61" s="48"/>
      <c r="I61" s="48"/>
      <c r="J61" s="48"/>
      <c r="K61" s="48"/>
      <c r="L61" s="48"/>
    </row>
    <row r="62" spans="1:12" ht="36" customHeight="1">
      <c r="A62" s="48"/>
      <c r="B62" s="48"/>
      <c r="C62" s="48"/>
      <c r="D62" s="48"/>
      <c r="E62" s="48"/>
      <c r="F62" s="48"/>
      <c r="G62" s="48"/>
      <c r="H62" s="48"/>
      <c r="I62" s="48"/>
      <c r="J62" s="48"/>
      <c r="K62" s="48"/>
      <c r="L62" s="48"/>
    </row>
    <row r="63" spans="1:12" ht="36" customHeight="1">
      <c r="A63" s="48"/>
      <c r="B63" s="48"/>
      <c r="C63" s="48"/>
      <c r="D63" s="48"/>
      <c r="E63" s="48"/>
      <c r="F63" s="48"/>
      <c r="G63" s="48"/>
      <c r="H63" s="48"/>
      <c r="I63" s="48"/>
      <c r="J63" s="48"/>
      <c r="K63" s="48"/>
      <c r="L63" s="48"/>
    </row>
    <row r="64" spans="1:12" ht="36" customHeight="1">
      <c r="A64" s="48"/>
      <c r="B64" s="48"/>
      <c r="C64" s="48"/>
      <c r="D64" s="48"/>
      <c r="E64" s="48"/>
      <c r="F64" s="48"/>
      <c r="G64" s="48"/>
      <c r="H64" s="48"/>
      <c r="I64" s="48"/>
      <c r="J64" s="48"/>
      <c r="K64" s="48"/>
      <c r="L64" s="48"/>
    </row>
    <row r="65" spans="1:12" ht="36" customHeight="1">
      <c r="A65" s="48"/>
      <c r="B65" s="48"/>
      <c r="C65" s="48"/>
      <c r="D65" s="48"/>
      <c r="E65" s="48"/>
      <c r="F65" s="48"/>
      <c r="G65" s="48"/>
      <c r="H65" s="48"/>
      <c r="I65" s="48"/>
      <c r="J65" s="48"/>
      <c r="K65" s="48"/>
      <c r="L65" s="48"/>
    </row>
    <row r="66" spans="1:12" ht="36" customHeight="1">
      <c r="A66" s="48"/>
      <c r="B66" s="48"/>
      <c r="C66" s="48"/>
      <c r="D66" s="48"/>
      <c r="E66" s="48"/>
      <c r="F66" s="48"/>
      <c r="G66" s="48"/>
      <c r="H66" s="48"/>
      <c r="I66" s="48"/>
      <c r="J66" s="48"/>
      <c r="K66" s="48"/>
      <c r="L66" s="48"/>
    </row>
    <row r="67" spans="1:12" ht="36" customHeight="1">
      <c r="A67" s="48"/>
      <c r="B67" s="48"/>
      <c r="C67" s="48"/>
      <c r="D67" s="48"/>
      <c r="E67" s="48"/>
      <c r="F67" s="48"/>
      <c r="G67" s="48"/>
      <c r="H67" s="48"/>
      <c r="I67" s="48"/>
      <c r="J67" s="48"/>
      <c r="K67" s="48"/>
      <c r="L67" s="48"/>
    </row>
    <row r="68" spans="1:12" ht="36" customHeight="1">
      <c r="A68" s="48"/>
      <c r="B68" s="48"/>
      <c r="C68" s="48"/>
      <c r="D68" s="48"/>
      <c r="E68" s="48"/>
      <c r="F68" s="48"/>
      <c r="G68" s="48"/>
      <c r="H68" s="48"/>
      <c r="I68" s="48"/>
      <c r="J68" s="48"/>
      <c r="K68" s="48"/>
      <c r="L68" s="48"/>
    </row>
    <row r="69" spans="1:12" ht="36" customHeight="1">
      <c r="A69" s="48"/>
      <c r="B69" s="48"/>
      <c r="C69" s="48"/>
      <c r="D69" s="48"/>
      <c r="E69" s="48"/>
      <c r="F69" s="48"/>
      <c r="G69" s="48"/>
      <c r="H69" s="48"/>
      <c r="I69" s="48"/>
      <c r="J69" s="48"/>
      <c r="K69" s="48"/>
      <c r="L69" s="48"/>
    </row>
    <row r="70" spans="1:12" ht="36" customHeight="1">
      <c r="A70" s="48"/>
      <c r="B70" s="48"/>
      <c r="C70" s="48"/>
      <c r="D70" s="48"/>
      <c r="E70" s="48"/>
      <c r="F70" s="48"/>
      <c r="G70" s="48"/>
      <c r="H70" s="48"/>
      <c r="I70" s="48"/>
      <c r="J70" s="48"/>
      <c r="K70" s="48"/>
      <c r="L70" s="48"/>
    </row>
    <row r="71" spans="1:12" ht="36" customHeight="1">
      <c r="A71" s="48"/>
      <c r="B71" s="48"/>
      <c r="C71" s="48"/>
      <c r="D71" s="48"/>
      <c r="E71" s="48"/>
      <c r="F71" s="48"/>
      <c r="G71" s="48"/>
      <c r="H71" s="48"/>
      <c r="I71" s="48"/>
      <c r="J71" s="48"/>
      <c r="K71" s="48"/>
      <c r="L71" s="48"/>
    </row>
    <row r="72" spans="1:12" ht="36" customHeight="1">
      <c r="A72" s="48"/>
      <c r="B72" s="48"/>
      <c r="C72" s="48"/>
      <c r="D72" s="48"/>
      <c r="E72" s="48"/>
      <c r="F72" s="48"/>
      <c r="G72" s="48"/>
      <c r="H72" s="48"/>
      <c r="I72" s="48"/>
      <c r="J72" s="48"/>
      <c r="K72" s="48"/>
      <c r="L72" s="48"/>
    </row>
    <row r="73" spans="1:12" ht="36" customHeight="1">
      <c r="A73" s="48"/>
      <c r="B73" s="48"/>
      <c r="C73" s="48"/>
      <c r="D73" s="48"/>
      <c r="E73" s="48"/>
      <c r="F73" s="48"/>
      <c r="G73" s="48"/>
      <c r="H73" s="48"/>
      <c r="I73" s="48"/>
      <c r="J73" s="48"/>
      <c r="K73" s="48"/>
      <c r="L73" s="48"/>
    </row>
    <row r="74" spans="1:12" ht="36" customHeight="1">
      <c r="A74" s="48"/>
      <c r="B74" s="48"/>
      <c r="C74" s="48"/>
      <c r="D74" s="48"/>
      <c r="E74" s="48"/>
      <c r="F74" s="48"/>
      <c r="G74" s="48"/>
      <c r="H74" s="48"/>
      <c r="I74" s="48"/>
      <c r="J74" s="48"/>
      <c r="K74" s="48"/>
      <c r="L74" s="48"/>
    </row>
    <row r="75" spans="1:12" ht="36" customHeight="1">
      <c r="A75" s="48"/>
      <c r="B75" s="48"/>
      <c r="C75" s="48"/>
      <c r="D75" s="48"/>
      <c r="E75" s="48"/>
      <c r="F75" s="48"/>
      <c r="G75" s="48"/>
      <c r="H75" s="48"/>
      <c r="I75" s="48"/>
      <c r="J75" s="48"/>
      <c r="K75" s="48"/>
      <c r="L75" s="48"/>
    </row>
    <row r="76" spans="1:12" ht="36" customHeight="1">
      <c r="A76" s="48"/>
      <c r="B76" s="48"/>
      <c r="C76" s="48"/>
      <c r="D76" s="48"/>
      <c r="E76" s="48"/>
      <c r="F76" s="48"/>
      <c r="G76" s="48"/>
      <c r="H76" s="48"/>
      <c r="I76" s="48"/>
      <c r="J76" s="48"/>
      <c r="K76" s="48"/>
      <c r="L76" s="48"/>
    </row>
    <row r="77" spans="1:12" ht="36" customHeight="1">
      <c r="A77" s="48"/>
      <c r="B77" s="48"/>
      <c r="C77" s="48"/>
      <c r="D77" s="48"/>
      <c r="E77" s="48"/>
      <c r="F77" s="48"/>
      <c r="G77" s="48"/>
      <c r="H77" s="48"/>
      <c r="I77" s="48"/>
      <c r="J77" s="48"/>
      <c r="K77" s="48"/>
      <c r="L77" s="48"/>
    </row>
    <row r="78" spans="1:12" ht="36" customHeight="1">
      <c r="A78" s="48"/>
      <c r="B78" s="48"/>
      <c r="C78" s="48"/>
      <c r="D78" s="48"/>
      <c r="E78" s="48"/>
      <c r="F78" s="48"/>
      <c r="G78" s="48"/>
      <c r="H78" s="48"/>
      <c r="I78" s="48"/>
      <c r="J78" s="48"/>
      <c r="K78" s="48"/>
      <c r="L78" s="48"/>
    </row>
    <row r="79" spans="1:12" ht="36" customHeight="1">
      <c r="A79" s="48"/>
      <c r="B79" s="48"/>
      <c r="C79" s="48"/>
      <c r="D79" s="48"/>
      <c r="E79" s="48"/>
      <c r="F79" s="48"/>
      <c r="G79" s="48"/>
      <c r="H79" s="48"/>
      <c r="I79" s="48"/>
      <c r="J79" s="48"/>
      <c r="K79" s="48"/>
      <c r="L79" s="48"/>
    </row>
    <row r="80" spans="1:12" ht="36" customHeight="1">
      <c r="A80" s="48"/>
      <c r="B80" s="48"/>
      <c r="C80" s="48"/>
      <c r="D80" s="48"/>
      <c r="E80" s="48"/>
      <c r="F80" s="48"/>
      <c r="G80" s="48"/>
      <c r="H80" s="48"/>
      <c r="I80" s="48"/>
      <c r="J80" s="48"/>
      <c r="K80" s="48"/>
      <c r="L80" s="48"/>
    </row>
    <row r="81" spans="1:12" ht="36" customHeight="1">
      <c r="A81" s="48"/>
      <c r="B81" s="48"/>
      <c r="C81" s="48"/>
      <c r="D81" s="48"/>
      <c r="E81" s="48"/>
      <c r="F81" s="48"/>
      <c r="G81" s="48"/>
      <c r="H81" s="48"/>
      <c r="I81" s="48"/>
      <c r="J81" s="48"/>
      <c r="K81" s="48"/>
      <c r="L81" s="48"/>
    </row>
    <row r="82" spans="1:12" ht="36" customHeight="1">
      <c r="A82" s="48"/>
      <c r="B82" s="48"/>
      <c r="C82" s="48"/>
      <c r="D82" s="48"/>
      <c r="E82" s="48"/>
      <c r="F82" s="48"/>
      <c r="G82" s="48"/>
      <c r="H82" s="48"/>
      <c r="I82" s="48"/>
      <c r="J82" s="48"/>
      <c r="K82" s="48"/>
      <c r="L82" s="48"/>
    </row>
    <row r="83" spans="1:12" ht="36" customHeight="1">
      <c r="A83" s="48"/>
      <c r="B83" s="48"/>
      <c r="C83" s="48"/>
      <c r="D83" s="48"/>
      <c r="E83" s="48"/>
      <c r="F83" s="48"/>
      <c r="G83" s="48"/>
      <c r="H83" s="48"/>
      <c r="I83" s="48"/>
      <c r="J83" s="48"/>
      <c r="K83" s="48"/>
      <c r="L83" s="48"/>
    </row>
    <row r="84" spans="1:12" ht="36" customHeight="1">
      <c r="A84" s="48"/>
      <c r="B84" s="48"/>
      <c r="C84" s="48"/>
      <c r="D84" s="48"/>
      <c r="E84" s="48"/>
      <c r="F84" s="48"/>
      <c r="G84" s="48"/>
      <c r="H84" s="48"/>
      <c r="I84" s="48"/>
      <c r="J84" s="48"/>
      <c r="K84" s="48"/>
      <c r="L84" s="48"/>
    </row>
    <row r="85" spans="1:12" ht="36" customHeight="1">
      <c r="A85" s="48"/>
      <c r="B85" s="48"/>
      <c r="C85" s="48"/>
      <c r="D85" s="48"/>
      <c r="E85" s="48"/>
      <c r="F85" s="48"/>
      <c r="G85" s="48"/>
      <c r="H85" s="48"/>
      <c r="I85" s="48"/>
      <c r="J85" s="48"/>
      <c r="K85" s="48"/>
      <c r="L85" s="48"/>
    </row>
    <row r="86" spans="1:12" ht="36" customHeight="1">
      <c r="A86" s="48"/>
      <c r="B86" s="48"/>
      <c r="C86" s="48"/>
      <c r="D86" s="48"/>
      <c r="E86" s="48"/>
      <c r="F86" s="48"/>
      <c r="G86" s="48"/>
      <c r="H86" s="48"/>
      <c r="I86" s="48"/>
      <c r="J86" s="48"/>
      <c r="K86" s="48"/>
      <c r="L86" s="48"/>
    </row>
    <row r="87" spans="1:12" ht="36" customHeight="1">
      <c r="A87" s="48"/>
      <c r="B87" s="48"/>
      <c r="C87" s="48"/>
      <c r="D87" s="48"/>
      <c r="E87" s="48"/>
      <c r="F87" s="48"/>
      <c r="G87" s="48"/>
      <c r="H87" s="48"/>
      <c r="I87" s="48"/>
      <c r="J87" s="48"/>
      <c r="K87" s="48"/>
      <c r="L87" s="48"/>
    </row>
    <row r="88" spans="1:12" ht="36" customHeight="1">
      <c r="A88" s="48"/>
      <c r="B88" s="48"/>
      <c r="C88" s="48"/>
      <c r="D88" s="48"/>
      <c r="E88" s="48"/>
      <c r="F88" s="48"/>
      <c r="G88" s="48"/>
      <c r="H88" s="48"/>
      <c r="I88" s="48"/>
      <c r="J88" s="48"/>
      <c r="K88" s="48"/>
      <c r="L88" s="48"/>
    </row>
    <row r="89" spans="1:12" ht="36" customHeight="1">
      <c r="A89" s="48"/>
      <c r="B89" s="48"/>
      <c r="C89" s="48"/>
      <c r="D89" s="48"/>
      <c r="E89" s="48"/>
      <c r="F89" s="48"/>
      <c r="G89" s="48"/>
      <c r="H89" s="48"/>
      <c r="I89" s="48"/>
      <c r="J89" s="48"/>
      <c r="K89" s="48"/>
      <c r="L89" s="48"/>
    </row>
    <row r="90" spans="1:12" ht="36" customHeight="1">
      <c r="A90" s="48"/>
      <c r="B90" s="48"/>
      <c r="C90" s="48"/>
      <c r="D90" s="48"/>
      <c r="E90" s="48"/>
      <c r="F90" s="48"/>
      <c r="G90" s="48"/>
      <c r="H90" s="48"/>
      <c r="I90" s="48"/>
      <c r="J90" s="48"/>
      <c r="K90" s="48"/>
      <c r="L90" s="48"/>
    </row>
    <row r="91" spans="1:12" ht="36" customHeight="1">
      <c r="A91" s="48"/>
      <c r="B91" s="48"/>
      <c r="C91" s="48"/>
      <c r="D91" s="48"/>
      <c r="E91" s="48"/>
      <c r="F91" s="48"/>
      <c r="G91" s="48"/>
      <c r="H91" s="48"/>
      <c r="I91" s="48"/>
      <c r="J91" s="48"/>
      <c r="K91" s="48"/>
      <c r="L91" s="48"/>
    </row>
    <row r="92" spans="1:12" ht="36" customHeight="1">
      <c r="A92" s="48"/>
      <c r="B92" s="48"/>
      <c r="C92" s="48"/>
      <c r="D92" s="48"/>
      <c r="E92" s="48"/>
      <c r="F92" s="48"/>
      <c r="G92" s="48"/>
      <c r="H92" s="48"/>
      <c r="I92" s="48"/>
      <c r="J92" s="48"/>
      <c r="K92" s="48"/>
      <c r="L92" s="48"/>
    </row>
    <row r="93" spans="1:12" ht="36" customHeight="1">
      <c r="A93" s="48"/>
      <c r="B93" s="48"/>
      <c r="C93" s="48"/>
      <c r="D93" s="48"/>
      <c r="E93" s="48"/>
      <c r="F93" s="48"/>
      <c r="G93" s="48"/>
      <c r="H93" s="48"/>
      <c r="I93" s="48"/>
      <c r="J93" s="48"/>
      <c r="K93" s="48"/>
      <c r="L93" s="48"/>
    </row>
    <row r="94" spans="1:12" ht="36" customHeight="1">
      <c r="A94" s="48"/>
      <c r="B94" s="48"/>
      <c r="C94" s="48"/>
      <c r="D94" s="48"/>
      <c r="E94" s="48"/>
      <c r="F94" s="48"/>
      <c r="G94" s="48"/>
      <c r="H94" s="48"/>
      <c r="I94" s="48"/>
      <c r="J94" s="48"/>
      <c r="K94" s="48"/>
      <c r="L94" s="48"/>
    </row>
    <row r="95" spans="1:12" ht="36" customHeight="1">
      <c r="A95" s="48"/>
      <c r="B95" s="48"/>
      <c r="C95" s="48"/>
      <c r="D95" s="48"/>
      <c r="E95" s="48"/>
      <c r="F95" s="48"/>
      <c r="G95" s="48"/>
      <c r="H95" s="48"/>
      <c r="I95" s="48"/>
      <c r="J95" s="48"/>
      <c r="K95" s="48"/>
      <c r="L95" s="48"/>
    </row>
    <row r="96" spans="1:12" ht="36" customHeight="1">
      <c r="A96" s="48"/>
      <c r="B96" s="48"/>
      <c r="C96" s="48"/>
      <c r="D96" s="48"/>
      <c r="E96" s="48"/>
      <c r="F96" s="48"/>
      <c r="G96" s="48"/>
      <c r="H96" s="48"/>
      <c r="I96" s="48"/>
      <c r="J96" s="48"/>
      <c r="K96" s="48"/>
      <c r="L96" s="48"/>
    </row>
    <row r="97" spans="1:12" ht="36" customHeight="1">
      <c r="A97" s="48"/>
      <c r="B97" s="48"/>
      <c r="C97" s="48"/>
      <c r="D97" s="48"/>
      <c r="E97" s="48"/>
      <c r="F97" s="48"/>
      <c r="G97" s="48"/>
      <c r="H97" s="48"/>
      <c r="I97" s="48"/>
      <c r="J97" s="48"/>
      <c r="K97" s="48"/>
      <c r="L97" s="48"/>
    </row>
    <row r="98" spans="1:12" ht="36" customHeight="1">
      <c r="A98" s="48"/>
      <c r="B98" s="48"/>
      <c r="C98" s="48"/>
      <c r="D98" s="48"/>
      <c r="E98" s="48"/>
      <c r="F98" s="48"/>
      <c r="G98" s="48"/>
      <c r="H98" s="48"/>
      <c r="I98" s="48"/>
      <c r="J98" s="48"/>
      <c r="K98" s="48"/>
      <c r="L98" s="48"/>
    </row>
    <row r="99" spans="1:12" ht="36" customHeight="1">
      <c r="A99" s="48"/>
      <c r="B99" s="48"/>
      <c r="C99" s="48"/>
      <c r="D99" s="48"/>
      <c r="E99" s="48"/>
      <c r="F99" s="48"/>
      <c r="G99" s="48"/>
      <c r="H99" s="48"/>
      <c r="I99" s="48"/>
      <c r="J99" s="48"/>
      <c r="K99" s="48"/>
      <c r="L99" s="48"/>
    </row>
    <row r="100" spans="1:12" ht="36" customHeight="1">
      <c r="A100" s="48"/>
      <c r="B100" s="48"/>
      <c r="C100" s="48"/>
      <c r="D100" s="48"/>
      <c r="E100" s="48"/>
      <c r="F100" s="48"/>
      <c r="G100" s="48"/>
      <c r="H100" s="48"/>
      <c r="I100" s="48"/>
      <c r="J100" s="48"/>
      <c r="K100" s="48"/>
      <c r="L100" s="48"/>
    </row>
    <row r="101" spans="1:12" ht="36" customHeight="1">
      <c r="A101" s="48"/>
      <c r="B101" s="48"/>
      <c r="C101" s="48"/>
      <c r="D101" s="48"/>
      <c r="E101" s="48"/>
      <c r="F101" s="48"/>
      <c r="G101" s="48"/>
      <c r="H101" s="48"/>
      <c r="I101" s="48"/>
      <c r="J101" s="48"/>
      <c r="K101" s="48"/>
      <c r="L101" s="48"/>
    </row>
    <row r="102" spans="1:12" ht="36" customHeight="1">
      <c r="A102" s="48"/>
      <c r="B102" s="48"/>
      <c r="C102" s="48"/>
      <c r="D102" s="48"/>
      <c r="E102" s="48"/>
      <c r="F102" s="48"/>
      <c r="G102" s="48"/>
      <c r="H102" s="48"/>
      <c r="I102" s="48"/>
      <c r="J102" s="48"/>
      <c r="K102" s="48"/>
      <c r="L102" s="48"/>
    </row>
    <row r="103" spans="1:12" ht="36" customHeight="1">
      <c r="A103" s="48"/>
      <c r="B103" s="48"/>
      <c r="C103" s="48"/>
      <c r="D103" s="48"/>
      <c r="E103" s="48"/>
      <c r="F103" s="48"/>
      <c r="G103" s="48"/>
      <c r="H103" s="48"/>
      <c r="I103" s="48"/>
      <c r="J103" s="48"/>
      <c r="K103" s="48"/>
      <c r="L103" s="48"/>
    </row>
    <row r="104" spans="1:12" ht="36" customHeight="1">
      <c r="A104" s="48"/>
      <c r="B104" s="48"/>
      <c r="C104" s="48"/>
      <c r="D104" s="48"/>
      <c r="E104" s="48"/>
      <c r="F104" s="48"/>
      <c r="G104" s="48"/>
      <c r="H104" s="48"/>
      <c r="I104" s="48"/>
      <c r="J104" s="48"/>
      <c r="K104" s="48"/>
      <c r="L104" s="48"/>
    </row>
    <row r="105" spans="1:12" ht="36" customHeight="1">
      <c r="A105" s="48"/>
      <c r="B105" s="48"/>
      <c r="C105" s="48"/>
      <c r="D105" s="48"/>
      <c r="E105" s="48"/>
      <c r="F105" s="48"/>
      <c r="G105" s="48"/>
      <c r="H105" s="48"/>
      <c r="I105" s="48"/>
      <c r="J105" s="48"/>
      <c r="K105" s="48"/>
      <c r="L105" s="48"/>
    </row>
    <row r="106" spans="1:12" ht="36" customHeight="1">
      <c r="A106" s="48"/>
      <c r="B106" s="48"/>
      <c r="C106" s="48"/>
      <c r="D106" s="48"/>
      <c r="E106" s="48"/>
      <c r="F106" s="48"/>
      <c r="G106" s="48"/>
      <c r="H106" s="48"/>
      <c r="I106" s="48"/>
      <c r="J106" s="48"/>
      <c r="K106" s="48"/>
      <c r="L106" s="48"/>
    </row>
    <row r="107" spans="1:12" ht="36" customHeight="1">
      <c r="A107" s="48"/>
      <c r="B107" s="48"/>
      <c r="C107" s="48"/>
      <c r="D107" s="48"/>
      <c r="E107" s="48"/>
      <c r="F107" s="48"/>
      <c r="G107" s="48"/>
      <c r="H107" s="48"/>
      <c r="I107" s="48"/>
      <c r="J107" s="48"/>
      <c r="K107" s="48"/>
      <c r="L107" s="48"/>
    </row>
    <row r="108" spans="1:12" ht="36" customHeight="1">
      <c r="A108" s="48"/>
      <c r="B108" s="48"/>
      <c r="C108" s="48"/>
      <c r="D108" s="48"/>
      <c r="E108" s="48"/>
      <c r="F108" s="48"/>
      <c r="G108" s="48"/>
      <c r="H108" s="48"/>
      <c r="I108" s="48"/>
      <c r="J108" s="48"/>
      <c r="K108" s="48"/>
      <c r="L108" s="48"/>
    </row>
    <row r="109" spans="1:12" ht="36" customHeight="1">
      <c r="A109" s="48"/>
      <c r="B109" s="48"/>
      <c r="C109" s="48"/>
      <c r="D109" s="48"/>
      <c r="E109" s="48"/>
      <c r="F109" s="48"/>
      <c r="G109" s="48"/>
      <c r="H109" s="48"/>
      <c r="I109" s="48"/>
      <c r="J109" s="48"/>
      <c r="K109" s="48"/>
      <c r="L109" s="48"/>
    </row>
    <row r="110" spans="1:12" ht="36" customHeight="1">
      <c r="A110" s="48"/>
      <c r="B110" s="48"/>
      <c r="C110" s="48"/>
      <c r="D110" s="48"/>
      <c r="E110" s="48"/>
      <c r="F110" s="48"/>
      <c r="G110" s="48"/>
      <c r="H110" s="48"/>
      <c r="I110" s="48"/>
      <c r="J110" s="48"/>
      <c r="K110" s="48"/>
      <c r="L110" s="48"/>
    </row>
    <row r="111" spans="1:12" ht="36" customHeight="1">
      <c r="A111" s="48"/>
      <c r="B111" s="48"/>
      <c r="C111" s="48"/>
      <c r="D111" s="48"/>
      <c r="E111" s="48"/>
      <c r="F111" s="48"/>
      <c r="G111" s="48"/>
      <c r="H111" s="48"/>
      <c r="I111" s="48"/>
      <c r="J111" s="48"/>
      <c r="K111" s="48"/>
      <c r="L111" s="48"/>
    </row>
    <row r="112" spans="1:12" ht="36" customHeight="1">
      <c r="A112" s="48"/>
      <c r="B112" s="48"/>
      <c r="C112" s="48"/>
      <c r="D112" s="48"/>
      <c r="E112" s="48"/>
      <c r="F112" s="48"/>
      <c r="G112" s="48"/>
      <c r="H112" s="48"/>
      <c r="I112" s="48"/>
      <c r="J112" s="48"/>
      <c r="K112" s="48"/>
      <c r="L112" s="48"/>
    </row>
    <row r="113" spans="1:12" ht="36" customHeight="1">
      <c r="A113" s="48"/>
      <c r="B113" s="48"/>
      <c r="C113" s="48"/>
      <c r="D113" s="48"/>
      <c r="E113" s="48"/>
      <c r="F113" s="48"/>
      <c r="G113" s="48"/>
      <c r="H113" s="48"/>
      <c r="I113" s="48"/>
      <c r="J113" s="48"/>
      <c r="K113" s="48"/>
      <c r="L113" s="48"/>
    </row>
    <row r="114" spans="1:12" ht="36" customHeight="1">
      <c r="A114" s="48"/>
      <c r="B114" s="48"/>
      <c r="C114" s="48"/>
      <c r="D114" s="48"/>
      <c r="E114" s="48"/>
      <c r="F114" s="48"/>
      <c r="G114" s="48"/>
      <c r="H114" s="48"/>
      <c r="I114" s="48"/>
      <c r="J114" s="48"/>
      <c r="K114" s="48"/>
      <c r="L114" s="48"/>
    </row>
    <row r="115" spans="1:12" ht="36" customHeight="1">
      <c r="A115" s="48"/>
      <c r="B115" s="48"/>
      <c r="C115" s="48"/>
      <c r="D115" s="48"/>
      <c r="E115" s="48"/>
      <c r="F115" s="48"/>
      <c r="G115" s="48"/>
      <c r="H115" s="48"/>
      <c r="I115" s="48"/>
      <c r="J115" s="48"/>
      <c r="K115" s="48"/>
      <c r="L115" s="48"/>
    </row>
    <row r="116" spans="1:12" ht="36" customHeight="1">
      <c r="A116" s="48"/>
      <c r="B116" s="48"/>
      <c r="C116" s="48"/>
      <c r="D116" s="48"/>
      <c r="E116" s="48"/>
      <c r="F116" s="48"/>
      <c r="G116" s="48"/>
      <c r="H116" s="48"/>
      <c r="I116" s="48"/>
      <c r="J116" s="48"/>
      <c r="K116" s="48"/>
      <c r="L116" s="48"/>
    </row>
    <row r="117" spans="1:12" ht="36" customHeight="1">
      <c r="A117" s="48"/>
      <c r="B117" s="48"/>
      <c r="C117" s="48"/>
      <c r="D117" s="48"/>
      <c r="E117" s="48"/>
      <c r="F117" s="48"/>
      <c r="G117" s="48"/>
      <c r="H117" s="48"/>
      <c r="I117" s="48"/>
      <c r="J117" s="48"/>
      <c r="K117" s="48"/>
      <c r="L117" s="48"/>
    </row>
    <row r="118" spans="1:12" ht="36" customHeight="1">
      <c r="A118" s="48"/>
      <c r="B118" s="48"/>
      <c r="C118" s="48"/>
      <c r="D118" s="48"/>
      <c r="E118" s="48"/>
      <c r="F118" s="48"/>
      <c r="G118" s="48"/>
      <c r="H118" s="48"/>
      <c r="I118" s="48"/>
      <c r="J118" s="48"/>
      <c r="K118" s="48"/>
      <c r="L118" s="48"/>
    </row>
    <row r="119" spans="1:12" ht="36" customHeight="1">
      <c r="A119" s="48"/>
      <c r="B119" s="48"/>
      <c r="C119" s="48"/>
      <c r="D119" s="48"/>
      <c r="E119" s="48"/>
      <c r="F119" s="48"/>
      <c r="G119" s="48"/>
      <c r="H119" s="48"/>
      <c r="I119" s="48"/>
      <c r="J119" s="48"/>
      <c r="K119" s="48"/>
      <c r="L119" s="48"/>
    </row>
    <row r="120" spans="1:12" ht="36" customHeight="1">
      <c r="A120" s="48"/>
      <c r="B120" s="48"/>
      <c r="C120" s="48"/>
      <c r="D120" s="48"/>
      <c r="E120" s="48"/>
      <c r="F120" s="48"/>
      <c r="G120" s="48"/>
      <c r="H120" s="48"/>
      <c r="I120" s="48"/>
      <c r="J120" s="48"/>
      <c r="K120" s="48"/>
      <c r="L120" s="48"/>
    </row>
    <row r="121" spans="1:12" ht="36" customHeight="1">
      <c r="A121" s="48"/>
      <c r="B121" s="48"/>
      <c r="C121" s="48"/>
      <c r="D121" s="48"/>
      <c r="E121" s="48"/>
      <c r="F121" s="48"/>
      <c r="G121" s="48"/>
      <c r="H121" s="48"/>
      <c r="I121" s="48"/>
      <c r="J121" s="48"/>
      <c r="K121" s="48"/>
      <c r="L121" s="48"/>
    </row>
  </sheetData>
  <mergeCells count="3">
    <mergeCell ref="A4:L4"/>
    <mergeCell ref="A3:L3"/>
    <mergeCell ref="A1:L1"/>
  </mergeCells>
  <dataValidations count="2">
    <dataValidation type="list" sqref="L7:L201" xr:uid="{00000000-0002-0000-1700-000000000000}">
      <formula1>"Not Started,In Progress,Complete,Gap,Hold,N/A"</formula1>
    </dataValidation>
    <dataValidation type="list" allowBlank="1" sqref="I8:I19" xr:uid="{00000000-0002-0000-1700-000001000000}">
      <formula1>"Not Started,In Progress,Needs Review,Complete,Not Applicable,Blocked"</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2E75B6"/>
  </sheetPr>
  <dimension ref="A1:H13"/>
  <sheetViews>
    <sheetView showGridLines="0" workbookViewId="0"/>
  </sheetViews>
  <sheetFormatPr defaultRowHeight="15"/>
  <cols>
    <col min="1" max="1" width="34.28515625" customWidth="1"/>
    <col min="2" max="2" width="30" customWidth="1"/>
    <col min="3" max="3" width="32" customWidth="1"/>
    <col min="4" max="4" width="24" customWidth="1"/>
    <col min="5" max="5" width="30" customWidth="1"/>
    <col min="6" max="6" width="34" customWidth="1"/>
    <col min="7" max="7" width="18" customWidth="1"/>
    <col min="8" max="8" width="34" customWidth="1"/>
  </cols>
  <sheetData>
    <row r="1" spans="1:8" s="48" customFormat="1">
      <c r="A1" s="178" t="s">
        <v>2118</v>
      </c>
      <c r="B1" s="178"/>
      <c r="C1" s="178"/>
      <c r="D1" s="178"/>
      <c r="E1" s="178"/>
      <c r="F1" s="178"/>
      <c r="G1" s="178"/>
      <c r="H1" s="178"/>
    </row>
    <row r="2" spans="1:8" ht="24" customHeight="1">
      <c r="A2" s="56" t="s">
        <v>0</v>
      </c>
      <c r="B2" s="56"/>
      <c r="C2" s="56"/>
      <c r="D2" s="56"/>
      <c r="E2" s="56"/>
      <c r="F2" s="56"/>
      <c r="G2" s="56"/>
      <c r="H2" s="56"/>
    </row>
    <row r="3" spans="1:8" ht="30" customHeight="1">
      <c r="A3" s="45" t="s">
        <v>2128</v>
      </c>
      <c r="B3" s="45"/>
      <c r="C3" s="45"/>
      <c r="D3" s="45"/>
      <c r="E3" s="45"/>
      <c r="F3" s="45"/>
      <c r="G3" s="45"/>
      <c r="H3" s="45"/>
    </row>
    <row r="4" spans="1:8" ht="30" customHeight="1">
      <c r="A4" s="44" t="s">
        <v>2129</v>
      </c>
      <c r="B4" s="44"/>
      <c r="C4" s="44"/>
      <c r="D4" s="44"/>
      <c r="E4" s="44"/>
      <c r="F4" s="44"/>
      <c r="G4" s="44"/>
      <c r="H4" s="44"/>
    </row>
    <row r="5" spans="1:8">
      <c r="A5" s="46"/>
      <c r="B5" s="46"/>
      <c r="C5" s="46"/>
      <c r="D5" s="46"/>
      <c r="E5" s="46"/>
      <c r="F5" s="46"/>
      <c r="G5" s="46"/>
      <c r="H5" s="46"/>
    </row>
    <row r="6" spans="1:8" ht="21.95" customHeight="1">
      <c r="A6" s="57" t="s">
        <v>2130</v>
      </c>
      <c r="B6" s="57"/>
      <c r="C6" s="57"/>
      <c r="D6" s="57"/>
      <c r="E6" s="57"/>
      <c r="F6" s="57"/>
      <c r="G6" s="57"/>
      <c r="H6" s="57"/>
    </row>
    <row r="7" spans="1:8" ht="33.950000000000003" customHeight="1">
      <c r="A7" s="36" t="s">
        <v>2131</v>
      </c>
      <c r="B7" s="36" t="s">
        <v>2132</v>
      </c>
      <c r="C7" s="36" t="s">
        <v>2133</v>
      </c>
      <c r="D7" s="36" t="s">
        <v>1646</v>
      </c>
      <c r="E7" s="36" t="s">
        <v>578</v>
      </c>
      <c r="F7" s="36" t="s">
        <v>2134</v>
      </c>
      <c r="G7" s="36" t="s">
        <v>145</v>
      </c>
      <c r="H7" s="36" t="s">
        <v>70</v>
      </c>
    </row>
    <row r="8" spans="1:8">
      <c r="A8" s="37" t="s">
        <v>2135</v>
      </c>
      <c r="B8" s="37" t="s">
        <v>2136</v>
      </c>
      <c r="C8" s="37"/>
      <c r="D8" s="37"/>
      <c r="E8" s="37"/>
      <c r="F8" s="37"/>
      <c r="G8" s="37" t="s">
        <v>152</v>
      </c>
      <c r="H8" s="37"/>
    </row>
    <row r="9" spans="1:8">
      <c r="A9" s="37" t="s">
        <v>2137</v>
      </c>
      <c r="B9" s="37" t="s">
        <v>2138</v>
      </c>
      <c r="C9" s="37"/>
      <c r="D9" s="37"/>
      <c r="E9" s="37"/>
      <c r="F9" s="37"/>
      <c r="G9" s="37" t="s">
        <v>152</v>
      </c>
      <c r="H9" s="37"/>
    </row>
    <row r="10" spans="1:8">
      <c r="A10" s="37" t="s">
        <v>2139</v>
      </c>
      <c r="B10" s="37" t="s">
        <v>2140</v>
      </c>
      <c r="C10" s="37"/>
      <c r="D10" s="37"/>
      <c r="E10" s="37"/>
      <c r="F10" s="37"/>
      <c r="G10" s="37" t="s">
        <v>152</v>
      </c>
      <c r="H10" s="37"/>
    </row>
    <row r="11" spans="1:8">
      <c r="A11" s="37" t="s">
        <v>2141</v>
      </c>
      <c r="B11" s="37" t="s">
        <v>2142</v>
      </c>
      <c r="C11" s="37"/>
      <c r="D11" s="37"/>
      <c r="E11" s="37"/>
      <c r="F11" s="37"/>
      <c r="G11" s="37" t="s">
        <v>152</v>
      </c>
      <c r="H11" s="37"/>
    </row>
    <row r="12" spans="1:8">
      <c r="A12" s="37" t="s">
        <v>452</v>
      </c>
      <c r="B12" s="37" t="s">
        <v>2143</v>
      </c>
      <c r="C12" s="37"/>
      <c r="D12" s="37"/>
      <c r="E12" s="37"/>
      <c r="F12" s="37"/>
      <c r="G12" s="37" t="s">
        <v>152</v>
      </c>
      <c r="H12" s="37"/>
    </row>
    <row r="13" spans="1:8">
      <c r="A13" s="46"/>
      <c r="B13" s="46"/>
      <c r="C13" s="46"/>
      <c r="D13" s="46"/>
      <c r="E13" s="46"/>
      <c r="F13" s="46"/>
      <c r="G13" s="46"/>
      <c r="H13" s="46"/>
    </row>
  </sheetData>
  <mergeCells count="1">
    <mergeCell ref="A1:H1"/>
  </mergeCells>
  <dataValidations count="2">
    <dataValidation type="list" allowBlank="1" sqref="C8:C12" xr:uid="{00000000-0002-0000-1800-000000000000}">
      <formula1>"Not Started,Approved,Conditional,Rejected,Needs Review,Not Applicable"</formula1>
    </dataValidation>
    <dataValidation type="list" allowBlank="1" sqref="G8:G12" xr:uid="{00000000-0002-0000-1800-000001000000}">
      <formula1>"Not Started,In Progress,Needs Review,Complete,Not Applicable,Blocked"</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2E75B6"/>
  </sheetPr>
  <dimension ref="A1:H121"/>
  <sheetViews>
    <sheetView showGridLines="0" workbookViewId="0">
      <selection activeCell="C12" sqref="C12"/>
    </sheetView>
  </sheetViews>
  <sheetFormatPr defaultRowHeight="15"/>
  <cols>
    <col min="1" max="1" width="28" customWidth="1"/>
    <col min="2" max="2" width="44" customWidth="1"/>
    <col min="3" max="3" width="34" customWidth="1"/>
    <col min="4" max="4" width="30" customWidth="1"/>
    <col min="5" max="5" width="24" customWidth="1"/>
    <col min="6" max="6" width="18" customWidth="1"/>
    <col min="7" max="7" width="36" customWidth="1"/>
    <col min="8" max="8" width="26" customWidth="1"/>
  </cols>
  <sheetData>
    <row r="1" spans="1:8" s="48" customFormat="1">
      <c r="A1" s="178" t="s">
        <v>2118</v>
      </c>
      <c r="B1" s="178"/>
      <c r="C1" s="178"/>
      <c r="D1" s="178"/>
      <c r="E1" s="178"/>
      <c r="F1" s="178"/>
      <c r="G1" s="178"/>
      <c r="H1" s="178"/>
    </row>
    <row r="2" spans="1:8" ht="24" customHeight="1">
      <c r="A2" s="56" t="s">
        <v>0</v>
      </c>
      <c r="B2" s="56"/>
      <c r="C2" s="56"/>
      <c r="D2" s="56"/>
      <c r="E2" s="56"/>
      <c r="F2" s="56"/>
      <c r="G2" s="56"/>
      <c r="H2" s="48"/>
    </row>
    <row r="3" spans="1:8" ht="30" customHeight="1">
      <c r="A3" s="168" t="s">
        <v>2144</v>
      </c>
      <c r="B3" s="193"/>
      <c r="C3" s="193"/>
      <c r="D3" s="193"/>
      <c r="E3" s="193"/>
      <c r="F3" s="193"/>
      <c r="G3" s="193"/>
      <c r="H3" s="193"/>
    </row>
    <row r="4" spans="1:8" ht="30" customHeight="1">
      <c r="A4" s="167" t="s">
        <v>2145</v>
      </c>
      <c r="B4" s="193"/>
      <c r="C4" s="193"/>
      <c r="D4" s="193"/>
      <c r="E4" s="193"/>
      <c r="F4" s="193"/>
      <c r="G4" s="193"/>
      <c r="H4" s="193"/>
    </row>
    <row r="5" spans="1:8" ht="36" customHeight="1">
      <c r="A5" s="46"/>
      <c r="B5" s="46"/>
      <c r="C5" s="46"/>
      <c r="D5" s="46"/>
      <c r="E5" s="46"/>
      <c r="F5" s="46"/>
      <c r="G5" s="46"/>
      <c r="H5" s="48"/>
    </row>
    <row r="6" spans="1:8" ht="21.95" customHeight="1">
      <c r="A6" s="57" t="s">
        <v>2146</v>
      </c>
      <c r="B6" s="57"/>
      <c r="C6" s="57"/>
      <c r="D6" s="57"/>
      <c r="E6" s="57"/>
      <c r="F6" s="57"/>
      <c r="G6" s="57"/>
      <c r="H6" s="48"/>
    </row>
    <row r="7" spans="1:8" ht="33.950000000000003" customHeight="1">
      <c r="A7" s="36" t="s">
        <v>2147</v>
      </c>
      <c r="B7" s="36" t="s">
        <v>576</v>
      </c>
      <c r="C7" s="36" t="s">
        <v>2148</v>
      </c>
      <c r="D7" s="36" t="s">
        <v>578</v>
      </c>
      <c r="E7" s="36" t="s">
        <v>144</v>
      </c>
      <c r="F7" s="36" t="s">
        <v>145</v>
      </c>
      <c r="G7" s="36" t="s">
        <v>70</v>
      </c>
      <c r="H7" s="48"/>
    </row>
    <row r="8" spans="1:8" ht="72" customHeight="1">
      <c r="A8" s="37" t="s">
        <v>2149</v>
      </c>
      <c r="B8" s="37" t="s">
        <v>2150</v>
      </c>
      <c r="C8" s="37" t="s">
        <v>2151</v>
      </c>
      <c r="D8" s="37"/>
      <c r="E8" s="37" t="s">
        <v>186</v>
      </c>
      <c r="F8" s="37" t="s">
        <v>152</v>
      </c>
      <c r="G8" s="37"/>
      <c r="H8" s="48"/>
    </row>
    <row r="9" spans="1:8" ht="72" customHeight="1">
      <c r="A9" s="37" t="s">
        <v>2152</v>
      </c>
      <c r="B9" s="37" t="s">
        <v>2153</v>
      </c>
      <c r="C9" s="37" t="s">
        <v>2154</v>
      </c>
      <c r="D9" s="37"/>
      <c r="E9" s="37" t="s">
        <v>228</v>
      </c>
      <c r="F9" s="37" t="s">
        <v>152</v>
      </c>
      <c r="G9" s="37"/>
      <c r="H9" s="48"/>
    </row>
    <row r="10" spans="1:8" ht="72" customHeight="1">
      <c r="A10" s="37" t="s">
        <v>2155</v>
      </c>
      <c r="B10" s="37" t="s">
        <v>2156</v>
      </c>
      <c r="C10" s="37" t="s">
        <v>35</v>
      </c>
      <c r="D10" s="37"/>
      <c r="E10" s="37" t="s">
        <v>613</v>
      </c>
      <c r="F10" s="37" t="s">
        <v>152</v>
      </c>
      <c r="G10" s="37"/>
      <c r="H10" s="48"/>
    </row>
    <row r="11" spans="1:8" ht="72" customHeight="1">
      <c r="A11" s="37" t="s">
        <v>2157</v>
      </c>
      <c r="B11" s="37" t="s">
        <v>2158</v>
      </c>
      <c r="C11" s="37" t="s">
        <v>2159</v>
      </c>
      <c r="D11" s="37"/>
      <c r="E11" s="37" t="s">
        <v>736</v>
      </c>
      <c r="F11" s="37" t="s">
        <v>152</v>
      </c>
      <c r="G11" s="37"/>
      <c r="H11" s="48"/>
    </row>
    <row r="12" spans="1:8" ht="72" customHeight="1">
      <c r="A12" s="37" t="s">
        <v>2160</v>
      </c>
      <c r="B12" s="37" t="s">
        <v>2161</v>
      </c>
      <c r="C12" s="37" t="s">
        <v>2162</v>
      </c>
      <c r="D12" s="37"/>
      <c r="E12" s="37" t="s">
        <v>243</v>
      </c>
      <c r="F12" s="37" t="s">
        <v>152</v>
      </c>
      <c r="G12" s="37"/>
      <c r="H12" s="48"/>
    </row>
    <row r="13" spans="1:8" ht="72" customHeight="1">
      <c r="A13" s="37" t="s">
        <v>2163</v>
      </c>
      <c r="B13" s="37" t="s">
        <v>2164</v>
      </c>
      <c r="C13" s="37" t="s">
        <v>2165</v>
      </c>
      <c r="D13" s="37"/>
      <c r="E13" s="37" t="s">
        <v>946</v>
      </c>
      <c r="F13" s="37" t="s">
        <v>152</v>
      </c>
      <c r="G13" s="37"/>
      <c r="H13" s="48"/>
    </row>
    <row r="14" spans="1:8" ht="72" customHeight="1">
      <c r="A14" s="46"/>
      <c r="B14" s="46"/>
      <c r="C14" s="46"/>
      <c r="D14" s="46"/>
      <c r="E14" s="46"/>
      <c r="F14" s="46"/>
      <c r="G14" s="46"/>
      <c r="H14" s="48"/>
    </row>
    <row r="15" spans="1:8" ht="72" customHeight="1">
      <c r="A15" s="48"/>
      <c r="B15" s="48"/>
      <c r="C15" s="48"/>
      <c r="D15" s="48"/>
      <c r="E15" s="48"/>
      <c r="F15" s="48"/>
      <c r="G15" s="48"/>
      <c r="H15" s="48"/>
    </row>
    <row r="16" spans="1:8" ht="72" customHeight="1">
      <c r="A16" s="48"/>
      <c r="B16" s="48"/>
      <c r="C16" s="48"/>
      <c r="D16" s="48"/>
      <c r="E16" s="48"/>
      <c r="F16" s="48"/>
      <c r="G16" s="48"/>
      <c r="H16" s="48"/>
    </row>
    <row r="17" spans="1:8" ht="72" customHeight="1">
      <c r="A17" s="48"/>
      <c r="B17" s="48"/>
      <c r="C17" s="48"/>
      <c r="D17" s="48"/>
      <c r="E17" s="48"/>
      <c r="F17" s="48"/>
      <c r="G17" s="48"/>
      <c r="H17" s="48"/>
    </row>
    <row r="18" spans="1:8" ht="72" customHeight="1">
      <c r="A18" s="48"/>
      <c r="B18" s="48"/>
      <c r="C18" s="48"/>
      <c r="D18" s="48"/>
      <c r="E18" s="48"/>
      <c r="F18" s="48"/>
      <c r="G18" s="48"/>
      <c r="H18" s="48"/>
    </row>
    <row r="19" spans="1:8" ht="72" customHeight="1">
      <c r="A19" s="48"/>
      <c r="B19" s="48"/>
      <c r="C19" s="48"/>
      <c r="D19" s="48"/>
      <c r="E19" s="48"/>
      <c r="F19" s="48"/>
      <c r="G19" s="48"/>
      <c r="H19" s="48"/>
    </row>
    <row r="20" spans="1:8" ht="36" customHeight="1">
      <c r="A20" s="48"/>
      <c r="B20" s="48"/>
      <c r="C20" s="48"/>
      <c r="D20" s="48"/>
      <c r="E20" s="48"/>
      <c r="F20" s="48"/>
      <c r="G20" s="48"/>
      <c r="H20" s="48"/>
    </row>
    <row r="21" spans="1:8" ht="36" customHeight="1">
      <c r="A21" s="48"/>
      <c r="B21" s="48"/>
      <c r="C21" s="48"/>
      <c r="D21" s="48"/>
      <c r="E21" s="48"/>
      <c r="F21" s="48"/>
      <c r="G21" s="48"/>
      <c r="H21" s="48"/>
    </row>
    <row r="22" spans="1:8" ht="36" customHeight="1">
      <c r="A22" s="48"/>
      <c r="B22" s="48"/>
      <c r="C22" s="48"/>
      <c r="D22" s="48"/>
      <c r="E22" s="48"/>
      <c r="F22" s="48"/>
      <c r="G22" s="48"/>
      <c r="H22" s="48"/>
    </row>
    <row r="23" spans="1:8" ht="36" customHeight="1">
      <c r="A23" s="48"/>
      <c r="B23" s="48"/>
      <c r="C23" s="48"/>
      <c r="D23" s="48"/>
      <c r="E23" s="48"/>
      <c r="F23" s="48"/>
      <c r="G23" s="48"/>
      <c r="H23" s="48"/>
    </row>
    <row r="24" spans="1:8" ht="36" customHeight="1">
      <c r="A24" s="48"/>
      <c r="B24" s="48"/>
      <c r="C24" s="48"/>
      <c r="D24" s="48"/>
      <c r="E24" s="48"/>
      <c r="F24" s="48"/>
      <c r="G24" s="48"/>
      <c r="H24" s="48"/>
    </row>
    <row r="25" spans="1:8" ht="36" customHeight="1">
      <c r="A25" s="48"/>
      <c r="B25" s="48"/>
      <c r="C25" s="48"/>
      <c r="D25" s="48"/>
      <c r="E25" s="48"/>
      <c r="F25" s="48"/>
      <c r="G25" s="48"/>
      <c r="H25" s="48"/>
    </row>
    <row r="26" spans="1:8" ht="36" customHeight="1">
      <c r="A26" s="48"/>
      <c r="B26" s="48"/>
      <c r="C26" s="48"/>
      <c r="D26" s="48"/>
      <c r="E26" s="48"/>
      <c r="F26" s="48"/>
      <c r="G26" s="48"/>
      <c r="H26" s="48"/>
    </row>
    <row r="27" spans="1:8" ht="36" customHeight="1">
      <c r="A27" s="48"/>
      <c r="B27" s="48"/>
      <c r="C27" s="48"/>
      <c r="D27" s="48"/>
      <c r="E27" s="48"/>
      <c r="F27" s="48"/>
      <c r="G27" s="48"/>
      <c r="H27" s="48"/>
    </row>
    <row r="28" spans="1:8" ht="36" customHeight="1">
      <c r="A28" s="48"/>
      <c r="B28" s="48"/>
      <c r="C28" s="48"/>
      <c r="D28" s="48"/>
      <c r="E28" s="48"/>
      <c r="F28" s="48"/>
      <c r="G28" s="48"/>
      <c r="H28" s="48"/>
    </row>
    <row r="29" spans="1:8" ht="36" customHeight="1">
      <c r="A29" s="48"/>
      <c r="B29" s="48"/>
      <c r="C29" s="48"/>
      <c r="D29" s="48"/>
      <c r="E29" s="48"/>
      <c r="F29" s="48"/>
      <c r="G29" s="48"/>
      <c r="H29" s="48"/>
    </row>
    <row r="30" spans="1:8" ht="36" customHeight="1">
      <c r="A30" s="48"/>
      <c r="B30" s="48"/>
      <c r="C30" s="48"/>
      <c r="D30" s="48"/>
      <c r="E30" s="48"/>
      <c r="F30" s="48"/>
      <c r="G30" s="48"/>
      <c r="H30" s="48"/>
    </row>
    <row r="31" spans="1:8" ht="36" customHeight="1">
      <c r="A31" s="48"/>
      <c r="B31" s="48"/>
      <c r="C31" s="48"/>
      <c r="D31" s="48"/>
      <c r="E31" s="48"/>
      <c r="F31" s="48"/>
      <c r="G31" s="48"/>
      <c r="H31" s="48"/>
    </row>
    <row r="32" spans="1:8" ht="36" customHeight="1">
      <c r="A32" s="48"/>
      <c r="B32" s="48"/>
      <c r="C32" s="48"/>
      <c r="D32" s="48"/>
      <c r="E32" s="48"/>
      <c r="F32" s="48"/>
      <c r="G32" s="48"/>
      <c r="H32" s="48"/>
    </row>
    <row r="33" spans="1:8" ht="36" customHeight="1">
      <c r="A33" s="48"/>
      <c r="B33" s="48"/>
      <c r="C33" s="48"/>
      <c r="D33" s="48"/>
      <c r="E33" s="48"/>
      <c r="F33" s="48"/>
      <c r="G33" s="48"/>
      <c r="H33" s="48"/>
    </row>
    <row r="34" spans="1:8" ht="36" customHeight="1">
      <c r="A34" s="48"/>
      <c r="B34" s="48"/>
      <c r="C34" s="48"/>
      <c r="D34" s="48"/>
      <c r="E34" s="48"/>
      <c r="F34" s="48"/>
      <c r="G34" s="48"/>
      <c r="H34" s="48"/>
    </row>
    <row r="35" spans="1:8" ht="36" customHeight="1">
      <c r="A35" s="48"/>
      <c r="B35" s="48"/>
      <c r="C35" s="48"/>
      <c r="D35" s="48"/>
      <c r="E35" s="48"/>
      <c r="F35" s="48"/>
      <c r="G35" s="48"/>
      <c r="H35" s="48"/>
    </row>
    <row r="36" spans="1:8" ht="36" customHeight="1">
      <c r="A36" s="48"/>
      <c r="B36" s="48"/>
      <c r="C36" s="48"/>
      <c r="D36" s="48"/>
      <c r="E36" s="48"/>
      <c r="F36" s="48"/>
      <c r="G36" s="48"/>
      <c r="H36" s="48"/>
    </row>
    <row r="37" spans="1:8" ht="36" customHeight="1">
      <c r="A37" s="48"/>
      <c r="B37" s="48"/>
      <c r="C37" s="48"/>
      <c r="D37" s="48"/>
      <c r="E37" s="48"/>
      <c r="F37" s="48"/>
      <c r="G37" s="48"/>
      <c r="H37" s="48"/>
    </row>
    <row r="38" spans="1:8" ht="36" customHeight="1">
      <c r="A38" s="48"/>
      <c r="B38" s="48"/>
      <c r="C38" s="48"/>
      <c r="D38" s="48"/>
      <c r="E38" s="48"/>
      <c r="F38" s="48"/>
      <c r="G38" s="48"/>
      <c r="H38" s="48"/>
    </row>
    <row r="39" spans="1:8" ht="36" customHeight="1">
      <c r="A39" s="48"/>
      <c r="B39" s="48"/>
      <c r="C39" s="48"/>
      <c r="D39" s="48"/>
      <c r="E39" s="48"/>
      <c r="F39" s="48"/>
      <c r="G39" s="48"/>
      <c r="H39" s="48"/>
    </row>
    <row r="40" spans="1:8" ht="36" customHeight="1">
      <c r="A40" s="48"/>
      <c r="B40" s="48"/>
      <c r="C40" s="48"/>
      <c r="D40" s="48"/>
      <c r="E40" s="48"/>
      <c r="F40" s="48"/>
      <c r="G40" s="48"/>
      <c r="H40" s="48"/>
    </row>
    <row r="41" spans="1:8" ht="36" customHeight="1">
      <c r="A41" s="48"/>
      <c r="B41" s="48"/>
      <c r="C41" s="48"/>
      <c r="D41" s="48"/>
      <c r="E41" s="48"/>
      <c r="F41" s="48"/>
      <c r="G41" s="48"/>
      <c r="H41" s="48"/>
    </row>
    <row r="42" spans="1:8" ht="36" customHeight="1">
      <c r="A42" s="48"/>
      <c r="B42" s="48"/>
      <c r="C42" s="48"/>
      <c r="D42" s="48"/>
      <c r="E42" s="48"/>
      <c r="F42" s="48"/>
      <c r="G42" s="48"/>
      <c r="H42" s="48"/>
    </row>
    <row r="43" spans="1:8" ht="36" customHeight="1">
      <c r="A43" s="48"/>
      <c r="B43" s="48"/>
      <c r="C43" s="48"/>
      <c r="D43" s="48"/>
      <c r="E43" s="48"/>
      <c r="F43" s="48"/>
      <c r="G43" s="48"/>
      <c r="H43" s="48"/>
    </row>
    <row r="44" spans="1:8" ht="36" customHeight="1">
      <c r="A44" s="48"/>
      <c r="B44" s="48"/>
      <c r="C44" s="48"/>
      <c r="D44" s="48"/>
      <c r="E44" s="48"/>
      <c r="F44" s="48"/>
      <c r="G44" s="48"/>
      <c r="H44" s="48"/>
    </row>
    <row r="45" spans="1:8" ht="36" customHeight="1">
      <c r="A45" s="48"/>
      <c r="B45" s="48"/>
      <c r="C45" s="48"/>
      <c r="D45" s="48"/>
      <c r="E45" s="48"/>
      <c r="F45" s="48"/>
      <c r="G45" s="48"/>
      <c r="H45" s="48"/>
    </row>
    <row r="46" spans="1:8" ht="36" customHeight="1">
      <c r="A46" s="48"/>
      <c r="B46" s="48"/>
      <c r="C46" s="48"/>
      <c r="D46" s="48"/>
      <c r="E46" s="48"/>
      <c r="F46" s="48"/>
      <c r="G46" s="48"/>
      <c r="H46" s="48"/>
    </row>
    <row r="47" spans="1:8" ht="36" customHeight="1">
      <c r="A47" s="48"/>
      <c r="B47" s="48"/>
      <c r="C47" s="48"/>
      <c r="D47" s="48"/>
      <c r="E47" s="48"/>
      <c r="F47" s="48"/>
      <c r="G47" s="48"/>
      <c r="H47" s="48"/>
    </row>
    <row r="48" spans="1:8" ht="36" customHeight="1">
      <c r="A48" s="48"/>
      <c r="B48" s="48"/>
      <c r="C48" s="48"/>
      <c r="D48" s="48"/>
      <c r="E48" s="48"/>
      <c r="F48" s="48"/>
      <c r="G48" s="48"/>
      <c r="H48" s="48"/>
    </row>
    <row r="49" spans="1:8" ht="36" customHeight="1">
      <c r="A49" s="48"/>
      <c r="B49" s="48"/>
      <c r="C49" s="48"/>
      <c r="D49" s="48"/>
      <c r="E49" s="48"/>
      <c r="F49" s="48"/>
      <c r="G49" s="48"/>
      <c r="H49" s="48"/>
    </row>
    <row r="50" spans="1:8" ht="36" customHeight="1">
      <c r="A50" s="48"/>
      <c r="B50" s="48"/>
      <c r="C50" s="48"/>
      <c r="D50" s="48"/>
      <c r="E50" s="48"/>
      <c r="F50" s="48"/>
      <c r="G50" s="48"/>
      <c r="H50" s="48"/>
    </row>
    <row r="51" spans="1:8" ht="36" customHeight="1">
      <c r="A51" s="48"/>
      <c r="B51" s="48"/>
      <c r="C51" s="48"/>
      <c r="D51" s="48"/>
      <c r="E51" s="48"/>
      <c r="F51" s="48"/>
      <c r="G51" s="48"/>
      <c r="H51" s="48"/>
    </row>
    <row r="52" spans="1:8" ht="36" customHeight="1">
      <c r="A52" s="48"/>
      <c r="B52" s="48"/>
      <c r="C52" s="48"/>
      <c r="D52" s="48"/>
      <c r="E52" s="48"/>
      <c r="F52" s="48"/>
      <c r="G52" s="48"/>
      <c r="H52" s="48"/>
    </row>
    <row r="53" spans="1:8" ht="36" customHeight="1">
      <c r="A53" s="48"/>
      <c r="B53" s="48"/>
      <c r="C53" s="48"/>
      <c r="D53" s="48"/>
      <c r="E53" s="48"/>
      <c r="F53" s="48"/>
      <c r="G53" s="48"/>
      <c r="H53" s="48"/>
    </row>
    <row r="54" spans="1:8" ht="36" customHeight="1">
      <c r="A54" s="48"/>
      <c r="B54" s="48"/>
      <c r="C54" s="48"/>
      <c r="D54" s="48"/>
      <c r="E54" s="48"/>
      <c r="F54" s="48"/>
      <c r="G54" s="48"/>
      <c r="H54" s="48"/>
    </row>
    <row r="55" spans="1:8" ht="36" customHeight="1">
      <c r="A55" s="48"/>
      <c r="B55" s="48"/>
      <c r="C55" s="48"/>
      <c r="D55" s="48"/>
      <c r="E55" s="48"/>
      <c r="F55" s="48"/>
      <c r="G55" s="48"/>
      <c r="H55" s="48"/>
    </row>
    <row r="56" spans="1:8" ht="36" customHeight="1">
      <c r="A56" s="48"/>
      <c r="B56" s="48"/>
      <c r="C56" s="48"/>
      <c r="D56" s="48"/>
      <c r="E56" s="48"/>
      <c r="F56" s="48"/>
      <c r="G56" s="48"/>
      <c r="H56" s="48"/>
    </row>
    <row r="57" spans="1:8" ht="36" customHeight="1">
      <c r="A57" s="48"/>
      <c r="B57" s="48"/>
      <c r="C57" s="48"/>
      <c r="D57" s="48"/>
      <c r="E57" s="48"/>
      <c r="F57" s="48"/>
      <c r="G57" s="48"/>
      <c r="H57" s="48"/>
    </row>
    <row r="58" spans="1:8" ht="36" customHeight="1">
      <c r="A58" s="48"/>
      <c r="B58" s="48"/>
      <c r="C58" s="48"/>
      <c r="D58" s="48"/>
      <c r="E58" s="48"/>
      <c r="F58" s="48"/>
      <c r="G58" s="48"/>
      <c r="H58" s="48"/>
    </row>
    <row r="59" spans="1:8" ht="36" customHeight="1">
      <c r="A59" s="48"/>
      <c r="B59" s="48"/>
      <c r="C59" s="48"/>
      <c r="D59" s="48"/>
      <c r="E59" s="48"/>
      <c r="F59" s="48"/>
      <c r="G59" s="48"/>
      <c r="H59" s="48"/>
    </row>
    <row r="60" spans="1:8" ht="36" customHeight="1">
      <c r="A60" s="48"/>
      <c r="B60" s="48"/>
      <c r="C60" s="48"/>
      <c r="D60" s="48"/>
      <c r="E60" s="48"/>
      <c r="F60" s="48"/>
      <c r="G60" s="48"/>
      <c r="H60" s="48"/>
    </row>
    <row r="61" spans="1:8" ht="36" customHeight="1">
      <c r="A61" s="48"/>
      <c r="B61" s="48"/>
      <c r="C61" s="48"/>
      <c r="D61" s="48"/>
      <c r="E61" s="48"/>
      <c r="F61" s="48"/>
      <c r="G61" s="48"/>
      <c r="H61" s="48"/>
    </row>
    <row r="62" spans="1:8" ht="36" customHeight="1">
      <c r="A62" s="48"/>
      <c r="B62" s="48"/>
      <c r="C62" s="48"/>
      <c r="D62" s="48"/>
      <c r="E62" s="48"/>
      <c r="F62" s="48"/>
      <c r="G62" s="48"/>
      <c r="H62" s="48"/>
    </row>
    <row r="63" spans="1:8" ht="36" customHeight="1">
      <c r="A63" s="48"/>
      <c r="B63" s="48"/>
      <c r="C63" s="48"/>
      <c r="D63" s="48"/>
      <c r="E63" s="48"/>
      <c r="F63" s="48"/>
      <c r="G63" s="48"/>
      <c r="H63" s="48"/>
    </row>
    <row r="64" spans="1:8" ht="36" customHeight="1">
      <c r="A64" s="48"/>
      <c r="B64" s="48"/>
      <c r="C64" s="48"/>
      <c r="D64" s="48"/>
      <c r="E64" s="48"/>
      <c r="F64" s="48"/>
      <c r="G64" s="48"/>
      <c r="H64" s="48"/>
    </row>
    <row r="65" spans="1:8" ht="36" customHeight="1">
      <c r="A65" s="48"/>
      <c r="B65" s="48"/>
      <c r="C65" s="48"/>
      <c r="D65" s="48"/>
      <c r="E65" s="48"/>
      <c r="F65" s="48"/>
      <c r="G65" s="48"/>
      <c r="H65" s="48"/>
    </row>
    <row r="66" spans="1:8" ht="36" customHeight="1">
      <c r="A66" s="48"/>
      <c r="B66" s="48"/>
      <c r="C66" s="48"/>
      <c r="D66" s="48"/>
      <c r="E66" s="48"/>
      <c r="F66" s="48"/>
      <c r="G66" s="48"/>
      <c r="H66" s="48"/>
    </row>
    <row r="67" spans="1:8" ht="36" customHeight="1">
      <c r="A67" s="48"/>
      <c r="B67" s="48"/>
      <c r="C67" s="48"/>
      <c r="D67" s="48"/>
      <c r="E67" s="48"/>
      <c r="F67" s="48"/>
      <c r="G67" s="48"/>
      <c r="H67" s="48"/>
    </row>
    <row r="68" spans="1:8" ht="36" customHeight="1">
      <c r="A68" s="48"/>
      <c r="B68" s="48"/>
      <c r="C68" s="48"/>
      <c r="D68" s="48"/>
      <c r="E68" s="48"/>
      <c r="F68" s="48"/>
      <c r="G68" s="48"/>
      <c r="H68" s="48"/>
    </row>
    <row r="69" spans="1:8" ht="36" customHeight="1">
      <c r="A69" s="48"/>
      <c r="B69" s="48"/>
      <c r="C69" s="48"/>
      <c r="D69" s="48"/>
      <c r="E69" s="48"/>
      <c r="F69" s="48"/>
      <c r="G69" s="48"/>
      <c r="H69" s="48"/>
    </row>
    <row r="70" spans="1:8" ht="36" customHeight="1">
      <c r="A70" s="48"/>
      <c r="B70" s="48"/>
      <c r="C70" s="48"/>
      <c r="D70" s="48"/>
      <c r="E70" s="48"/>
      <c r="F70" s="48"/>
      <c r="G70" s="48"/>
      <c r="H70" s="48"/>
    </row>
    <row r="71" spans="1:8" ht="36" customHeight="1">
      <c r="A71" s="48"/>
      <c r="B71" s="48"/>
      <c r="C71" s="48"/>
      <c r="D71" s="48"/>
      <c r="E71" s="48"/>
      <c r="F71" s="48"/>
      <c r="G71" s="48"/>
      <c r="H71" s="48"/>
    </row>
    <row r="72" spans="1:8" ht="36" customHeight="1">
      <c r="A72" s="48"/>
      <c r="B72" s="48"/>
      <c r="C72" s="48"/>
      <c r="D72" s="48"/>
      <c r="E72" s="48"/>
      <c r="F72" s="48"/>
      <c r="G72" s="48"/>
      <c r="H72" s="48"/>
    </row>
    <row r="73" spans="1:8" ht="36" customHeight="1">
      <c r="A73" s="48"/>
      <c r="B73" s="48"/>
      <c r="C73" s="48"/>
      <c r="D73" s="48"/>
      <c r="E73" s="48"/>
      <c r="F73" s="48"/>
      <c r="G73" s="48"/>
      <c r="H73" s="48"/>
    </row>
    <row r="74" spans="1:8" ht="36" customHeight="1">
      <c r="A74" s="48"/>
      <c r="B74" s="48"/>
      <c r="C74" s="48"/>
      <c r="D74" s="48"/>
      <c r="E74" s="48"/>
      <c r="F74" s="48"/>
      <c r="G74" s="48"/>
      <c r="H74" s="48"/>
    </row>
    <row r="75" spans="1:8" ht="36" customHeight="1">
      <c r="A75" s="48"/>
      <c r="B75" s="48"/>
      <c r="C75" s="48"/>
      <c r="D75" s="48"/>
      <c r="E75" s="48"/>
      <c r="F75" s="48"/>
      <c r="G75" s="48"/>
      <c r="H75" s="48"/>
    </row>
    <row r="76" spans="1:8" ht="36" customHeight="1">
      <c r="A76" s="48"/>
      <c r="B76" s="48"/>
      <c r="C76" s="48"/>
      <c r="D76" s="48"/>
      <c r="E76" s="48"/>
      <c r="F76" s="48"/>
      <c r="G76" s="48"/>
      <c r="H76" s="48"/>
    </row>
    <row r="77" spans="1:8" ht="36" customHeight="1">
      <c r="A77" s="48"/>
      <c r="B77" s="48"/>
      <c r="C77" s="48"/>
      <c r="D77" s="48"/>
      <c r="E77" s="48"/>
      <c r="F77" s="48"/>
      <c r="G77" s="48"/>
      <c r="H77" s="48"/>
    </row>
    <row r="78" spans="1:8" ht="36" customHeight="1">
      <c r="A78" s="48"/>
      <c r="B78" s="48"/>
      <c r="C78" s="48"/>
      <c r="D78" s="48"/>
      <c r="E78" s="48"/>
      <c r="F78" s="48"/>
      <c r="G78" s="48"/>
      <c r="H78" s="48"/>
    </row>
    <row r="79" spans="1:8" ht="36" customHeight="1">
      <c r="A79" s="48"/>
      <c r="B79" s="48"/>
      <c r="C79" s="48"/>
      <c r="D79" s="48"/>
      <c r="E79" s="48"/>
      <c r="F79" s="48"/>
      <c r="G79" s="48"/>
      <c r="H79" s="48"/>
    </row>
    <row r="80" spans="1:8" ht="36" customHeight="1">
      <c r="A80" s="48"/>
      <c r="B80" s="48"/>
      <c r="C80" s="48"/>
      <c r="D80" s="48"/>
      <c r="E80" s="48"/>
      <c r="F80" s="48"/>
      <c r="G80" s="48"/>
      <c r="H80" s="48"/>
    </row>
    <row r="81" spans="1:8" ht="36" customHeight="1">
      <c r="A81" s="48"/>
      <c r="B81" s="48"/>
      <c r="C81" s="48"/>
      <c r="D81" s="48"/>
      <c r="E81" s="48"/>
      <c r="F81" s="48"/>
      <c r="G81" s="48"/>
      <c r="H81" s="48"/>
    </row>
    <row r="82" spans="1:8" ht="36" customHeight="1">
      <c r="A82" s="48"/>
      <c r="B82" s="48"/>
      <c r="C82" s="48"/>
      <c r="D82" s="48"/>
      <c r="E82" s="48"/>
      <c r="F82" s="48"/>
      <c r="G82" s="48"/>
      <c r="H82" s="48"/>
    </row>
    <row r="83" spans="1:8" ht="36" customHeight="1">
      <c r="A83" s="48"/>
      <c r="B83" s="48"/>
      <c r="C83" s="48"/>
      <c r="D83" s="48"/>
      <c r="E83" s="48"/>
      <c r="F83" s="48"/>
      <c r="G83" s="48"/>
      <c r="H83" s="48"/>
    </row>
    <row r="84" spans="1:8" ht="36" customHeight="1">
      <c r="A84" s="48"/>
      <c r="B84" s="48"/>
      <c r="C84" s="48"/>
      <c r="D84" s="48"/>
      <c r="E84" s="48"/>
      <c r="F84" s="48"/>
      <c r="G84" s="48"/>
      <c r="H84" s="48"/>
    </row>
    <row r="85" spans="1:8" ht="36" customHeight="1">
      <c r="A85" s="48"/>
      <c r="B85" s="48"/>
      <c r="C85" s="48"/>
      <c r="D85" s="48"/>
      <c r="E85" s="48"/>
      <c r="F85" s="48"/>
      <c r="G85" s="48"/>
      <c r="H85" s="48"/>
    </row>
    <row r="86" spans="1:8" ht="36" customHeight="1">
      <c r="A86" s="48"/>
      <c r="B86" s="48"/>
      <c r="C86" s="48"/>
      <c r="D86" s="48"/>
      <c r="E86" s="48"/>
      <c r="F86" s="48"/>
      <c r="G86" s="48"/>
      <c r="H86" s="48"/>
    </row>
    <row r="87" spans="1:8" ht="36" customHeight="1">
      <c r="A87" s="48"/>
      <c r="B87" s="48"/>
      <c r="C87" s="48"/>
      <c r="D87" s="48"/>
      <c r="E87" s="48"/>
      <c r="F87" s="48"/>
      <c r="G87" s="48"/>
      <c r="H87" s="48"/>
    </row>
    <row r="88" spans="1:8" ht="36" customHeight="1">
      <c r="A88" s="48"/>
      <c r="B88" s="48"/>
      <c r="C88" s="48"/>
      <c r="D88" s="48"/>
      <c r="E88" s="48"/>
      <c r="F88" s="48"/>
      <c r="G88" s="48"/>
      <c r="H88" s="48"/>
    </row>
    <row r="89" spans="1:8" ht="36" customHeight="1">
      <c r="A89" s="48"/>
      <c r="B89" s="48"/>
      <c r="C89" s="48"/>
      <c r="D89" s="48"/>
      <c r="E89" s="48"/>
      <c r="F89" s="48"/>
      <c r="G89" s="48"/>
      <c r="H89" s="48"/>
    </row>
    <row r="90" spans="1:8" ht="36" customHeight="1">
      <c r="A90" s="48"/>
      <c r="B90" s="48"/>
      <c r="C90" s="48"/>
      <c r="D90" s="48"/>
      <c r="E90" s="48"/>
      <c r="F90" s="48"/>
      <c r="G90" s="48"/>
      <c r="H90" s="48"/>
    </row>
    <row r="91" spans="1:8" ht="36" customHeight="1">
      <c r="A91" s="48"/>
      <c r="B91" s="48"/>
      <c r="C91" s="48"/>
      <c r="D91" s="48"/>
      <c r="E91" s="48"/>
      <c r="F91" s="48"/>
      <c r="G91" s="48"/>
      <c r="H91" s="48"/>
    </row>
    <row r="92" spans="1:8" ht="36" customHeight="1">
      <c r="A92" s="48"/>
      <c r="B92" s="48"/>
      <c r="C92" s="48"/>
      <c r="D92" s="48"/>
      <c r="E92" s="48"/>
      <c r="F92" s="48"/>
      <c r="G92" s="48"/>
      <c r="H92" s="48"/>
    </row>
    <row r="93" spans="1:8" ht="36" customHeight="1">
      <c r="A93" s="48"/>
      <c r="B93" s="48"/>
      <c r="C93" s="48"/>
      <c r="D93" s="48"/>
      <c r="E93" s="48"/>
      <c r="F93" s="48"/>
      <c r="G93" s="48"/>
      <c r="H93" s="48"/>
    </row>
    <row r="94" spans="1:8" ht="36" customHeight="1">
      <c r="A94" s="48"/>
      <c r="B94" s="48"/>
      <c r="C94" s="48"/>
      <c r="D94" s="48"/>
      <c r="E94" s="48"/>
      <c r="F94" s="48"/>
      <c r="G94" s="48"/>
      <c r="H94" s="48"/>
    </row>
    <row r="95" spans="1:8" ht="36" customHeight="1">
      <c r="A95" s="48"/>
      <c r="B95" s="48"/>
      <c r="C95" s="48"/>
      <c r="D95" s="48"/>
      <c r="E95" s="48"/>
      <c r="F95" s="48"/>
      <c r="G95" s="48"/>
      <c r="H95" s="48"/>
    </row>
    <row r="96" spans="1:8" ht="36" customHeight="1">
      <c r="A96" s="48"/>
      <c r="B96" s="48"/>
      <c r="C96" s="48"/>
      <c r="D96" s="48"/>
      <c r="E96" s="48"/>
      <c r="F96" s="48"/>
      <c r="G96" s="48"/>
      <c r="H96" s="48"/>
    </row>
    <row r="97" spans="1:8" ht="36" customHeight="1">
      <c r="A97" s="48"/>
      <c r="B97" s="48"/>
      <c r="C97" s="48"/>
      <c r="D97" s="48"/>
      <c r="E97" s="48"/>
      <c r="F97" s="48"/>
      <c r="G97" s="48"/>
      <c r="H97" s="48"/>
    </row>
    <row r="98" spans="1:8" ht="36" customHeight="1">
      <c r="A98" s="48"/>
      <c r="B98" s="48"/>
      <c r="C98" s="48"/>
      <c r="D98" s="48"/>
      <c r="E98" s="48"/>
      <c r="F98" s="48"/>
      <c r="G98" s="48"/>
      <c r="H98" s="48"/>
    </row>
    <row r="99" spans="1:8" ht="36" customHeight="1">
      <c r="A99" s="48"/>
      <c r="B99" s="48"/>
      <c r="C99" s="48"/>
      <c r="D99" s="48"/>
      <c r="E99" s="48"/>
      <c r="F99" s="48"/>
      <c r="G99" s="48"/>
      <c r="H99" s="48"/>
    </row>
    <row r="100" spans="1:8" ht="36" customHeight="1">
      <c r="A100" s="48"/>
      <c r="B100" s="48"/>
      <c r="C100" s="48"/>
      <c r="D100" s="48"/>
      <c r="E100" s="48"/>
      <c r="F100" s="48"/>
      <c r="G100" s="48"/>
      <c r="H100" s="48"/>
    </row>
    <row r="101" spans="1:8" ht="36" customHeight="1">
      <c r="A101" s="48"/>
      <c r="B101" s="48"/>
      <c r="C101" s="48"/>
      <c r="D101" s="48"/>
      <c r="E101" s="48"/>
      <c r="F101" s="48"/>
      <c r="G101" s="48"/>
      <c r="H101" s="48"/>
    </row>
    <row r="102" spans="1:8" ht="36" customHeight="1">
      <c r="A102" s="48"/>
      <c r="B102" s="48"/>
      <c r="C102" s="48"/>
      <c r="D102" s="48"/>
      <c r="E102" s="48"/>
      <c r="F102" s="48"/>
      <c r="G102" s="48"/>
      <c r="H102" s="48"/>
    </row>
    <row r="103" spans="1:8" ht="36" customHeight="1">
      <c r="A103" s="48"/>
      <c r="B103" s="48"/>
      <c r="C103" s="48"/>
      <c r="D103" s="48"/>
      <c r="E103" s="48"/>
      <c r="F103" s="48"/>
      <c r="G103" s="48"/>
      <c r="H103" s="48"/>
    </row>
    <row r="104" spans="1:8" ht="36" customHeight="1">
      <c r="A104" s="48"/>
      <c r="B104" s="48"/>
      <c r="C104" s="48"/>
      <c r="D104" s="48"/>
      <c r="E104" s="48"/>
      <c r="F104" s="48"/>
      <c r="G104" s="48"/>
      <c r="H104" s="48"/>
    </row>
    <row r="105" spans="1:8" ht="36" customHeight="1">
      <c r="A105" s="48"/>
      <c r="B105" s="48"/>
      <c r="C105" s="48"/>
      <c r="D105" s="48"/>
      <c r="E105" s="48"/>
      <c r="F105" s="48"/>
      <c r="G105" s="48"/>
      <c r="H105" s="48"/>
    </row>
    <row r="106" spans="1:8" ht="36" customHeight="1">
      <c r="A106" s="48"/>
      <c r="B106" s="48"/>
      <c r="C106" s="48"/>
      <c r="D106" s="48"/>
      <c r="E106" s="48"/>
      <c r="F106" s="48"/>
      <c r="G106" s="48"/>
      <c r="H106" s="48"/>
    </row>
    <row r="107" spans="1:8" ht="36" customHeight="1">
      <c r="A107" s="48"/>
      <c r="B107" s="48"/>
      <c r="C107" s="48"/>
      <c r="D107" s="48"/>
      <c r="E107" s="48"/>
      <c r="F107" s="48"/>
      <c r="G107" s="48"/>
      <c r="H107" s="48"/>
    </row>
    <row r="108" spans="1:8" ht="36" customHeight="1">
      <c r="A108" s="48"/>
      <c r="B108" s="48"/>
      <c r="C108" s="48"/>
      <c r="D108" s="48"/>
      <c r="E108" s="48"/>
      <c r="F108" s="48"/>
      <c r="G108" s="48"/>
      <c r="H108" s="48"/>
    </row>
    <row r="109" spans="1:8" ht="36" customHeight="1">
      <c r="A109" s="48"/>
      <c r="B109" s="48"/>
      <c r="C109" s="48"/>
      <c r="D109" s="48"/>
      <c r="E109" s="48"/>
      <c r="F109" s="48"/>
      <c r="G109" s="48"/>
      <c r="H109" s="48"/>
    </row>
    <row r="110" spans="1:8" ht="36" customHeight="1">
      <c r="A110" s="48"/>
      <c r="B110" s="48"/>
      <c r="C110" s="48"/>
      <c r="D110" s="48"/>
      <c r="E110" s="48"/>
      <c r="F110" s="48"/>
      <c r="G110" s="48"/>
      <c r="H110" s="48"/>
    </row>
    <row r="111" spans="1:8" ht="36" customHeight="1">
      <c r="A111" s="48"/>
      <c r="B111" s="48"/>
      <c r="C111" s="48"/>
      <c r="D111" s="48"/>
      <c r="E111" s="48"/>
      <c r="F111" s="48"/>
      <c r="G111" s="48"/>
      <c r="H111" s="48"/>
    </row>
    <row r="112" spans="1:8" ht="36" customHeight="1">
      <c r="A112" s="48"/>
      <c r="B112" s="48"/>
      <c r="C112" s="48"/>
      <c r="D112" s="48"/>
      <c r="E112" s="48"/>
      <c r="F112" s="48"/>
      <c r="G112" s="48"/>
      <c r="H112" s="48"/>
    </row>
    <row r="113" spans="1:8" ht="36" customHeight="1">
      <c r="A113" s="48"/>
      <c r="B113" s="48"/>
      <c r="C113" s="48"/>
      <c r="D113" s="48"/>
      <c r="E113" s="48"/>
      <c r="F113" s="48"/>
      <c r="G113" s="48"/>
      <c r="H113" s="48"/>
    </row>
    <row r="114" spans="1:8" ht="36" customHeight="1">
      <c r="A114" s="48"/>
      <c r="B114" s="48"/>
      <c r="C114" s="48"/>
      <c r="D114" s="48"/>
      <c r="E114" s="48"/>
      <c r="F114" s="48"/>
      <c r="G114" s="48"/>
      <c r="H114" s="48"/>
    </row>
    <row r="115" spans="1:8" ht="36" customHeight="1">
      <c r="A115" s="48"/>
      <c r="B115" s="48"/>
      <c r="C115" s="48"/>
      <c r="D115" s="48"/>
      <c r="E115" s="48"/>
      <c r="F115" s="48"/>
      <c r="G115" s="48"/>
      <c r="H115" s="48"/>
    </row>
    <row r="116" spans="1:8" ht="36" customHeight="1">
      <c r="A116" s="48"/>
      <c r="B116" s="48"/>
      <c r="C116" s="48"/>
      <c r="D116" s="48"/>
      <c r="E116" s="48"/>
      <c r="F116" s="48"/>
      <c r="G116" s="48"/>
      <c r="H116" s="48"/>
    </row>
    <row r="117" spans="1:8" ht="36" customHeight="1">
      <c r="A117" s="48"/>
      <c r="B117" s="48"/>
      <c r="C117" s="48"/>
      <c r="D117" s="48"/>
      <c r="E117" s="48"/>
      <c r="F117" s="48"/>
      <c r="G117" s="48"/>
      <c r="H117" s="48"/>
    </row>
    <row r="118" spans="1:8" ht="36" customHeight="1">
      <c r="A118" s="48"/>
      <c r="B118" s="48"/>
      <c r="C118" s="48"/>
      <c r="D118" s="48"/>
      <c r="E118" s="48"/>
      <c r="F118" s="48"/>
      <c r="G118" s="48"/>
      <c r="H118" s="48"/>
    </row>
    <row r="119" spans="1:8" ht="36" customHeight="1">
      <c r="A119" s="48"/>
      <c r="B119" s="48"/>
      <c r="C119" s="48"/>
      <c r="D119" s="48"/>
      <c r="E119" s="48"/>
      <c r="F119" s="48"/>
      <c r="G119" s="48"/>
      <c r="H119" s="48"/>
    </row>
    <row r="120" spans="1:8" ht="36" customHeight="1">
      <c r="A120" s="48"/>
      <c r="B120" s="48"/>
      <c r="C120" s="48"/>
      <c r="D120" s="48"/>
      <c r="E120" s="48"/>
      <c r="F120" s="48"/>
      <c r="G120" s="48"/>
      <c r="H120" s="48"/>
    </row>
    <row r="121" spans="1:8" ht="36" customHeight="1">
      <c r="A121" s="48"/>
      <c r="B121" s="48"/>
      <c r="C121" s="48"/>
      <c r="D121" s="48"/>
      <c r="E121" s="48"/>
      <c r="F121" s="48"/>
      <c r="G121" s="48"/>
      <c r="H121" s="48"/>
    </row>
  </sheetData>
  <mergeCells count="3">
    <mergeCell ref="A4:H4"/>
    <mergeCell ref="A3:H3"/>
    <mergeCell ref="A1:H1"/>
  </mergeCells>
  <dataValidations count="2">
    <dataValidation type="list" sqref="G7:G201" xr:uid="{00000000-0002-0000-1900-000000000000}">
      <formula1>"Not Started,In Progress,Complete,Gap,Hold,N/A"</formula1>
    </dataValidation>
    <dataValidation type="list" allowBlank="1" sqref="F8:F13" xr:uid="{00000000-0002-0000-1900-000001000000}">
      <formula1>"Not Started,In Progress,Needs Review,Complete,Not Applicable,Blocked"</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2E75B6"/>
  </sheetPr>
  <dimension ref="A1:W121"/>
  <sheetViews>
    <sheetView showGridLines="0" topLeftCell="F1" workbookViewId="0"/>
  </sheetViews>
  <sheetFormatPr defaultRowHeight="15"/>
  <cols>
    <col min="1" max="1" width="18" customWidth="1"/>
    <col min="2" max="2" width="28" customWidth="1"/>
    <col min="3" max="3" width="26" customWidth="1"/>
    <col min="4" max="4" width="24" customWidth="1"/>
    <col min="5" max="5" width="28" customWidth="1"/>
    <col min="6" max="6" width="20" customWidth="1"/>
    <col min="7" max="7" width="22" customWidth="1"/>
    <col min="8" max="9" width="30" customWidth="1"/>
    <col min="10" max="10" width="34" customWidth="1"/>
    <col min="11" max="11" width="18" customWidth="1"/>
    <col min="12" max="12" width="20" customWidth="1"/>
    <col min="13" max="13" width="34" customWidth="1"/>
    <col min="14" max="14" width="16" customWidth="1"/>
    <col min="15" max="15" width="32" customWidth="1"/>
    <col min="16" max="16" width="28" customWidth="1"/>
    <col min="17" max="18" width="32" customWidth="1"/>
    <col min="19" max="19" width="28" customWidth="1"/>
    <col min="20" max="20" width="18" customWidth="1"/>
    <col min="21" max="21" width="22" customWidth="1"/>
    <col min="22" max="23" width="18" customWidth="1"/>
  </cols>
  <sheetData>
    <row r="1" spans="1:23" s="48" customFormat="1">
      <c r="A1" s="178" t="s">
        <v>2118</v>
      </c>
      <c r="B1" s="178"/>
      <c r="C1" s="178"/>
      <c r="D1" s="178"/>
      <c r="E1" s="178"/>
      <c r="F1" s="178"/>
      <c r="G1" s="178"/>
      <c r="H1" s="178"/>
      <c r="I1" s="178"/>
      <c r="J1" s="178"/>
      <c r="K1" s="178"/>
      <c r="L1" s="178"/>
      <c r="M1" s="178"/>
      <c r="N1" s="178"/>
      <c r="O1" s="178"/>
      <c r="P1" s="178"/>
      <c r="Q1" s="178"/>
      <c r="R1" s="178"/>
      <c r="S1" s="178"/>
      <c r="T1" s="178"/>
      <c r="U1" s="178"/>
      <c r="V1" s="178"/>
      <c r="W1" s="178"/>
    </row>
    <row r="2" spans="1:23" ht="24" customHeight="1">
      <c r="A2" s="56" t="s">
        <v>0</v>
      </c>
      <c r="B2" s="56"/>
      <c r="C2" s="56"/>
      <c r="D2" s="56"/>
      <c r="E2" s="56"/>
      <c r="F2" s="56"/>
      <c r="G2" s="56"/>
      <c r="H2" s="56"/>
      <c r="I2" s="56"/>
      <c r="J2" s="56"/>
      <c r="K2" s="56"/>
      <c r="L2" s="56"/>
      <c r="M2" s="56"/>
      <c r="N2" s="48"/>
      <c r="O2" s="48"/>
      <c r="P2" s="48"/>
      <c r="Q2" s="48"/>
      <c r="R2" s="48"/>
      <c r="S2" s="48"/>
      <c r="T2" s="48"/>
      <c r="U2" s="48"/>
      <c r="V2" s="48"/>
      <c r="W2" s="48"/>
    </row>
    <row r="3" spans="1:23" ht="30" customHeight="1">
      <c r="A3" s="168" t="s">
        <v>2166</v>
      </c>
      <c r="B3" s="193"/>
      <c r="C3" s="193"/>
      <c r="D3" s="193"/>
      <c r="E3" s="193"/>
      <c r="F3" s="193"/>
      <c r="G3" s="193"/>
      <c r="H3" s="193"/>
      <c r="I3" s="193"/>
      <c r="J3" s="193"/>
      <c r="K3" s="193"/>
      <c r="L3" s="193"/>
      <c r="M3" s="193"/>
      <c r="N3" s="193"/>
      <c r="O3" s="193"/>
      <c r="P3" s="193"/>
      <c r="Q3" s="193"/>
      <c r="R3" s="193"/>
      <c r="S3" s="193"/>
      <c r="T3" s="193"/>
      <c r="U3" s="193"/>
      <c r="V3" s="193"/>
      <c r="W3" s="193"/>
    </row>
    <row r="4" spans="1:23" ht="30" customHeight="1">
      <c r="A4" s="167" t="s">
        <v>2167</v>
      </c>
      <c r="B4" s="193"/>
      <c r="C4" s="193"/>
      <c r="D4" s="193"/>
      <c r="E4" s="193"/>
      <c r="F4" s="193"/>
      <c r="G4" s="193"/>
      <c r="H4" s="193"/>
      <c r="I4" s="193"/>
      <c r="J4" s="193"/>
      <c r="K4" s="193"/>
      <c r="L4" s="193"/>
      <c r="M4" s="193"/>
      <c r="N4" s="193"/>
      <c r="O4" s="193"/>
      <c r="P4" s="193"/>
      <c r="Q4" s="193"/>
      <c r="R4" s="193"/>
      <c r="S4" s="193"/>
      <c r="T4" s="193"/>
      <c r="U4" s="193"/>
      <c r="V4" s="193"/>
      <c r="W4" s="193"/>
    </row>
    <row r="5" spans="1:23">
      <c r="A5" s="46"/>
      <c r="B5" s="46"/>
      <c r="C5" s="46"/>
      <c r="D5" s="46"/>
      <c r="E5" s="46"/>
      <c r="F5" s="46"/>
      <c r="G5" s="46"/>
      <c r="H5" s="46"/>
      <c r="I5" s="46"/>
      <c r="J5" s="46"/>
      <c r="K5" s="46"/>
      <c r="L5" s="46"/>
      <c r="M5" s="46"/>
      <c r="N5" s="48"/>
      <c r="O5" s="48"/>
      <c r="P5" s="48"/>
      <c r="Q5" s="48"/>
      <c r="R5" s="48"/>
      <c r="S5" s="48"/>
      <c r="T5" s="48"/>
      <c r="U5" s="48"/>
      <c r="V5" s="48"/>
      <c r="W5" s="48"/>
    </row>
    <row r="6" spans="1:23" ht="21.95" customHeight="1">
      <c r="A6" s="57" t="s">
        <v>2168</v>
      </c>
      <c r="B6" s="57"/>
      <c r="C6" s="57"/>
      <c r="D6" s="57"/>
      <c r="E6" s="57"/>
      <c r="F6" s="57"/>
      <c r="G6" s="57"/>
      <c r="H6" s="57"/>
      <c r="I6" s="57"/>
      <c r="J6" s="57"/>
      <c r="K6" s="57"/>
      <c r="L6" s="57"/>
      <c r="M6" s="57"/>
      <c r="N6" s="48"/>
      <c r="O6" s="48"/>
      <c r="P6" s="48"/>
      <c r="Q6" s="48"/>
      <c r="R6" s="48"/>
      <c r="S6" s="48"/>
      <c r="T6" s="48"/>
      <c r="U6" s="48"/>
      <c r="V6" s="48"/>
      <c r="W6" s="48"/>
    </row>
    <row r="7" spans="1:23" ht="33.950000000000003" customHeight="1">
      <c r="A7" s="36" t="s">
        <v>1757</v>
      </c>
      <c r="B7" s="36" t="s">
        <v>2169</v>
      </c>
      <c r="C7" s="36" t="s">
        <v>2170</v>
      </c>
      <c r="D7" s="36" t="s">
        <v>2171</v>
      </c>
      <c r="E7" s="36" t="s">
        <v>1938</v>
      </c>
      <c r="F7" s="36" t="s">
        <v>1951</v>
      </c>
      <c r="G7" s="36" t="s">
        <v>1940</v>
      </c>
      <c r="H7" s="36" t="s">
        <v>1941</v>
      </c>
      <c r="I7" s="36" t="s">
        <v>1942</v>
      </c>
      <c r="J7" s="36" t="s">
        <v>2052</v>
      </c>
      <c r="K7" s="36" t="s">
        <v>145</v>
      </c>
      <c r="L7" s="36" t="s">
        <v>144</v>
      </c>
      <c r="M7" s="36" t="s">
        <v>70</v>
      </c>
      <c r="N7" s="48"/>
      <c r="O7" s="48"/>
      <c r="P7" s="48"/>
      <c r="Q7" s="48"/>
      <c r="R7" s="48"/>
      <c r="S7" s="48"/>
      <c r="T7" s="48"/>
      <c r="U7" s="48"/>
      <c r="V7" s="48"/>
      <c r="W7" s="48"/>
    </row>
    <row r="8" spans="1:23" ht="30" customHeight="1">
      <c r="A8" s="37"/>
      <c r="B8" s="37"/>
      <c r="C8" s="37"/>
      <c r="D8" s="37"/>
      <c r="E8" s="37"/>
      <c r="F8" s="37"/>
      <c r="G8" s="37"/>
      <c r="H8" s="37"/>
      <c r="I8" s="37"/>
      <c r="J8" s="37"/>
      <c r="K8" s="37" t="s">
        <v>152</v>
      </c>
      <c r="L8" s="37"/>
      <c r="M8" s="37"/>
      <c r="N8" s="48"/>
      <c r="O8" s="48"/>
      <c r="P8" s="48"/>
      <c r="Q8" s="48"/>
      <c r="R8" s="48"/>
      <c r="S8" s="48"/>
      <c r="T8" s="48"/>
      <c r="U8" s="48"/>
      <c r="V8" s="48"/>
      <c r="W8" s="48"/>
    </row>
    <row r="9" spans="1:23" ht="30" customHeight="1">
      <c r="A9" s="37"/>
      <c r="B9" s="37"/>
      <c r="C9" s="37"/>
      <c r="D9" s="37"/>
      <c r="E9" s="37"/>
      <c r="F9" s="37"/>
      <c r="G9" s="37"/>
      <c r="H9" s="37"/>
      <c r="I9" s="37"/>
      <c r="J9" s="37"/>
      <c r="K9" s="37" t="s">
        <v>152</v>
      </c>
      <c r="L9" s="37"/>
      <c r="M9" s="37"/>
      <c r="N9" s="48"/>
      <c r="O9" s="48"/>
      <c r="P9" s="48"/>
      <c r="Q9" s="48"/>
      <c r="R9" s="48"/>
      <c r="S9" s="48"/>
      <c r="T9" s="48"/>
      <c r="U9" s="48"/>
      <c r="V9" s="48"/>
      <c r="W9" s="48"/>
    </row>
    <row r="10" spans="1:23" ht="30" customHeight="1">
      <c r="A10" s="37"/>
      <c r="B10" s="37"/>
      <c r="C10" s="37"/>
      <c r="D10" s="37"/>
      <c r="E10" s="37"/>
      <c r="F10" s="37"/>
      <c r="G10" s="37"/>
      <c r="H10" s="37"/>
      <c r="I10" s="37"/>
      <c r="J10" s="37"/>
      <c r="K10" s="37" t="s">
        <v>152</v>
      </c>
      <c r="L10" s="37"/>
      <c r="M10" s="37"/>
      <c r="N10" s="48"/>
      <c r="O10" s="48"/>
      <c r="P10" s="48"/>
      <c r="Q10" s="48"/>
      <c r="R10" s="48"/>
      <c r="S10" s="48"/>
      <c r="T10" s="48"/>
      <c r="U10" s="48"/>
      <c r="V10" s="48"/>
      <c r="W10" s="48"/>
    </row>
    <row r="11" spans="1:23" ht="30" customHeight="1">
      <c r="A11" s="37"/>
      <c r="B11" s="37"/>
      <c r="C11" s="37"/>
      <c r="D11" s="37"/>
      <c r="E11" s="37"/>
      <c r="F11" s="37"/>
      <c r="G11" s="37"/>
      <c r="H11" s="37"/>
      <c r="I11" s="37"/>
      <c r="J11" s="37"/>
      <c r="K11" s="37" t="s">
        <v>152</v>
      </c>
      <c r="L11" s="37"/>
      <c r="M11" s="37"/>
      <c r="N11" s="48"/>
      <c r="O11" s="48"/>
      <c r="P11" s="48"/>
      <c r="Q11" s="48"/>
      <c r="R11" s="48"/>
      <c r="S11" s="48"/>
      <c r="T11" s="48"/>
      <c r="U11" s="48"/>
      <c r="V11" s="48"/>
      <c r="W11" s="48"/>
    </row>
    <row r="12" spans="1:23" ht="30" customHeight="1">
      <c r="A12" s="37"/>
      <c r="B12" s="37"/>
      <c r="C12" s="37"/>
      <c r="D12" s="37"/>
      <c r="E12" s="37"/>
      <c r="F12" s="37"/>
      <c r="G12" s="37"/>
      <c r="H12" s="37"/>
      <c r="I12" s="37"/>
      <c r="J12" s="37"/>
      <c r="K12" s="37" t="s">
        <v>152</v>
      </c>
      <c r="L12" s="37"/>
      <c r="M12" s="37"/>
      <c r="N12" s="48"/>
      <c r="O12" s="48"/>
      <c r="P12" s="48"/>
      <c r="Q12" s="48"/>
      <c r="R12" s="48"/>
      <c r="S12" s="48"/>
      <c r="T12" s="48"/>
      <c r="U12" s="48"/>
      <c r="V12" s="48"/>
      <c r="W12" s="48"/>
    </row>
    <row r="13" spans="1:23" ht="30" customHeight="1">
      <c r="A13" s="37"/>
      <c r="B13" s="37"/>
      <c r="C13" s="37"/>
      <c r="D13" s="37"/>
      <c r="E13" s="37"/>
      <c r="F13" s="37"/>
      <c r="G13" s="37"/>
      <c r="H13" s="37"/>
      <c r="I13" s="37"/>
      <c r="J13" s="37"/>
      <c r="K13" s="37" t="s">
        <v>152</v>
      </c>
      <c r="L13" s="37"/>
      <c r="M13" s="37"/>
      <c r="N13" s="48"/>
      <c r="O13" s="48"/>
      <c r="P13" s="48"/>
      <c r="Q13" s="48"/>
      <c r="R13" s="48"/>
      <c r="S13" s="48"/>
      <c r="T13" s="48"/>
      <c r="U13" s="48"/>
      <c r="V13" s="48"/>
      <c r="W13" s="48"/>
    </row>
    <row r="14" spans="1:23" ht="30" customHeight="1">
      <c r="A14" s="37"/>
      <c r="B14" s="37"/>
      <c r="C14" s="37"/>
      <c r="D14" s="37"/>
      <c r="E14" s="37"/>
      <c r="F14" s="37"/>
      <c r="G14" s="37"/>
      <c r="H14" s="37"/>
      <c r="I14" s="37"/>
      <c r="J14" s="37"/>
      <c r="K14" s="37" t="s">
        <v>152</v>
      </c>
      <c r="L14" s="37"/>
      <c r="M14" s="37"/>
      <c r="N14" s="48"/>
      <c r="O14" s="48"/>
      <c r="P14" s="48"/>
      <c r="Q14" s="48"/>
      <c r="R14" s="48"/>
      <c r="S14" s="48"/>
      <c r="T14" s="48"/>
      <c r="U14" s="48"/>
      <c r="V14" s="48"/>
      <c r="W14" s="48"/>
    </row>
    <row r="15" spans="1:23" ht="30" customHeight="1">
      <c r="A15" s="37"/>
      <c r="B15" s="37"/>
      <c r="C15" s="37"/>
      <c r="D15" s="37"/>
      <c r="E15" s="37"/>
      <c r="F15" s="37"/>
      <c r="G15" s="37"/>
      <c r="H15" s="37"/>
      <c r="I15" s="37"/>
      <c r="J15" s="37"/>
      <c r="K15" s="37" t="s">
        <v>152</v>
      </c>
      <c r="L15" s="37"/>
      <c r="M15" s="37"/>
      <c r="N15" s="48"/>
      <c r="O15" s="48"/>
      <c r="P15" s="48"/>
      <c r="Q15" s="48"/>
      <c r="R15" s="48"/>
      <c r="S15" s="48"/>
      <c r="T15" s="48"/>
      <c r="U15" s="48"/>
      <c r="V15" s="48"/>
      <c r="W15" s="48"/>
    </row>
    <row r="16" spans="1:23" ht="30" customHeight="1">
      <c r="A16" s="37"/>
      <c r="B16" s="37"/>
      <c r="C16" s="37"/>
      <c r="D16" s="37"/>
      <c r="E16" s="37"/>
      <c r="F16" s="37"/>
      <c r="G16" s="37"/>
      <c r="H16" s="37"/>
      <c r="I16" s="37"/>
      <c r="J16" s="37"/>
      <c r="K16" s="37" t="s">
        <v>152</v>
      </c>
      <c r="L16" s="37"/>
      <c r="M16" s="37"/>
      <c r="N16" s="48"/>
      <c r="O16" s="48"/>
      <c r="P16" s="48"/>
      <c r="Q16" s="48"/>
      <c r="R16" s="48"/>
      <c r="S16" s="48"/>
      <c r="T16" s="48"/>
      <c r="U16" s="48"/>
      <c r="V16" s="48"/>
      <c r="W16" s="48"/>
    </row>
    <row r="17" spans="1:23" ht="30" customHeight="1">
      <c r="A17" s="37"/>
      <c r="B17" s="37"/>
      <c r="C17" s="37"/>
      <c r="D17" s="37"/>
      <c r="E17" s="37"/>
      <c r="F17" s="37"/>
      <c r="G17" s="37"/>
      <c r="H17" s="37"/>
      <c r="I17" s="37"/>
      <c r="J17" s="37"/>
      <c r="K17" s="37" t="s">
        <v>152</v>
      </c>
      <c r="L17" s="37"/>
      <c r="M17" s="37"/>
      <c r="N17" s="48"/>
      <c r="O17" s="48"/>
      <c r="P17" s="48"/>
      <c r="Q17" s="48"/>
      <c r="R17" s="48"/>
      <c r="S17" s="48"/>
      <c r="T17" s="48"/>
      <c r="U17" s="48"/>
      <c r="V17" s="48"/>
      <c r="W17" s="48"/>
    </row>
    <row r="18" spans="1:23" ht="30" customHeight="1">
      <c r="A18" s="37"/>
      <c r="B18" s="37"/>
      <c r="C18" s="37"/>
      <c r="D18" s="37"/>
      <c r="E18" s="37"/>
      <c r="F18" s="37"/>
      <c r="G18" s="37"/>
      <c r="H18" s="37"/>
      <c r="I18" s="37"/>
      <c r="J18" s="37"/>
      <c r="K18" s="37" t="s">
        <v>152</v>
      </c>
      <c r="L18" s="37"/>
      <c r="M18" s="37"/>
      <c r="N18" s="48"/>
      <c r="O18" s="48"/>
      <c r="P18" s="48"/>
      <c r="Q18" s="48"/>
      <c r="R18" s="48"/>
      <c r="S18" s="48"/>
      <c r="T18" s="48"/>
      <c r="U18" s="48"/>
      <c r="V18" s="48"/>
      <c r="W18" s="48"/>
    </row>
    <row r="19" spans="1:23" ht="30" customHeight="1">
      <c r="A19" s="37"/>
      <c r="B19" s="37"/>
      <c r="C19" s="37"/>
      <c r="D19" s="37"/>
      <c r="E19" s="37"/>
      <c r="F19" s="37"/>
      <c r="G19" s="37"/>
      <c r="H19" s="37"/>
      <c r="I19" s="37"/>
      <c r="J19" s="37"/>
      <c r="K19" s="37" t="s">
        <v>152</v>
      </c>
      <c r="L19" s="37"/>
      <c r="M19" s="37"/>
      <c r="N19" s="48"/>
      <c r="O19" s="48"/>
      <c r="P19" s="48"/>
      <c r="Q19" s="48"/>
      <c r="R19" s="48"/>
      <c r="S19" s="48"/>
      <c r="T19" s="48"/>
      <c r="U19" s="48"/>
      <c r="V19" s="48"/>
      <c r="W19" s="48"/>
    </row>
    <row r="20" spans="1:23" ht="30" customHeight="1">
      <c r="A20" s="37"/>
      <c r="B20" s="37"/>
      <c r="C20" s="37"/>
      <c r="D20" s="37"/>
      <c r="E20" s="37"/>
      <c r="F20" s="37"/>
      <c r="G20" s="37"/>
      <c r="H20" s="37"/>
      <c r="I20" s="37"/>
      <c r="J20" s="37"/>
      <c r="K20" s="37" t="s">
        <v>152</v>
      </c>
      <c r="L20" s="37"/>
      <c r="M20" s="37"/>
      <c r="N20" s="48"/>
      <c r="O20" s="48"/>
      <c r="P20" s="48"/>
      <c r="Q20" s="48"/>
      <c r="R20" s="48"/>
      <c r="S20" s="48"/>
      <c r="T20" s="48"/>
      <c r="U20" s="48"/>
      <c r="V20" s="48"/>
      <c r="W20" s="48"/>
    </row>
    <row r="21" spans="1:23" ht="30" customHeight="1">
      <c r="A21" s="37"/>
      <c r="B21" s="37"/>
      <c r="C21" s="37"/>
      <c r="D21" s="37"/>
      <c r="E21" s="37"/>
      <c r="F21" s="37"/>
      <c r="G21" s="37"/>
      <c r="H21" s="37"/>
      <c r="I21" s="37"/>
      <c r="J21" s="37"/>
      <c r="K21" s="37" t="s">
        <v>152</v>
      </c>
      <c r="L21" s="37"/>
      <c r="M21" s="37"/>
      <c r="N21" s="48"/>
      <c r="O21" s="48"/>
      <c r="P21" s="48"/>
      <c r="Q21" s="48"/>
      <c r="R21" s="48"/>
      <c r="S21" s="48"/>
      <c r="T21" s="48"/>
      <c r="U21" s="48"/>
      <c r="V21" s="48"/>
      <c r="W21" s="48"/>
    </row>
    <row r="22" spans="1:23" ht="30" customHeight="1">
      <c r="A22" s="46"/>
      <c r="B22" s="46"/>
      <c r="C22" s="46"/>
      <c r="D22" s="46"/>
      <c r="E22" s="46"/>
      <c r="F22" s="46"/>
      <c r="G22" s="46"/>
      <c r="H22" s="46"/>
      <c r="I22" s="46"/>
      <c r="J22" s="46"/>
      <c r="K22" s="46"/>
      <c r="L22" s="46"/>
      <c r="M22" s="46"/>
      <c r="N22" s="48"/>
      <c r="O22" s="48"/>
      <c r="P22" s="48"/>
      <c r="Q22" s="48"/>
      <c r="R22" s="48"/>
      <c r="S22" s="48"/>
      <c r="T22" s="48"/>
      <c r="U22" s="48"/>
      <c r="V22" s="48"/>
      <c r="W22" s="48"/>
    </row>
    <row r="23" spans="1:23" ht="30" customHeight="1">
      <c r="A23" s="48"/>
      <c r="B23" s="48"/>
      <c r="C23" s="48"/>
      <c r="D23" s="48"/>
      <c r="E23" s="48"/>
      <c r="F23" s="48"/>
      <c r="G23" s="48"/>
      <c r="H23" s="48"/>
      <c r="I23" s="48"/>
      <c r="J23" s="48"/>
      <c r="K23" s="48"/>
      <c r="L23" s="48"/>
      <c r="M23" s="48"/>
      <c r="N23" s="48"/>
      <c r="O23" s="48"/>
      <c r="P23" s="48"/>
      <c r="Q23" s="48"/>
      <c r="R23" s="48"/>
      <c r="S23" s="48"/>
      <c r="T23" s="48"/>
      <c r="U23" s="48"/>
      <c r="V23" s="48"/>
      <c r="W23" s="48"/>
    </row>
    <row r="24" spans="1:23" ht="30" customHeight="1">
      <c r="A24" s="48"/>
      <c r="B24" s="48"/>
      <c r="C24" s="48"/>
      <c r="D24" s="48"/>
      <c r="E24" s="48"/>
      <c r="F24" s="48"/>
      <c r="G24" s="48"/>
      <c r="H24" s="48"/>
      <c r="I24" s="48"/>
      <c r="J24" s="48"/>
      <c r="K24" s="48"/>
      <c r="L24" s="48"/>
      <c r="M24" s="48"/>
      <c r="N24" s="48"/>
      <c r="O24" s="48"/>
      <c r="P24" s="48"/>
      <c r="Q24" s="48"/>
      <c r="R24" s="48"/>
      <c r="S24" s="48"/>
      <c r="T24" s="48"/>
      <c r="U24" s="48"/>
      <c r="V24" s="48"/>
      <c r="W24" s="48"/>
    </row>
    <row r="25" spans="1:23" ht="30" customHeight="1">
      <c r="A25" s="48"/>
      <c r="B25" s="48"/>
      <c r="C25" s="48"/>
      <c r="D25" s="48"/>
      <c r="E25" s="48"/>
      <c r="F25" s="48"/>
      <c r="G25" s="48"/>
      <c r="H25" s="48"/>
      <c r="I25" s="48"/>
      <c r="J25" s="48"/>
      <c r="K25" s="48"/>
      <c r="L25" s="48"/>
      <c r="M25" s="48"/>
      <c r="N25" s="48"/>
      <c r="O25" s="48"/>
      <c r="P25" s="48"/>
      <c r="Q25" s="48"/>
      <c r="R25" s="48"/>
      <c r="S25" s="48"/>
      <c r="T25" s="48"/>
      <c r="U25" s="48"/>
      <c r="V25" s="48"/>
      <c r="W25" s="48"/>
    </row>
    <row r="26" spans="1:23" ht="30" customHeight="1">
      <c r="A26" s="48"/>
      <c r="B26" s="48"/>
      <c r="C26" s="48"/>
      <c r="D26" s="48"/>
      <c r="E26" s="48"/>
      <c r="F26" s="48"/>
      <c r="G26" s="48"/>
      <c r="H26" s="48"/>
      <c r="I26" s="48"/>
      <c r="J26" s="48"/>
      <c r="K26" s="48"/>
      <c r="L26" s="48"/>
      <c r="M26" s="48"/>
      <c r="N26" s="48"/>
      <c r="O26" s="48"/>
      <c r="P26" s="48"/>
      <c r="Q26" s="48"/>
      <c r="R26" s="48"/>
      <c r="S26" s="48"/>
      <c r="T26" s="48"/>
      <c r="U26" s="48"/>
      <c r="V26" s="48"/>
      <c r="W26" s="48"/>
    </row>
    <row r="27" spans="1:23" ht="30" customHeight="1">
      <c r="A27" s="48"/>
      <c r="B27" s="48"/>
      <c r="C27" s="48"/>
      <c r="D27" s="48"/>
      <c r="E27" s="48"/>
      <c r="F27" s="48"/>
      <c r="G27" s="48"/>
      <c r="H27" s="48"/>
      <c r="I27" s="48"/>
      <c r="J27" s="48"/>
      <c r="K27" s="48"/>
      <c r="L27" s="48"/>
      <c r="M27" s="48"/>
      <c r="N27" s="48"/>
      <c r="O27" s="48"/>
      <c r="P27" s="48"/>
      <c r="Q27" s="48"/>
      <c r="R27" s="48"/>
      <c r="S27" s="48"/>
      <c r="T27" s="48"/>
      <c r="U27" s="48"/>
      <c r="V27" s="48"/>
      <c r="W27" s="48"/>
    </row>
    <row r="28" spans="1:23" ht="30" customHeight="1">
      <c r="A28" s="48"/>
      <c r="B28" s="48"/>
      <c r="C28" s="48"/>
      <c r="D28" s="48"/>
      <c r="E28" s="48"/>
      <c r="F28" s="48"/>
      <c r="G28" s="48"/>
      <c r="H28" s="48"/>
      <c r="I28" s="48"/>
      <c r="J28" s="48"/>
      <c r="K28" s="48"/>
      <c r="L28" s="48"/>
      <c r="M28" s="48"/>
      <c r="N28" s="48"/>
      <c r="O28" s="48"/>
      <c r="P28" s="48"/>
      <c r="Q28" s="48"/>
      <c r="R28" s="48"/>
      <c r="S28" s="48"/>
      <c r="T28" s="48"/>
      <c r="U28" s="48"/>
      <c r="V28" s="48"/>
      <c r="W28" s="48"/>
    </row>
    <row r="29" spans="1:23" ht="30" customHeight="1">
      <c r="A29" s="48"/>
      <c r="B29" s="48"/>
      <c r="C29" s="48"/>
      <c r="D29" s="48"/>
      <c r="E29" s="48"/>
      <c r="F29" s="48"/>
      <c r="G29" s="48"/>
      <c r="H29" s="48"/>
      <c r="I29" s="48"/>
      <c r="J29" s="48"/>
      <c r="K29" s="48"/>
      <c r="L29" s="48"/>
      <c r="M29" s="48"/>
      <c r="N29" s="48"/>
      <c r="O29" s="48"/>
      <c r="P29" s="48"/>
      <c r="Q29" s="48"/>
      <c r="R29" s="48"/>
      <c r="S29" s="48"/>
      <c r="T29" s="48"/>
      <c r="U29" s="48"/>
      <c r="V29" s="48"/>
      <c r="W29" s="48"/>
    </row>
    <row r="30" spans="1:23" ht="30" customHeight="1">
      <c r="A30" s="48"/>
      <c r="B30" s="48"/>
      <c r="C30" s="48"/>
      <c r="D30" s="48"/>
      <c r="E30" s="48"/>
      <c r="F30" s="48"/>
      <c r="G30" s="48"/>
      <c r="H30" s="48"/>
      <c r="I30" s="48"/>
      <c r="J30" s="48"/>
      <c r="K30" s="48"/>
      <c r="L30" s="48"/>
      <c r="M30" s="48"/>
      <c r="N30" s="48"/>
      <c r="O30" s="48"/>
      <c r="P30" s="48"/>
      <c r="Q30" s="48"/>
      <c r="R30" s="48"/>
      <c r="S30" s="48"/>
      <c r="T30" s="48"/>
      <c r="U30" s="48"/>
      <c r="V30" s="48"/>
      <c r="W30" s="48"/>
    </row>
    <row r="31" spans="1:23" ht="30" customHeight="1">
      <c r="A31" s="48"/>
      <c r="B31" s="48"/>
      <c r="C31" s="48"/>
      <c r="D31" s="48"/>
      <c r="E31" s="48"/>
      <c r="F31" s="48"/>
      <c r="G31" s="48"/>
      <c r="H31" s="48"/>
      <c r="I31" s="48"/>
      <c r="J31" s="48"/>
      <c r="K31" s="48"/>
      <c r="L31" s="48"/>
      <c r="M31" s="48"/>
      <c r="N31" s="48"/>
      <c r="O31" s="48"/>
      <c r="P31" s="48"/>
      <c r="Q31" s="48"/>
      <c r="R31" s="48"/>
      <c r="S31" s="48"/>
      <c r="T31" s="48"/>
      <c r="U31" s="48"/>
      <c r="V31" s="48"/>
      <c r="W31" s="48"/>
    </row>
    <row r="32" spans="1:23" ht="30" customHeight="1">
      <c r="A32" s="48"/>
      <c r="B32" s="48"/>
      <c r="C32" s="48"/>
      <c r="D32" s="48"/>
      <c r="E32" s="48"/>
      <c r="F32" s="48"/>
      <c r="G32" s="48"/>
      <c r="H32" s="48"/>
      <c r="I32" s="48"/>
      <c r="J32" s="48"/>
      <c r="K32" s="48"/>
      <c r="L32" s="48"/>
      <c r="M32" s="48"/>
      <c r="N32" s="48"/>
      <c r="O32" s="48"/>
      <c r="P32" s="48"/>
      <c r="Q32" s="48"/>
      <c r="R32" s="48"/>
      <c r="S32" s="48"/>
      <c r="T32" s="48"/>
      <c r="U32" s="48"/>
      <c r="V32" s="48"/>
      <c r="W32" s="48"/>
    </row>
    <row r="33" spans="1:23" ht="30" customHeight="1">
      <c r="A33" s="48"/>
      <c r="B33" s="48"/>
      <c r="C33" s="48"/>
      <c r="D33" s="48"/>
      <c r="E33" s="48"/>
      <c r="F33" s="48"/>
      <c r="G33" s="48"/>
      <c r="H33" s="48"/>
      <c r="I33" s="48"/>
      <c r="J33" s="48"/>
      <c r="K33" s="48"/>
      <c r="L33" s="48"/>
      <c r="M33" s="48"/>
      <c r="N33" s="48"/>
      <c r="O33" s="48"/>
      <c r="P33" s="48"/>
      <c r="Q33" s="48"/>
      <c r="R33" s="48"/>
      <c r="S33" s="48"/>
      <c r="T33" s="48"/>
      <c r="U33" s="48"/>
      <c r="V33" s="48"/>
      <c r="W33" s="48"/>
    </row>
    <row r="34" spans="1:23" ht="30" customHeight="1">
      <c r="A34" s="48"/>
      <c r="B34" s="48"/>
      <c r="C34" s="48"/>
      <c r="D34" s="48"/>
      <c r="E34" s="48"/>
      <c r="F34" s="48"/>
      <c r="G34" s="48"/>
      <c r="H34" s="48"/>
      <c r="I34" s="48"/>
      <c r="J34" s="48"/>
      <c r="K34" s="48"/>
      <c r="L34" s="48"/>
      <c r="M34" s="48"/>
      <c r="N34" s="48"/>
      <c r="O34" s="48"/>
      <c r="P34" s="48"/>
      <c r="Q34" s="48"/>
      <c r="R34" s="48"/>
      <c r="S34" s="48"/>
      <c r="T34" s="48"/>
      <c r="U34" s="48"/>
      <c r="V34" s="48"/>
      <c r="W34" s="48"/>
    </row>
    <row r="35" spans="1:23" ht="30" customHeight="1">
      <c r="A35" s="48"/>
      <c r="B35" s="48"/>
      <c r="C35" s="48"/>
      <c r="D35" s="48"/>
      <c r="E35" s="48"/>
      <c r="F35" s="48"/>
      <c r="G35" s="48"/>
      <c r="H35" s="48"/>
      <c r="I35" s="48"/>
      <c r="J35" s="48"/>
      <c r="K35" s="48"/>
      <c r="L35" s="48"/>
      <c r="M35" s="48"/>
      <c r="N35" s="48"/>
      <c r="O35" s="48"/>
      <c r="P35" s="48"/>
      <c r="Q35" s="48"/>
      <c r="R35" s="48"/>
      <c r="S35" s="48"/>
      <c r="T35" s="48"/>
      <c r="U35" s="48"/>
      <c r="V35" s="48"/>
      <c r="W35" s="48"/>
    </row>
    <row r="36" spans="1:23" ht="30" customHeight="1">
      <c r="A36" s="48"/>
      <c r="B36" s="48"/>
      <c r="C36" s="48"/>
      <c r="D36" s="48"/>
      <c r="E36" s="48"/>
      <c r="F36" s="48"/>
      <c r="G36" s="48"/>
      <c r="H36" s="48"/>
      <c r="I36" s="48"/>
      <c r="J36" s="48"/>
      <c r="K36" s="48"/>
      <c r="L36" s="48"/>
      <c r="M36" s="48"/>
      <c r="N36" s="48"/>
      <c r="O36" s="48"/>
      <c r="P36" s="48"/>
      <c r="Q36" s="48"/>
      <c r="R36" s="48"/>
      <c r="S36" s="48"/>
      <c r="T36" s="48"/>
      <c r="U36" s="48"/>
      <c r="V36" s="48"/>
      <c r="W36" s="48"/>
    </row>
    <row r="37" spans="1:23" ht="30" customHeight="1">
      <c r="A37" s="48"/>
      <c r="B37" s="48"/>
      <c r="C37" s="48"/>
      <c r="D37" s="48"/>
      <c r="E37" s="48"/>
      <c r="F37" s="48"/>
      <c r="G37" s="48"/>
      <c r="H37" s="48"/>
      <c r="I37" s="48"/>
      <c r="J37" s="48"/>
      <c r="K37" s="48"/>
      <c r="L37" s="48"/>
      <c r="M37" s="48"/>
      <c r="N37" s="48"/>
      <c r="O37" s="48"/>
      <c r="P37" s="48"/>
      <c r="Q37" s="48"/>
      <c r="R37" s="48"/>
      <c r="S37" s="48"/>
      <c r="T37" s="48"/>
      <c r="U37" s="48"/>
      <c r="V37" s="48"/>
      <c r="W37" s="48"/>
    </row>
    <row r="38" spans="1:23" ht="30" customHeight="1">
      <c r="A38" s="48"/>
      <c r="B38" s="48"/>
      <c r="C38" s="48"/>
      <c r="D38" s="48"/>
      <c r="E38" s="48"/>
      <c r="F38" s="48"/>
      <c r="G38" s="48"/>
      <c r="H38" s="48"/>
      <c r="I38" s="48"/>
      <c r="J38" s="48"/>
      <c r="K38" s="48"/>
      <c r="L38" s="48"/>
      <c r="M38" s="48"/>
      <c r="N38" s="48"/>
      <c r="O38" s="48"/>
      <c r="P38" s="48"/>
      <c r="Q38" s="48"/>
      <c r="R38" s="48"/>
      <c r="S38" s="48"/>
      <c r="T38" s="48"/>
      <c r="U38" s="48"/>
      <c r="V38" s="48"/>
      <c r="W38" s="48"/>
    </row>
    <row r="39" spans="1:23" ht="30" customHeight="1">
      <c r="A39" s="48"/>
      <c r="B39" s="48"/>
      <c r="C39" s="48"/>
      <c r="D39" s="48"/>
      <c r="E39" s="48"/>
      <c r="F39" s="48"/>
      <c r="G39" s="48"/>
      <c r="H39" s="48"/>
      <c r="I39" s="48"/>
      <c r="J39" s="48"/>
      <c r="K39" s="48"/>
      <c r="L39" s="48"/>
      <c r="M39" s="48"/>
      <c r="N39" s="48"/>
      <c r="O39" s="48"/>
      <c r="P39" s="48"/>
      <c r="Q39" s="48"/>
      <c r="R39" s="48"/>
      <c r="S39" s="48"/>
      <c r="T39" s="48"/>
      <c r="U39" s="48"/>
      <c r="V39" s="48"/>
      <c r="W39" s="48"/>
    </row>
    <row r="40" spans="1:23" ht="30" customHeight="1">
      <c r="A40" s="48"/>
      <c r="B40" s="48"/>
      <c r="C40" s="48"/>
      <c r="D40" s="48"/>
      <c r="E40" s="48"/>
      <c r="F40" s="48"/>
      <c r="G40" s="48"/>
      <c r="H40" s="48"/>
      <c r="I40" s="48"/>
      <c r="J40" s="48"/>
      <c r="K40" s="48"/>
      <c r="L40" s="48"/>
      <c r="M40" s="48"/>
      <c r="N40" s="48"/>
      <c r="O40" s="48"/>
      <c r="P40" s="48"/>
      <c r="Q40" s="48"/>
      <c r="R40" s="48"/>
      <c r="S40" s="48"/>
      <c r="T40" s="48"/>
      <c r="U40" s="48"/>
      <c r="V40" s="48"/>
      <c r="W40" s="48"/>
    </row>
    <row r="41" spans="1:23" ht="30" customHeight="1">
      <c r="A41" s="48"/>
      <c r="B41" s="48"/>
      <c r="C41" s="48"/>
      <c r="D41" s="48"/>
      <c r="E41" s="48"/>
      <c r="F41" s="48"/>
      <c r="G41" s="48"/>
      <c r="H41" s="48"/>
      <c r="I41" s="48"/>
      <c r="J41" s="48"/>
      <c r="K41" s="48"/>
      <c r="L41" s="48"/>
      <c r="M41" s="48"/>
      <c r="N41" s="48"/>
      <c r="O41" s="48"/>
      <c r="P41" s="48"/>
      <c r="Q41" s="48"/>
      <c r="R41" s="48"/>
      <c r="S41" s="48"/>
      <c r="T41" s="48"/>
      <c r="U41" s="48"/>
      <c r="V41" s="48"/>
      <c r="W41" s="48"/>
    </row>
    <row r="42" spans="1:23" ht="30" customHeight="1">
      <c r="A42" s="48"/>
      <c r="B42" s="48"/>
      <c r="C42" s="48"/>
      <c r="D42" s="48"/>
      <c r="E42" s="48"/>
      <c r="F42" s="48"/>
      <c r="G42" s="48"/>
      <c r="H42" s="48"/>
      <c r="I42" s="48"/>
      <c r="J42" s="48"/>
      <c r="K42" s="48"/>
      <c r="L42" s="48"/>
      <c r="M42" s="48"/>
      <c r="N42" s="48"/>
      <c r="O42" s="48"/>
      <c r="P42" s="48"/>
      <c r="Q42" s="48"/>
      <c r="R42" s="48"/>
      <c r="S42" s="48"/>
      <c r="T42" s="48"/>
      <c r="U42" s="48"/>
      <c r="V42" s="48"/>
      <c r="W42" s="48"/>
    </row>
    <row r="43" spans="1:23" ht="30" customHeight="1">
      <c r="A43" s="48"/>
      <c r="B43" s="48"/>
      <c r="C43" s="48"/>
      <c r="D43" s="48"/>
      <c r="E43" s="48"/>
      <c r="F43" s="48"/>
      <c r="G43" s="48"/>
      <c r="H43" s="48"/>
      <c r="I43" s="48"/>
      <c r="J43" s="48"/>
      <c r="K43" s="48"/>
      <c r="L43" s="48"/>
      <c r="M43" s="48"/>
      <c r="N43" s="48"/>
      <c r="O43" s="48"/>
      <c r="P43" s="48"/>
      <c r="Q43" s="48"/>
      <c r="R43" s="48"/>
      <c r="S43" s="48"/>
      <c r="T43" s="48"/>
      <c r="U43" s="48"/>
      <c r="V43" s="48"/>
      <c r="W43" s="48"/>
    </row>
    <row r="44" spans="1:23" ht="30" customHeight="1">
      <c r="A44" s="48"/>
      <c r="B44" s="48"/>
      <c r="C44" s="48"/>
      <c r="D44" s="48"/>
      <c r="E44" s="48"/>
      <c r="F44" s="48"/>
      <c r="G44" s="48"/>
      <c r="H44" s="48"/>
      <c r="I44" s="48"/>
      <c r="J44" s="48"/>
      <c r="K44" s="48"/>
      <c r="L44" s="48"/>
      <c r="M44" s="48"/>
      <c r="N44" s="48"/>
      <c r="O44" s="48"/>
      <c r="P44" s="48"/>
      <c r="Q44" s="48"/>
      <c r="R44" s="48"/>
      <c r="S44" s="48"/>
      <c r="T44" s="48"/>
      <c r="U44" s="48"/>
      <c r="V44" s="48"/>
      <c r="W44" s="48"/>
    </row>
    <row r="45" spans="1:23" ht="30" customHeight="1">
      <c r="A45" s="48"/>
      <c r="B45" s="48"/>
      <c r="C45" s="48"/>
      <c r="D45" s="48"/>
      <c r="E45" s="48"/>
      <c r="F45" s="48"/>
      <c r="G45" s="48"/>
      <c r="H45" s="48"/>
      <c r="I45" s="48"/>
      <c r="J45" s="48"/>
      <c r="K45" s="48"/>
      <c r="L45" s="48"/>
      <c r="M45" s="48"/>
      <c r="N45" s="48"/>
      <c r="O45" s="48"/>
      <c r="P45" s="48"/>
      <c r="Q45" s="48"/>
      <c r="R45" s="48"/>
      <c r="S45" s="48"/>
      <c r="T45" s="48"/>
      <c r="U45" s="48"/>
      <c r="V45" s="48"/>
      <c r="W45" s="48"/>
    </row>
    <row r="46" spans="1:23" ht="30" customHeight="1">
      <c r="A46" s="48"/>
      <c r="B46" s="48"/>
      <c r="C46" s="48"/>
      <c r="D46" s="48"/>
      <c r="E46" s="48"/>
      <c r="F46" s="48"/>
      <c r="G46" s="48"/>
      <c r="H46" s="48"/>
      <c r="I46" s="48"/>
      <c r="J46" s="48"/>
      <c r="K46" s="48"/>
      <c r="L46" s="48"/>
      <c r="M46" s="48"/>
      <c r="N46" s="48"/>
      <c r="O46" s="48"/>
      <c r="P46" s="48"/>
      <c r="Q46" s="48"/>
      <c r="R46" s="48"/>
      <c r="S46" s="48"/>
      <c r="T46" s="48"/>
      <c r="U46" s="48"/>
      <c r="V46" s="48"/>
      <c r="W46" s="48"/>
    </row>
    <row r="47" spans="1:23" ht="30" customHeight="1">
      <c r="A47" s="48"/>
      <c r="B47" s="48"/>
      <c r="C47" s="48"/>
      <c r="D47" s="48"/>
      <c r="E47" s="48"/>
      <c r="F47" s="48"/>
      <c r="G47" s="48"/>
      <c r="H47" s="48"/>
      <c r="I47" s="48"/>
      <c r="J47" s="48"/>
      <c r="K47" s="48"/>
      <c r="L47" s="48"/>
      <c r="M47" s="48"/>
      <c r="N47" s="48"/>
      <c r="O47" s="48"/>
      <c r="P47" s="48"/>
      <c r="Q47" s="48"/>
      <c r="R47" s="48"/>
      <c r="S47" s="48"/>
      <c r="T47" s="48"/>
      <c r="U47" s="48"/>
      <c r="V47" s="48"/>
      <c r="W47" s="48"/>
    </row>
    <row r="48" spans="1:23" ht="30" customHeight="1">
      <c r="A48" s="48"/>
      <c r="B48" s="48"/>
      <c r="C48" s="48"/>
      <c r="D48" s="48"/>
      <c r="E48" s="48"/>
      <c r="F48" s="48"/>
      <c r="G48" s="48"/>
      <c r="H48" s="48"/>
      <c r="I48" s="48"/>
      <c r="J48" s="48"/>
      <c r="K48" s="48"/>
      <c r="L48" s="48"/>
      <c r="M48" s="48"/>
      <c r="N48" s="48"/>
      <c r="O48" s="48"/>
      <c r="P48" s="48"/>
      <c r="Q48" s="48"/>
      <c r="R48" s="48"/>
      <c r="S48" s="48"/>
      <c r="T48" s="48"/>
      <c r="U48" s="48"/>
      <c r="V48" s="48"/>
      <c r="W48" s="48"/>
    </row>
    <row r="49" spans="1:23" ht="30" customHeight="1">
      <c r="A49" s="48"/>
      <c r="B49" s="48"/>
      <c r="C49" s="48"/>
      <c r="D49" s="48"/>
      <c r="E49" s="48"/>
      <c r="F49" s="48"/>
      <c r="G49" s="48"/>
      <c r="H49" s="48"/>
      <c r="I49" s="48"/>
      <c r="J49" s="48"/>
      <c r="K49" s="48"/>
      <c r="L49" s="48"/>
      <c r="M49" s="48"/>
      <c r="N49" s="48"/>
      <c r="O49" s="48"/>
      <c r="P49" s="48"/>
      <c r="Q49" s="48"/>
      <c r="R49" s="48"/>
      <c r="S49" s="48"/>
      <c r="T49" s="48"/>
      <c r="U49" s="48"/>
      <c r="V49" s="48"/>
      <c r="W49" s="48"/>
    </row>
    <row r="50" spans="1:23" ht="30" customHeight="1">
      <c r="A50" s="48"/>
      <c r="B50" s="48"/>
      <c r="C50" s="48"/>
      <c r="D50" s="48"/>
      <c r="E50" s="48"/>
      <c r="F50" s="48"/>
      <c r="G50" s="48"/>
      <c r="H50" s="48"/>
      <c r="I50" s="48"/>
      <c r="J50" s="48"/>
      <c r="K50" s="48"/>
      <c r="L50" s="48"/>
      <c r="M50" s="48"/>
      <c r="N50" s="48"/>
      <c r="O50" s="48"/>
      <c r="P50" s="48"/>
      <c r="Q50" s="48"/>
      <c r="R50" s="48"/>
      <c r="S50" s="48"/>
      <c r="T50" s="48"/>
      <c r="U50" s="48"/>
      <c r="V50" s="48"/>
      <c r="W50" s="48"/>
    </row>
    <row r="51" spans="1:23" ht="30" customHeight="1">
      <c r="A51" s="48"/>
      <c r="B51" s="48"/>
      <c r="C51" s="48"/>
      <c r="D51" s="48"/>
      <c r="E51" s="48"/>
      <c r="F51" s="48"/>
      <c r="G51" s="48"/>
      <c r="H51" s="48"/>
      <c r="I51" s="48"/>
      <c r="J51" s="48"/>
      <c r="K51" s="48"/>
      <c r="L51" s="48"/>
      <c r="M51" s="48"/>
      <c r="N51" s="48"/>
      <c r="O51" s="48"/>
      <c r="P51" s="48"/>
      <c r="Q51" s="48"/>
      <c r="R51" s="48"/>
      <c r="S51" s="48"/>
      <c r="T51" s="48"/>
      <c r="U51" s="48"/>
      <c r="V51" s="48"/>
      <c r="W51" s="48"/>
    </row>
    <row r="52" spans="1:23" ht="30" customHeight="1">
      <c r="A52" s="48"/>
      <c r="B52" s="48"/>
      <c r="C52" s="48"/>
      <c r="D52" s="48"/>
      <c r="E52" s="48"/>
      <c r="F52" s="48"/>
      <c r="G52" s="48"/>
      <c r="H52" s="48"/>
      <c r="I52" s="48"/>
      <c r="J52" s="48"/>
      <c r="K52" s="48"/>
      <c r="L52" s="48"/>
      <c r="M52" s="48"/>
      <c r="N52" s="48"/>
      <c r="O52" s="48"/>
      <c r="P52" s="48"/>
      <c r="Q52" s="48"/>
      <c r="R52" s="48"/>
      <c r="S52" s="48"/>
      <c r="T52" s="48"/>
      <c r="U52" s="48"/>
      <c r="V52" s="48"/>
      <c r="W52" s="48"/>
    </row>
    <row r="53" spans="1:23" ht="30" customHeight="1">
      <c r="A53" s="48"/>
      <c r="B53" s="48"/>
      <c r="C53" s="48"/>
      <c r="D53" s="48"/>
      <c r="E53" s="48"/>
      <c r="F53" s="48"/>
      <c r="G53" s="48"/>
      <c r="H53" s="48"/>
      <c r="I53" s="48"/>
      <c r="J53" s="48"/>
      <c r="K53" s="48"/>
      <c r="L53" s="48"/>
      <c r="M53" s="48"/>
      <c r="N53" s="48"/>
      <c r="O53" s="48"/>
      <c r="P53" s="48"/>
      <c r="Q53" s="48"/>
      <c r="R53" s="48"/>
      <c r="S53" s="48"/>
      <c r="T53" s="48"/>
      <c r="U53" s="48"/>
      <c r="V53" s="48"/>
      <c r="W53" s="48"/>
    </row>
    <row r="54" spans="1:23" ht="30" customHeight="1">
      <c r="A54" s="48"/>
      <c r="B54" s="48"/>
      <c r="C54" s="48"/>
      <c r="D54" s="48"/>
      <c r="E54" s="48"/>
      <c r="F54" s="48"/>
      <c r="G54" s="48"/>
      <c r="H54" s="48"/>
      <c r="I54" s="48"/>
      <c r="J54" s="48"/>
      <c r="K54" s="48"/>
      <c r="L54" s="48"/>
      <c r="M54" s="48"/>
      <c r="N54" s="48"/>
      <c r="O54" s="48"/>
      <c r="P54" s="48"/>
      <c r="Q54" s="48"/>
      <c r="R54" s="48"/>
      <c r="S54" s="48"/>
      <c r="T54" s="48"/>
      <c r="U54" s="48"/>
      <c r="V54" s="48"/>
      <c r="W54" s="48"/>
    </row>
    <row r="55" spans="1:23" ht="30" customHeight="1">
      <c r="A55" s="48"/>
      <c r="B55" s="48"/>
      <c r="C55" s="48"/>
      <c r="D55" s="48"/>
      <c r="E55" s="48"/>
      <c r="F55" s="48"/>
      <c r="G55" s="48"/>
      <c r="H55" s="48"/>
      <c r="I55" s="48"/>
      <c r="J55" s="48"/>
      <c r="K55" s="48"/>
      <c r="L55" s="48"/>
      <c r="M55" s="48"/>
      <c r="N55" s="48"/>
      <c r="O55" s="48"/>
      <c r="P55" s="48"/>
      <c r="Q55" s="48"/>
      <c r="R55" s="48"/>
      <c r="S55" s="48"/>
      <c r="T55" s="48"/>
      <c r="U55" s="48"/>
      <c r="V55" s="48"/>
      <c r="W55" s="48"/>
    </row>
    <row r="56" spans="1:23" ht="30" customHeight="1">
      <c r="A56" s="48"/>
      <c r="B56" s="48"/>
      <c r="C56" s="48"/>
      <c r="D56" s="48"/>
      <c r="E56" s="48"/>
      <c r="F56" s="48"/>
      <c r="G56" s="48"/>
      <c r="H56" s="48"/>
      <c r="I56" s="48"/>
      <c r="J56" s="48"/>
      <c r="K56" s="48"/>
      <c r="L56" s="48"/>
      <c r="M56" s="48"/>
      <c r="N56" s="48"/>
      <c r="O56" s="48"/>
      <c r="P56" s="48"/>
      <c r="Q56" s="48"/>
      <c r="R56" s="48"/>
      <c r="S56" s="48"/>
      <c r="T56" s="48"/>
      <c r="U56" s="48"/>
      <c r="V56" s="48"/>
      <c r="W56" s="48"/>
    </row>
    <row r="57" spans="1:23" ht="30" customHeight="1">
      <c r="A57" s="48"/>
      <c r="B57" s="48"/>
      <c r="C57" s="48"/>
      <c r="D57" s="48"/>
      <c r="E57" s="48"/>
      <c r="F57" s="48"/>
      <c r="G57" s="48"/>
      <c r="H57" s="48"/>
      <c r="I57" s="48"/>
      <c r="J57" s="48"/>
      <c r="K57" s="48"/>
      <c r="L57" s="48"/>
      <c r="M57" s="48"/>
      <c r="N57" s="48"/>
      <c r="O57" s="48"/>
      <c r="P57" s="48"/>
      <c r="Q57" s="48"/>
      <c r="R57" s="48"/>
      <c r="S57" s="48"/>
      <c r="T57" s="48"/>
      <c r="U57" s="48"/>
      <c r="V57" s="48"/>
      <c r="W57" s="48"/>
    </row>
    <row r="58" spans="1:23" ht="30" customHeight="1">
      <c r="A58" s="48"/>
      <c r="B58" s="48"/>
      <c r="C58" s="48"/>
      <c r="D58" s="48"/>
      <c r="E58" s="48"/>
      <c r="F58" s="48"/>
      <c r="G58" s="48"/>
      <c r="H58" s="48"/>
      <c r="I58" s="48"/>
      <c r="J58" s="48"/>
      <c r="K58" s="48"/>
      <c r="L58" s="48"/>
      <c r="M58" s="48"/>
      <c r="N58" s="48"/>
      <c r="O58" s="48"/>
      <c r="P58" s="48"/>
      <c r="Q58" s="48"/>
      <c r="R58" s="48"/>
      <c r="S58" s="48"/>
      <c r="T58" s="48"/>
      <c r="U58" s="48"/>
      <c r="V58" s="48"/>
      <c r="W58" s="48"/>
    </row>
    <row r="59" spans="1:23" ht="30" customHeight="1">
      <c r="A59" s="48"/>
      <c r="B59" s="48"/>
      <c r="C59" s="48"/>
      <c r="D59" s="48"/>
      <c r="E59" s="48"/>
      <c r="F59" s="48"/>
      <c r="G59" s="48"/>
      <c r="H59" s="48"/>
      <c r="I59" s="48"/>
      <c r="J59" s="48"/>
      <c r="K59" s="48"/>
      <c r="L59" s="48"/>
      <c r="M59" s="48"/>
      <c r="N59" s="48"/>
      <c r="O59" s="48"/>
      <c r="P59" s="48"/>
      <c r="Q59" s="48"/>
      <c r="R59" s="48"/>
      <c r="S59" s="48"/>
      <c r="T59" s="48"/>
      <c r="U59" s="48"/>
      <c r="V59" s="48"/>
      <c r="W59" s="48"/>
    </row>
    <row r="60" spans="1:23" ht="30" customHeight="1">
      <c r="A60" s="48"/>
      <c r="B60" s="48"/>
      <c r="C60" s="48"/>
      <c r="D60" s="48"/>
      <c r="E60" s="48"/>
      <c r="F60" s="48"/>
      <c r="G60" s="48"/>
      <c r="H60" s="48"/>
      <c r="I60" s="48"/>
      <c r="J60" s="48"/>
      <c r="K60" s="48"/>
      <c r="L60" s="48"/>
      <c r="M60" s="48"/>
      <c r="N60" s="48"/>
      <c r="O60" s="48"/>
      <c r="P60" s="48"/>
      <c r="Q60" s="48"/>
      <c r="R60" s="48"/>
      <c r="S60" s="48"/>
      <c r="T60" s="48"/>
      <c r="U60" s="48"/>
      <c r="V60" s="48"/>
      <c r="W60" s="48"/>
    </row>
    <row r="61" spans="1:23" ht="30" customHeight="1">
      <c r="A61" s="48"/>
      <c r="B61" s="48"/>
      <c r="C61" s="48"/>
      <c r="D61" s="48"/>
      <c r="E61" s="48"/>
      <c r="F61" s="48"/>
      <c r="G61" s="48"/>
      <c r="H61" s="48"/>
      <c r="I61" s="48"/>
      <c r="J61" s="48"/>
      <c r="K61" s="48"/>
      <c r="L61" s="48"/>
      <c r="M61" s="48"/>
      <c r="N61" s="48"/>
      <c r="O61" s="48"/>
      <c r="P61" s="48"/>
      <c r="Q61" s="48"/>
      <c r="R61" s="48"/>
      <c r="S61" s="48"/>
      <c r="T61" s="48"/>
      <c r="U61" s="48"/>
      <c r="V61" s="48"/>
      <c r="W61" s="48"/>
    </row>
    <row r="62" spans="1:23" ht="30" customHeight="1">
      <c r="A62" s="48"/>
      <c r="B62" s="48"/>
      <c r="C62" s="48"/>
      <c r="D62" s="48"/>
      <c r="E62" s="48"/>
      <c r="F62" s="48"/>
      <c r="G62" s="48"/>
      <c r="H62" s="48"/>
      <c r="I62" s="48"/>
      <c r="J62" s="48"/>
      <c r="K62" s="48"/>
      <c r="L62" s="48"/>
      <c r="M62" s="48"/>
      <c r="N62" s="48"/>
      <c r="O62" s="48"/>
      <c r="P62" s="48"/>
      <c r="Q62" s="48"/>
      <c r="R62" s="48"/>
      <c r="S62" s="48"/>
      <c r="T62" s="48"/>
      <c r="U62" s="48"/>
      <c r="V62" s="48"/>
      <c r="W62" s="48"/>
    </row>
    <row r="63" spans="1:23" ht="30" customHeight="1">
      <c r="A63" s="48"/>
      <c r="B63" s="48"/>
      <c r="C63" s="48"/>
      <c r="D63" s="48"/>
      <c r="E63" s="48"/>
      <c r="F63" s="48"/>
      <c r="G63" s="48"/>
      <c r="H63" s="48"/>
      <c r="I63" s="48"/>
      <c r="J63" s="48"/>
      <c r="K63" s="48"/>
      <c r="L63" s="48"/>
      <c r="M63" s="48"/>
      <c r="N63" s="48"/>
      <c r="O63" s="48"/>
      <c r="P63" s="48"/>
      <c r="Q63" s="48"/>
      <c r="R63" s="48"/>
      <c r="S63" s="48"/>
      <c r="T63" s="48"/>
      <c r="U63" s="48"/>
      <c r="V63" s="48"/>
      <c r="W63" s="48"/>
    </row>
    <row r="64" spans="1:23" ht="30" customHeight="1">
      <c r="A64" s="48"/>
      <c r="B64" s="48"/>
      <c r="C64" s="48"/>
      <c r="D64" s="48"/>
      <c r="E64" s="48"/>
      <c r="F64" s="48"/>
      <c r="G64" s="48"/>
      <c r="H64" s="48"/>
      <c r="I64" s="48"/>
      <c r="J64" s="48"/>
      <c r="K64" s="48"/>
      <c r="L64" s="48"/>
      <c r="M64" s="48"/>
      <c r="N64" s="48"/>
      <c r="O64" s="48"/>
      <c r="P64" s="48"/>
      <c r="Q64" s="48"/>
      <c r="R64" s="48"/>
      <c r="S64" s="48"/>
      <c r="T64" s="48"/>
      <c r="U64" s="48"/>
      <c r="V64" s="48"/>
      <c r="W64" s="48"/>
    </row>
    <row r="65" spans="1:23" ht="30" customHeight="1">
      <c r="A65" s="48"/>
      <c r="B65" s="48"/>
      <c r="C65" s="48"/>
      <c r="D65" s="48"/>
      <c r="E65" s="48"/>
      <c r="F65" s="48"/>
      <c r="G65" s="48"/>
      <c r="H65" s="48"/>
      <c r="I65" s="48"/>
      <c r="J65" s="48"/>
      <c r="K65" s="48"/>
      <c r="L65" s="48"/>
      <c r="M65" s="48"/>
      <c r="N65" s="48"/>
      <c r="O65" s="48"/>
      <c r="P65" s="48"/>
      <c r="Q65" s="48"/>
      <c r="R65" s="48"/>
      <c r="S65" s="48"/>
      <c r="T65" s="48"/>
      <c r="U65" s="48"/>
      <c r="V65" s="48"/>
      <c r="W65" s="48"/>
    </row>
    <row r="66" spans="1:23" ht="30" customHeight="1">
      <c r="A66" s="48"/>
      <c r="B66" s="48"/>
      <c r="C66" s="48"/>
      <c r="D66" s="48"/>
      <c r="E66" s="48"/>
      <c r="F66" s="48"/>
      <c r="G66" s="48"/>
      <c r="H66" s="48"/>
      <c r="I66" s="48"/>
      <c r="J66" s="48"/>
      <c r="K66" s="48"/>
      <c r="L66" s="48"/>
      <c r="M66" s="48"/>
      <c r="N66" s="48"/>
      <c r="O66" s="48"/>
      <c r="P66" s="48"/>
      <c r="Q66" s="48"/>
      <c r="R66" s="48"/>
      <c r="S66" s="48"/>
      <c r="T66" s="48"/>
      <c r="U66" s="48"/>
      <c r="V66" s="48"/>
      <c r="W66" s="48"/>
    </row>
    <row r="67" spans="1:23" ht="30" customHeight="1">
      <c r="A67" s="48"/>
      <c r="B67" s="48"/>
      <c r="C67" s="48"/>
      <c r="D67" s="48"/>
      <c r="E67" s="48"/>
      <c r="F67" s="48"/>
      <c r="G67" s="48"/>
      <c r="H67" s="48"/>
      <c r="I67" s="48"/>
      <c r="J67" s="48"/>
      <c r="K67" s="48"/>
      <c r="L67" s="48"/>
      <c r="M67" s="48"/>
      <c r="N67" s="48"/>
      <c r="O67" s="48"/>
      <c r="P67" s="48"/>
      <c r="Q67" s="48"/>
      <c r="R67" s="48"/>
      <c r="S67" s="48"/>
      <c r="T67" s="48"/>
      <c r="U67" s="48"/>
      <c r="V67" s="48"/>
      <c r="W67" s="48"/>
    </row>
    <row r="68" spans="1:23" ht="30" customHeight="1">
      <c r="A68" s="48"/>
      <c r="B68" s="48"/>
      <c r="C68" s="48"/>
      <c r="D68" s="48"/>
      <c r="E68" s="48"/>
      <c r="F68" s="48"/>
      <c r="G68" s="48"/>
      <c r="H68" s="48"/>
      <c r="I68" s="48"/>
      <c r="J68" s="48"/>
      <c r="K68" s="48"/>
      <c r="L68" s="48"/>
      <c r="M68" s="48"/>
      <c r="N68" s="48"/>
      <c r="O68" s="48"/>
      <c r="P68" s="48"/>
      <c r="Q68" s="48"/>
      <c r="R68" s="48"/>
      <c r="S68" s="48"/>
      <c r="T68" s="48"/>
      <c r="U68" s="48"/>
      <c r="V68" s="48"/>
      <c r="W68" s="48"/>
    </row>
    <row r="69" spans="1:23" ht="30" customHeight="1">
      <c r="A69" s="48"/>
      <c r="B69" s="48"/>
      <c r="C69" s="48"/>
      <c r="D69" s="48"/>
      <c r="E69" s="48"/>
      <c r="F69" s="48"/>
      <c r="G69" s="48"/>
      <c r="H69" s="48"/>
      <c r="I69" s="48"/>
      <c r="J69" s="48"/>
      <c r="K69" s="48"/>
      <c r="L69" s="48"/>
      <c r="M69" s="48"/>
      <c r="N69" s="48"/>
      <c r="O69" s="48"/>
      <c r="P69" s="48"/>
      <c r="Q69" s="48"/>
      <c r="R69" s="48"/>
      <c r="S69" s="48"/>
      <c r="T69" s="48"/>
      <c r="U69" s="48"/>
      <c r="V69" s="48"/>
      <c r="W69" s="48"/>
    </row>
    <row r="70" spans="1:23" ht="30" customHeight="1">
      <c r="A70" s="48"/>
      <c r="B70" s="48"/>
      <c r="C70" s="48"/>
      <c r="D70" s="48"/>
      <c r="E70" s="48"/>
      <c r="F70" s="48"/>
      <c r="G70" s="48"/>
      <c r="H70" s="48"/>
      <c r="I70" s="48"/>
      <c r="J70" s="48"/>
      <c r="K70" s="48"/>
      <c r="L70" s="48"/>
      <c r="M70" s="48"/>
      <c r="N70" s="48"/>
      <c r="O70" s="48"/>
      <c r="P70" s="48"/>
      <c r="Q70" s="48"/>
      <c r="R70" s="48"/>
      <c r="S70" s="48"/>
      <c r="T70" s="48"/>
      <c r="U70" s="48"/>
      <c r="V70" s="48"/>
      <c r="W70" s="48"/>
    </row>
    <row r="71" spans="1:23" ht="30" customHeight="1">
      <c r="A71" s="48"/>
      <c r="B71" s="48"/>
      <c r="C71" s="48"/>
      <c r="D71" s="48"/>
      <c r="E71" s="48"/>
      <c r="F71" s="48"/>
      <c r="G71" s="48"/>
      <c r="H71" s="48"/>
      <c r="I71" s="48"/>
      <c r="J71" s="48"/>
      <c r="K71" s="48"/>
      <c r="L71" s="48"/>
      <c r="M71" s="48"/>
      <c r="N71" s="48"/>
      <c r="O71" s="48"/>
      <c r="P71" s="48"/>
      <c r="Q71" s="48"/>
      <c r="R71" s="48"/>
      <c r="S71" s="48"/>
      <c r="T71" s="48"/>
      <c r="U71" s="48"/>
      <c r="V71" s="48"/>
      <c r="W71" s="48"/>
    </row>
    <row r="72" spans="1:23" ht="30" customHeight="1">
      <c r="A72" s="48"/>
      <c r="B72" s="48"/>
      <c r="C72" s="48"/>
      <c r="D72" s="48"/>
      <c r="E72" s="48"/>
      <c r="F72" s="48"/>
      <c r="G72" s="48"/>
      <c r="H72" s="48"/>
      <c r="I72" s="48"/>
      <c r="J72" s="48"/>
      <c r="K72" s="48"/>
      <c r="L72" s="48"/>
      <c r="M72" s="48"/>
      <c r="N72" s="48"/>
      <c r="O72" s="48"/>
      <c r="P72" s="48"/>
      <c r="Q72" s="48"/>
      <c r="R72" s="48"/>
      <c r="S72" s="48"/>
      <c r="T72" s="48"/>
      <c r="U72" s="48"/>
      <c r="V72" s="48"/>
      <c r="W72" s="48"/>
    </row>
    <row r="73" spans="1:23" ht="30" customHeight="1">
      <c r="A73" s="48"/>
      <c r="B73" s="48"/>
      <c r="C73" s="48"/>
      <c r="D73" s="48"/>
      <c r="E73" s="48"/>
      <c r="F73" s="48"/>
      <c r="G73" s="48"/>
      <c r="H73" s="48"/>
      <c r="I73" s="48"/>
      <c r="J73" s="48"/>
      <c r="K73" s="48"/>
      <c r="L73" s="48"/>
      <c r="M73" s="48"/>
      <c r="N73" s="48"/>
      <c r="O73" s="48"/>
      <c r="P73" s="48"/>
      <c r="Q73" s="48"/>
      <c r="R73" s="48"/>
      <c r="S73" s="48"/>
      <c r="T73" s="48"/>
      <c r="U73" s="48"/>
      <c r="V73" s="48"/>
      <c r="W73" s="48"/>
    </row>
    <row r="74" spans="1:23" ht="30" customHeight="1">
      <c r="A74" s="48"/>
      <c r="B74" s="48"/>
      <c r="C74" s="48"/>
      <c r="D74" s="48"/>
      <c r="E74" s="48"/>
      <c r="F74" s="48"/>
      <c r="G74" s="48"/>
      <c r="H74" s="48"/>
      <c r="I74" s="48"/>
      <c r="J74" s="48"/>
      <c r="K74" s="48"/>
      <c r="L74" s="48"/>
      <c r="M74" s="48"/>
      <c r="N74" s="48"/>
      <c r="O74" s="48"/>
      <c r="P74" s="48"/>
      <c r="Q74" s="48"/>
      <c r="R74" s="48"/>
      <c r="S74" s="48"/>
      <c r="T74" s="48"/>
      <c r="U74" s="48"/>
      <c r="V74" s="48"/>
      <c r="W74" s="48"/>
    </row>
    <row r="75" spans="1:23" ht="30" customHeight="1">
      <c r="A75" s="48"/>
      <c r="B75" s="48"/>
      <c r="C75" s="48"/>
      <c r="D75" s="48"/>
      <c r="E75" s="48"/>
      <c r="F75" s="48"/>
      <c r="G75" s="48"/>
      <c r="H75" s="48"/>
      <c r="I75" s="48"/>
      <c r="J75" s="48"/>
      <c r="K75" s="48"/>
      <c r="L75" s="48"/>
      <c r="M75" s="48"/>
      <c r="N75" s="48"/>
      <c r="O75" s="48"/>
      <c r="P75" s="48"/>
      <c r="Q75" s="48"/>
      <c r="R75" s="48"/>
      <c r="S75" s="48"/>
      <c r="T75" s="48"/>
      <c r="U75" s="48"/>
      <c r="V75" s="48"/>
      <c r="W75" s="48"/>
    </row>
    <row r="76" spans="1:23" ht="30" customHeight="1">
      <c r="A76" s="48"/>
      <c r="B76" s="48"/>
      <c r="C76" s="48"/>
      <c r="D76" s="48"/>
      <c r="E76" s="48"/>
      <c r="F76" s="48"/>
      <c r="G76" s="48"/>
      <c r="H76" s="48"/>
      <c r="I76" s="48"/>
      <c r="J76" s="48"/>
      <c r="K76" s="48"/>
      <c r="L76" s="48"/>
      <c r="M76" s="48"/>
      <c r="N76" s="48"/>
      <c r="O76" s="48"/>
      <c r="P76" s="48"/>
      <c r="Q76" s="48"/>
      <c r="R76" s="48"/>
      <c r="S76" s="48"/>
      <c r="T76" s="48"/>
      <c r="U76" s="48"/>
      <c r="V76" s="48"/>
      <c r="W76" s="48"/>
    </row>
    <row r="77" spans="1:23" ht="30" customHeight="1">
      <c r="A77" s="48"/>
      <c r="B77" s="48"/>
      <c r="C77" s="48"/>
      <c r="D77" s="48"/>
      <c r="E77" s="48"/>
      <c r="F77" s="48"/>
      <c r="G77" s="48"/>
      <c r="H77" s="48"/>
      <c r="I77" s="48"/>
      <c r="J77" s="48"/>
      <c r="K77" s="48"/>
      <c r="L77" s="48"/>
      <c r="M77" s="48"/>
      <c r="N77" s="48"/>
      <c r="O77" s="48"/>
      <c r="P77" s="48"/>
      <c r="Q77" s="48"/>
      <c r="R77" s="48"/>
      <c r="S77" s="48"/>
      <c r="T77" s="48"/>
      <c r="U77" s="48"/>
      <c r="V77" s="48"/>
      <c r="W77" s="48"/>
    </row>
    <row r="78" spans="1:23" ht="30" customHeight="1">
      <c r="A78" s="48"/>
      <c r="B78" s="48"/>
      <c r="C78" s="48"/>
      <c r="D78" s="48"/>
      <c r="E78" s="48"/>
      <c r="F78" s="48"/>
      <c r="G78" s="48"/>
      <c r="H78" s="48"/>
      <c r="I78" s="48"/>
      <c r="J78" s="48"/>
      <c r="K78" s="48"/>
      <c r="L78" s="48"/>
      <c r="M78" s="48"/>
      <c r="N78" s="48"/>
      <c r="O78" s="48"/>
      <c r="P78" s="48"/>
      <c r="Q78" s="48"/>
      <c r="R78" s="48"/>
      <c r="S78" s="48"/>
      <c r="T78" s="48"/>
      <c r="U78" s="48"/>
      <c r="V78" s="48"/>
      <c r="W78" s="48"/>
    </row>
    <row r="79" spans="1:23" ht="30" customHeight="1">
      <c r="A79" s="48"/>
      <c r="B79" s="48"/>
      <c r="C79" s="48"/>
      <c r="D79" s="48"/>
      <c r="E79" s="48"/>
      <c r="F79" s="48"/>
      <c r="G79" s="48"/>
      <c r="H79" s="48"/>
      <c r="I79" s="48"/>
      <c r="J79" s="48"/>
      <c r="K79" s="48"/>
      <c r="L79" s="48"/>
      <c r="M79" s="48"/>
      <c r="N79" s="48"/>
      <c r="O79" s="48"/>
      <c r="P79" s="48"/>
      <c r="Q79" s="48"/>
      <c r="R79" s="48"/>
      <c r="S79" s="48"/>
      <c r="T79" s="48"/>
      <c r="U79" s="48"/>
      <c r="V79" s="48"/>
      <c r="W79" s="48"/>
    </row>
    <row r="80" spans="1:23" ht="30" customHeight="1">
      <c r="A80" s="48"/>
      <c r="B80" s="48"/>
      <c r="C80" s="48"/>
      <c r="D80" s="48"/>
      <c r="E80" s="48"/>
      <c r="F80" s="48"/>
      <c r="G80" s="48"/>
      <c r="H80" s="48"/>
      <c r="I80" s="48"/>
      <c r="J80" s="48"/>
      <c r="K80" s="48"/>
      <c r="L80" s="48"/>
      <c r="M80" s="48"/>
      <c r="N80" s="48"/>
      <c r="O80" s="48"/>
      <c r="P80" s="48"/>
      <c r="Q80" s="48"/>
      <c r="R80" s="48"/>
      <c r="S80" s="48"/>
      <c r="T80" s="48"/>
      <c r="U80" s="48"/>
      <c r="V80" s="48"/>
      <c r="W80" s="48"/>
    </row>
    <row r="81" spans="1:23" ht="30" customHeight="1">
      <c r="A81" s="48"/>
      <c r="B81" s="48"/>
      <c r="C81" s="48"/>
      <c r="D81" s="48"/>
      <c r="E81" s="48"/>
      <c r="F81" s="48"/>
      <c r="G81" s="48"/>
      <c r="H81" s="48"/>
      <c r="I81" s="48"/>
      <c r="J81" s="48"/>
      <c r="K81" s="48"/>
      <c r="L81" s="48"/>
      <c r="M81" s="48"/>
      <c r="N81" s="48"/>
      <c r="O81" s="48"/>
      <c r="P81" s="48"/>
      <c r="Q81" s="48"/>
      <c r="R81" s="48"/>
      <c r="S81" s="48"/>
      <c r="T81" s="48"/>
      <c r="U81" s="48"/>
      <c r="V81" s="48"/>
      <c r="W81" s="48"/>
    </row>
    <row r="82" spans="1:23" ht="30" customHeight="1">
      <c r="A82" s="48"/>
      <c r="B82" s="48"/>
      <c r="C82" s="48"/>
      <c r="D82" s="48"/>
      <c r="E82" s="48"/>
      <c r="F82" s="48"/>
      <c r="G82" s="48"/>
      <c r="H82" s="48"/>
      <c r="I82" s="48"/>
      <c r="J82" s="48"/>
      <c r="K82" s="48"/>
      <c r="L82" s="48"/>
      <c r="M82" s="48"/>
      <c r="N82" s="48"/>
      <c r="O82" s="48"/>
      <c r="P82" s="48"/>
      <c r="Q82" s="48"/>
      <c r="R82" s="48"/>
      <c r="S82" s="48"/>
      <c r="T82" s="48"/>
      <c r="U82" s="48"/>
      <c r="V82" s="48"/>
      <c r="W82" s="48"/>
    </row>
    <row r="83" spans="1:23" ht="30" customHeight="1">
      <c r="A83" s="48"/>
      <c r="B83" s="48"/>
      <c r="C83" s="48"/>
      <c r="D83" s="48"/>
      <c r="E83" s="48"/>
      <c r="F83" s="48"/>
      <c r="G83" s="48"/>
      <c r="H83" s="48"/>
      <c r="I83" s="48"/>
      <c r="J83" s="48"/>
      <c r="K83" s="48"/>
      <c r="L83" s="48"/>
      <c r="M83" s="48"/>
      <c r="N83" s="48"/>
      <c r="O83" s="48"/>
      <c r="P83" s="48"/>
      <c r="Q83" s="48"/>
      <c r="R83" s="48"/>
      <c r="S83" s="48"/>
      <c r="T83" s="48"/>
      <c r="U83" s="48"/>
      <c r="V83" s="48"/>
      <c r="W83" s="48"/>
    </row>
    <row r="84" spans="1:23" ht="30" customHeight="1">
      <c r="A84" s="48"/>
      <c r="B84" s="48"/>
      <c r="C84" s="48"/>
      <c r="D84" s="48"/>
      <c r="E84" s="48"/>
      <c r="F84" s="48"/>
      <c r="G84" s="48"/>
      <c r="H84" s="48"/>
      <c r="I84" s="48"/>
      <c r="J84" s="48"/>
      <c r="K84" s="48"/>
      <c r="L84" s="48"/>
      <c r="M84" s="48"/>
      <c r="N84" s="48"/>
      <c r="O84" s="48"/>
      <c r="P84" s="48"/>
      <c r="Q84" s="48"/>
      <c r="R84" s="48"/>
      <c r="S84" s="48"/>
      <c r="T84" s="48"/>
      <c r="U84" s="48"/>
      <c r="V84" s="48"/>
      <c r="W84" s="48"/>
    </row>
    <row r="85" spans="1:23" ht="30" customHeight="1">
      <c r="A85" s="48"/>
      <c r="B85" s="48"/>
      <c r="C85" s="48"/>
      <c r="D85" s="48"/>
      <c r="E85" s="48"/>
      <c r="F85" s="48"/>
      <c r="G85" s="48"/>
      <c r="H85" s="48"/>
      <c r="I85" s="48"/>
      <c r="J85" s="48"/>
      <c r="K85" s="48"/>
      <c r="L85" s="48"/>
      <c r="M85" s="48"/>
      <c r="N85" s="48"/>
      <c r="O85" s="48"/>
      <c r="P85" s="48"/>
      <c r="Q85" s="48"/>
      <c r="R85" s="48"/>
      <c r="S85" s="48"/>
      <c r="T85" s="48"/>
      <c r="U85" s="48"/>
      <c r="V85" s="48"/>
      <c r="W85" s="48"/>
    </row>
    <row r="86" spans="1:23" ht="30" customHeight="1">
      <c r="A86" s="48"/>
      <c r="B86" s="48"/>
      <c r="C86" s="48"/>
      <c r="D86" s="48"/>
      <c r="E86" s="48"/>
      <c r="F86" s="48"/>
      <c r="G86" s="48"/>
      <c r="H86" s="48"/>
      <c r="I86" s="48"/>
      <c r="J86" s="48"/>
      <c r="K86" s="48"/>
      <c r="L86" s="48"/>
      <c r="M86" s="48"/>
      <c r="N86" s="48"/>
      <c r="O86" s="48"/>
      <c r="P86" s="48"/>
      <c r="Q86" s="48"/>
      <c r="R86" s="48"/>
      <c r="S86" s="48"/>
      <c r="T86" s="48"/>
      <c r="U86" s="48"/>
      <c r="V86" s="48"/>
      <c r="W86" s="48"/>
    </row>
    <row r="87" spans="1:23" ht="30" customHeight="1">
      <c r="A87" s="48"/>
      <c r="B87" s="48"/>
      <c r="C87" s="48"/>
      <c r="D87" s="48"/>
      <c r="E87" s="48"/>
      <c r="F87" s="48"/>
      <c r="G87" s="48"/>
      <c r="H87" s="48"/>
      <c r="I87" s="48"/>
      <c r="J87" s="48"/>
      <c r="K87" s="48"/>
      <c r="L87" s="48"/>
      <c r="M87" s="48"/>
      <c r="N87" s="48"/>
      <c r="O87" s="48"/>
      <c r="P87" s="48"/>
      <c r="Q87" s="48"/>
      <c r="R87" s="48"/>
      <c r="S87" s="48"/>
      <c r="T87" s="48"/>
      <c r="U87" s="48"/>
      <c r="V87" s="48"/>
      <c r="W87" s="48"/>
    </row>
    <row r="88" spans="1:23" ht="30" customHeight="1">
      <c r="A88" s="48"/>
      <c r="B88" s="48"/>
      <c r="C88" s="48"/>
      <c r="D88" s="48"/>
      <c r="E88" s="48"/>
      <c r="F88" s="48"/>
      <c r="G88" s="48"/>
      <c r="H88" s="48"/>
      <c r="I88" s="48"/>
      <c r="J88" s="48"/>
      <c r="K88" s="48"/>
      <c r="L88" s="48"/>
      <c r="M88" s="48"/>
      <c r="N88" s="48"/>
      <c r="O88" s="48"/>
      <c r="P88" s="48"/>
      <c r="Q88" s="48"/>
      <c r="R88" s="48"/>
      <c r="S88" s="48"/>
      <c r="T88" s="48"/>
      <c r="U88" s="48"/>
      <c r="V88" s="48"/>
      <c r="W88" s="48"/>
    </row>
    <row r="89" spans="1:23" ht="30" customHeight="1">
      <c r="A89" s="48"/>
      <c r="B89" s="48"/>
      <c r="C89" s="48"/>
      <c r="D89" s="48"/>
      <c r="E89" s="48"/>
      <c r="F89" s="48"/>
      <c r="G89" s="48"/>
      <c r="H89" s="48"/>
      <c r="I89" s="48"/>
      <c r="J89" s="48"/>
      <c r="K89" s="48"/>
      <c r="L89" s="48"/>
      <c r="M89" s="48"/>
      <c r="N89" s="48"/>
      <c r="O89" s="48"/>
      <c r="P89" s="48"/>
      <c r="Q89" s="48"/>
      <c r="R89" s="48"/>
      <c r="S89" s="48"/>
      <c r="T89" s="48"/>
      <c r="U89" s="48"/>
      <c r="V89" s="48"/>
      <c r="W89" s="48"/>
    </row>
    <row r="90" spans="1:23" ht="30" customHeight="1">
      <c r="A90" s="48"/>
      <c r="B90" s="48"/>
      <c r="C90" s="48"/>
      <c r="D90" s="48"/>
      <c r="E90" s="48"/>
      <c r="F90" s="48"/>
      <c r="G90" s="48"/>
      <c r="H90" s="48"/>
      <c r="I90" s="48"/>
      <c r="J90" s="48"/>
      <c r="K90" s="48"/>
      <c r="L90" s="48"/>
      <c r="M90" s="48"/>
      <c r="N90" s="48"/>
      <c r="O90" s="48"/>
      <c r="P90" s="48"/>
      <c r="Q90" s="48"/>
      <c r="R90" s="48"/>
      <c r="S90" s="48"/>
      <c r="T90" s="48"/>
      <c r="U90" s="48"/>
      <c r="V90" s="48"/>
      <c r="W90" s="48"/>
    </row>
    <row r="91" spans="1:23" ht="30" customHeight="1">
      <c r="A91" s="48"/>
      <c r="B91" s="48"/>
      <c r="C91" s="48"/>
      <c r="D91" s="48"/>
      <c r="E91" s="48"/>
      <c r="F91" s="48"/>
      <c r="G91" s="48"/>
      <c r="H91" s="48"/>
      <c r="I91" s="48"/>
      <c r="J91" s="48"/>
      <c r="K91" s="48"/>
      <c r="L91" s="48"/>
      <c r="M91" s="48"/>
      <c r="N91" s="48"/>
      <c r="O91" s="48"/>
      <c r="P91" s="48"/>
      <c r="Q91" s="48"/>
      <c r="R91" s="48"/>
      <c r="S91" s="48"/>
      <c r="T91" s="48"/>
      <c r="U91" s="48"/>
      <c r="V91" s="48"/>
      <c r="W91" s="48"/>
    </row>
    <row r="92" spans="1:23" ht="30" customHeight="1">
      <c r="A92" s="48"/>
      <c r="B92" s="48"/>
      <c r="C92" s="48"/>
      <c r="D92" s="48"/>
      <c r="E92" s="48"/>
      <c r="F92" s="48"/>
      <c r="G92" s="48"/>
      <c r="H92" s="48"/>
      <c r="I92" s="48"/>
      <c r="J92" s="48"/>
      <c r="K92" s="48"/>
      <c r="L92" s="48"/>
      <c r="M92" s="48"/>
      <c r="N92" s="48"/>
      <c r="O92" s="48"/>
      <c r="P92" s="48"/>
      <c r="Q92" s="48"/>
      <c r="R92" s="48"/>
      <c r="S92" s="48"/>
      <c r="T92" s="48"/>
      <c r="U92" s="48"/>
      <c r="V92" s="48"/>
      <c r="W92" s="48"/>
    </row>
    <row r="93" spans="1:23" ht="30" customHeight="1">
      <c r="A93" s="48"/>
      <c r="B93" s="48"/>
      <c r="C93" s="48"/>
      <c r="D93" s="48"/>
      <c r="E93" s="48"/>
      <c r="F93" s="48"/>
      <c r="G93" s="48"/>
      <c r="H93" s="48"/>
      <c r="I93" s="48"/>
      <c r="J93" s="48"/>
      <c r="K93" s="48"/>
      <c r="L93" s="48"/>
      <c r="M93" s="48"/>
      <c r="N93" s="48"/>
      <c r="O93" s="48"/>
      <c r="P93" s="48"/>
      <c r="Q93" s="48"/>
      <c r="R93" s="48"/>
      <c r="S93" s="48"/>
      <c r="T93" s="48"/>
      <c r="U93" s="48"/>
      <c r="V93" s="48"/>
      <c r="W93" s="48"/>
    </row>
    <row r="94" spans="1:23" ht="30" customHeight="1">
      <c r="A94" s="48"/>
      <c r="B94" s="48"/>
      <c r="C94" s="48"/>
      <c r="D94" s="48"/>
      <c r="E94" s="48"/>
      <c r="F94" s="48"/>
      <c r="G94" s="48"/>
      <c r="H94" s="48"/>
      <c r="I94" s="48"/>
      <c r="J94" s="48"/>
      <c r="K94" s="48"/>
      <c r="L94" s="48"/>
      <c r="M94" s="48"/>
      <c r="N94" s="48"/>
      <c r="O94" s="48"/>
      <c r="P94" s="48"/>
      <c r="Q94" s="48"/>
      <c r="R94" s="48"/>
      <c r="S94" s="48"/>
      <c r="T94" s="48"/>
      <c r="U94" s="48"/>
      <c r="V94" s="48"/>
      <c r="W94" s="48"/>
    </row>
    <row r="95" spans="1:23" ht="30" customHeight="1">
      <c r="A95" s="48"/>
      <c r="B95" s="48"/>
      <c r="C95" s="48"/>
      <c r="D95" s="48"/>
      <c r="E95" s="48"/>
      <c r="F95" s="48"/>
      <c r="G95" s="48"/>
      <c r="H95" s="48"/>
      <c r="I95" s="48"/>
      <c r="J95" s="48"/>
      <c r="K95" s="48"/>
      <c r="L95" s="48"/>
      <c r="M95" s="48"/>
      <c r="N95" s="48"/>
      <c r="O95" s="48"/>
      <c r="P95" s="48"/>
      <c r="Q95" s="48"/>
      <c r="R95" s="48"/>
      <c r="S95" s="48"/>
      <c r="T95" s="48"/>
      <c r="U95" s="48"/>
      <c r="V95" s="48"/>
      <c r="W95" s="48"/>
    </row>
    <row r="96" spans="1:23" ht="30" customHeight="1">
      <c r="A96" s="48"/>
      <c r="B96" s="48"/>
      <c r="C96" s="48"/>
      <c r="D96" s="48"/>
      <c r="E96" s="48"/>
      <c r="F96" s="48"/>
      <c r="G96" s="48"/>
      <c r="H96" s="48"/>
      <c r="I96" s="48"/>
      <c r="J96" s="48"/>
      <c r="K96" s="48"/>
      <c r="L96" s="48"/>
      <c r="M96" s="48"/>
      <c r="N96" s="48"/>
      <c r="O96" s="48"/>
      <c r="P96" s="48"/>
      <c r="Q96" s="48"/>
      <c r="R96" s="48"/>
      <c r="S96" s="48"/>
      <c r="T96" s="48"/>
      <c r="U96" s="48"/>
      <c r="V96" s="48"/>
      <c r="W96" s="48"/>
    </row>
    <row r="97" spans="1:23" ht="30" customHeight="1">
      <c r="A97" s="48"/>
      <c r="B97" s="48"/>
      <c r="C97" s="48"/>
      <c r="D97" s="48"/>
      <c r="E97" s="48"/>
      <c r="F97" s="48"/>
      <c r="G97" s="48"/>
      <c r="H97" s="48"/>
      <c r="I97" s="48"/>
      <c r="J97" s="48"/>
      <c r="K97" s="48"/>
      <c r="L97" s="48"/>
      <c r="M97" s="48"/>
      <c r="N97" s="48"/>
      <c r="O97" s="48"/>
      <c r="P97" s="48"/>
      <c r="Q97" s="48"/>
      <c r="R97" s="48"/>
      <c r="S97" s="48"/>
      <c r="T97" s="48"/>
      <c r="U97" s="48"/>
      <c r="V97" s="48"/>
      <c r="W97" s="48"/>
    </row>
    <row r="98" spans="1:23" ht="30" customHeight="1">
      <c r="A98" s="48"/>
      <c r="B98" s="48"/>
      <c r="C98" s="48"/>
      <c r="D98" s="48"/>
      <c r="E98" s="48"/>
      <c r="F98" s="48"/>
      <c r="G98" s="48"/>
      <c r="H98" s="48"/>
      <c r="I98" s="48"/>
      <c r="J98" s="48"/>
      <c r="K98" s="48"/>
      <c r="L98" s="48"/>
      <c r="M98" s="48"/>
      <c r="N98" s="48"/>
      <c r="O98" s="48"/>
      <c r="P98" s="48"/>
      <c r="Q98" s="48"/>
      <c r="R98" s="48"/>
      <c r="S98" s="48"/>
      <c r="T98" s="48"/>
      <c r="U98" s="48"/>
      <c r="V98" s="48"/>
      <c r="W98" s="48"/>
    </row>
    <row r="99" spans="1:23" ht="30" customHeight="1">
      <c r="A99" s="48"/>
      <c r="B99" s="48"/>
      <c r="C99" s="48"/>
      <c r="D99" s="48"/>
      <c r="E99" s="48"/>
      <c r="F99" s="48"/>
      <c r="G99" s="48"/>
      <c r="H99" s="48"/>
      <c r="I99" s="48"/>
      <c r="J99" s="48"/>
      <c r="K99" s="48"/>
      <c r="L99" s="48"/>
      <c r="M99" s="48"/>
      <c r="N99" s="48"/>
      <c r="O99" s="48"/>
      <c r="P99" s="48"/>
      <c r="Q99" s="48"/>
      <c r="R99" s="48"/>
      <c r="S99" s="48"/>
      <c r="T99" s="48"/>
      <c r="U99" s="48"/>
      <c r="V99" s="48"/>
      <c r="W99" s="48"/>
    </row>
    <row r="100" spans="1:23" ht="30"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row>
    <row r="101" spans="1:23" ht="30"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row>
    <row r="102" spans="1:23" ht="30"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row>
    <row r="103" spans="1:23" ht="30"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row>
    <row r="104" spans="1:23" ht="30"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row>
    <row r="105" spans="1:23" ht="30"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row>
    <row r="106" spans="1:23" ht="30"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row>
    <row r="107" spans="1:23" ht="30"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row>
    <row r="108" spans="1:23" ht="30"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row>
    <row r="109" spans="1:23" ht="30"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row>
    <row r="110" spans="1:23" ht="30"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row>
    <row r="111" spans="1:23" ht="30"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row>
    <row r="112" spans="1:23" ht="30"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row>
    <row r="113" spans="1:23" ht="30"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row>
    <row r="114" spans="1:23" ht="30"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row>
    <row r="115" spans="1:23" ht="30"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row>
    <row r="116" spans="1:23" ht="30"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row>
    <row r="117" spans="1:23" ht="30"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row>
    <row r="118" spans="1:23" ht="30"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row>
    <row r="119" spans="1:23" ht="30"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row>
    <row r="120" spans="1:23" ht="30"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row>
    <row r="121" spans="1:23" ht="30"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row>
  </sheetData>
  <mergeCells count="3">
    <mergeCell ref="A4:W4"/>
    <mergeCell ref="A3:W3"/>
    <mergeCell ref="A1:W1"/>
  </mergeCells>
  <dataValidations count="3">
    <dataValidation type="list" allowBlank="1" sqref="V7:V121" xr:uid="{00000000-0002-0000-1A00-000000000000}">
      <formula1>"Not Started,In Progress,Awaiting Information,Complete,N/A,On Hold,Gap / Action Required,Approved,Rejected,Superseded"</formula1>
    </dataValidation>
    <dataValidation type="list" allowBlank="1" sqref="G8:G21" xr:uid="{00000000-0002-0000-1A00-000001000000}">
      <formula1>"Not Started,Approved,Conditional,Rejected,Needs Review,Not Applicable"</formula1>
    </dataValidation>
    <dataValidation type="list" allowBlank="1" sqref="K8:K21" xr:uid="{00000000-0002-0000-1A00-000002000000}">
      <formula1>"Not Started,In Progress,Needs Review,Complete,Not Applicable,Blocked"</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2E75B6"/>
  </sheetPr>
  <dimension ref="A1:AA121"/>
  <sheetViews>
    <sheetView showGridLines="0" topLeftCell="I1" workbookViewId="0"/>
  </sheetViews>
  <sheetFormatPr defaultRowHeight="15"/>
  <cols>
    <col min="1" max="1" width="16" customWidth="1"/>
    <col min="2" max="2" width="18" customWidth="1"/>
    <col min="3" max="3" width="26" customWidth="1"/>
    <col min="4" max="4" width="30" customWidth="1"/>
    <col min="5" max="6" width="22" customWidth="1"/>
    <col min="7" max="7" width="24" customWidth="1"/>
    <col min="8" max="8" width="20" customWidth="1"/>
    <col min="9" max="9" width="28" customWidth="1"/>
    <col min="10" max="10" width="26" customWidth="1"/>
    <col min="11" max="11" width="30" customWidth="1"/>
    <col min="12" max="12" width="18" customWidth="1"/>
    <col min="13" max="13" width="20" customWidth="1"/>
    <col min="14" max="14" width="34" customWidth="1"/>
    <col min="15" max="15" width="26" customWidth="1"/>
    <col min="16" max="16" width="22" customWidth="1"/>
    <col min="17" max="17" width="16" customWidth="1"/>
    <col min="18" max="18" width="20" customWidth="1"/>
    <col min="19" max="19" width="26" customWidth="1"/>
    <col min="20" max="20" width="24" customWidth="1"/>
    <col min="21" max="21" width="28" customWidth="1"/>
    <col min="22" max="22" width="30" customWidth="1"/>
    <col min="23" max="25" width="28" customWidth="1"/>
    <col min="26" max="26" width="18" customWidth="1"/>
    <col min="27" max="27" width="20" customWidth="1"/>
  </cols>
  <sheetData>
    <row r="1" spans="1:27" s="48" customFormat="1">
      <c r="A1" s="178" t="s">
        <v>2118</v>
      </c>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row>
    <row r="2" spans="1:27" ht="24" customHeight="1">
      <c r="A2" s="56" t="s">
        <v>0</v>
      </c>
      <c r="B2" s="56"/>
      <c r="C2" s="56"/>
      <c r="D2" s="56"/>
      <c r="E2" s="56"/>
      <c r="F2" s="56"/>
      <c r="G2" s="56"/>
      <c r="H2" s="56"/>
      <c r="I2" s="56"/>
      <c r="J2" s="56"/>
      <c r="K2" s="56"/>
      <c r="L2" s="56"/>
      <c r="M2" s="56"/>
      <c r="N2" s="56"/>
      <c r="O2" s="48"/>
      <c r="P2" s="48"/>
      <c r="Q2" s="48"/>
      <c r="R2" s="48"/>
      <c r="S2" s="48"/>
      <c r="T2" s="48"/>
      <c r="U2" s="48"/>
      <c r="V2" s="48"/>
      <c r="W2" s="48"/>
      <c r="X2" s="48"/>
      <c r="Y2" s="48"/>
      <c r="Z2" s="48"/>
      <c r="AA2" s="48"/>
    </row>
    <row r="3" spans="1:27" ht="30" customHeight="1">
      <c r="A3" s="168" t="s">
        <v>2172</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row>
    <row r="4" spans="1:27" ht="30" customHeight="1">
      <c r="A4" s="167" t="s">
        <v>2173</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row>
    <row r="5" spans="1:27">
      <c r="A5" s="46"/>
      <c r="B5" s="46"/>
      <c r="C5" s="46"/>
      <c r="D5" s="46"/>
      <c r="E5" s="46"/>
      <c r="F5" s="46"/>
      <c r="G5" s="46"/>
      <c r="H5" s="46"/>
      <c r="I5" s="46"/>
      <c r="J5" s="46"/>
      <c r="K5" s="46"/>
      <c r="L5" s="46"/>
      <c r="M5" s="46"/>
      <c r="N5" s="46"/>
      <c r="O5" s="48"/>
      <c r="P5" s="48"/>
      <c r="Q5" s="48"/>
      <c r="R5" s="48"/>
      <c r="S5" s="48"/>
      <c r="T5" s="48"/>
      <c r="U5" s="48"/>
      <c r="V5" s="48"/>
      <c r="W5" s="48"/>
      <c r="X5" s="48"/>
      <c r="Y5" s="48"/>
      <c r="Z5" s="48"/>
      <c r="AA5" s="48"/>
    </row>
    <row r="6" spans="1:27" ht="21.95" customHeight="1">
      <c r="A6" s="57" t="s">
        <v>2174</v>
      </c>
      <c r="B6" s="57"/>
      <c r="C6" s="57"/>
      <c r="D6" s="57"/>
      <c r="E6" s="57"/>
      <c r="F6" s="57"/>
      <c r="G6" s="57"/>
      <c r="H6" s="57"/>
      <c r="I6" s="57"/>
      <c r="J6" s="57"/>
      <c r="K6" s="57"/>
      <c r="L6" s="57"/>
      <c r="M6" s="57"/>
      <c r="N6" s="57"/>
      <c r="O6" s="48"/>
      <c r="P6" s="48"/>
      <c r="Q6" s="48"/>
      <c r="R6" s="48"/>
      <c r="S6" s="48"/>
      <c r="T6" s="48"/>
      <c r="U6" s="48"/>
      <c r="V6" s="48"/>
      <c r="W6" s="48"/>
      <c r="X6" s="48"/>
      <c r="Y6" s="48"/>
      <c r="Z6" s="48"/>
      <c r="AA6" s="48"/>
    </row>
    <row r="7" spans="1:27" ht="33.950000000000003" customHeight="1">
      <c r="A7" s="36" t="s">
        <v>2175</v>
      </c>
      <c r="B7" s="36" t="s">
        <v>1757</v>
      </c>
      <c r="C7" s="36" t="s">
        <v>2176</v>
      </c>
      <c r="D7" s="36" t="s">
        <v>2177</v>
      </c>
      <c r="E7" s="36" t="s">
        <v>2178</v>
      </c>
      <c r="F7" s="36" t="s">
        <v>2179</v>
      </c>
      <c r="G7" s="36" t="s">
        <v>1959</v>
      </c>
      <c r="H7" s="36" t="s">
        <v>1951</v>
      </c>
      <c r="I7" s="36" t="s">
        <v>2180</v>
      </c>
      <c r="J7" s="36" t="s">
        <v>2181</v>
      </c>
      <c r="K7" s="36" t="s">
        <v>1941</v>
      </c>
      <c r="L7" s="36" t="s">
        <v>145</v>
      </c>
      <c r="M7" s="36" t="s">
        <v>144</v>
      </c>
      <c r="N7" s="36" t="s">
        <v>70</v>
      </c>
      <c r="O7" s="48"/>
      <c r="P7" s="48"/>
      <c r="Q7" s="48"/>
      <c r="R7" s="48"/>
      <c r="S7" s="48"/>
      <c r="T7" s="48"/>
      <c r="U7" s="48"/>
      <c r="V7" s="48"/>
      <c r="W7" s="48"/>
      <c r="X7" s="48"/>
      <c r="Y7" s="48"/>
      <c r="Z7" s="48"/>
      <c r="AA7" s="48"/>
    </row>
    <row r="8" spans="1:27" ht="30" customHeight="1">
      <c r="A8" s="37"/>
      <c r="B8" s="37"/>
      <c r="C8" s="37"/>
      <c r="D8" s="37"/>
      <c r="E8" s="37"/>
      <c r="F8" s="37"/>
      <c r="G8" s="37"/>
      <c r="H8" s="37"/>
      <c r="I8" s="37"/>
      <c r="J8" s="37"/>
      <c r="K8" s="37"/>
      <c r="L8" s="37" t="s">
        <v>152</v>
      </c>
      <c r="M8" s="37"/>
      <c r="N8" s="37"/>
      <c r="O8" s="48"/>
      <c r="P8" s="48"/>
      <c r="Q8" s="48"/>
      <c r="R8" s="48"/>
      <c r="S8" s="48"/>
      <c r="T8" s="48"/>
      <c r="U8" s="48"/>
      <c r="V8" s="48"/>
      <c r="W8" s="48"/>
      <c r="X8" s="48"/>
      <c r="Y8" s="48"/>
      <c r="Z8" s="48"/>
      <c r="AA8" s="48"/>
    </row>
    <row r="9" spans="1:27" ht="30" customHeight="1">
      <c r="A9" s="37"/>
      <c r="B9" s="37"/>
      <c r="C9" s="37"/>
      <c r="D9" s="37"/>
      <c r="E9" s="37"/>
      <c r="F9" s="37"/>
      <c r="G9" s="37"/>
      <c r="H9" s="37"/>
      <c r="I9" s="37"/>
      <c r="J9" s="37"/>
      <c r="K9" s="37"/>
      <c r="L9" s="37" t="s">
        <v>152</v>
      </c>
      <c r="M9" s="37"/>
      <c r="N9" s="37"/>
      <c r="O9" s="48"/>
      <c r="P9" s="48"/>
      <c r="Q9" s="48"/>
      <c r="R9" s="48"/>
      <c r="S9" s="48"/>
      <c r="T9" s="48"/>
      <c r="U9" s="48"/>
      <c r="V9" s="48"/>
      <c r="W9" s="48"/>
      <c r="X9" s="48"/>
      <c r="Y9" s="48"/>
      <c r="Z9" s="48"/>
      <c r="AA9" s="48"/>
    </row>
    <row r="10" spans="1:27" ht="30" customHeight="1">
      <c r="A10" s="37"/>
      <c r="B10" s="37"/>
      <c r="C10" s="37"/>
      <c r="D10" s="37"/>
      <c r="E10" s="37"/>
      <c r="F10" s="37"/>
      <c r="G10" s="37"/>
      <c r="H10" s="37"/>
      <c r="I10" s="37"/>
      <c r="J10" s="37"/>
      <c r="K10" s="37"/>
      <c r="L10" s="37" t="s">
        <v>152</v>
      </c>
      <c r="M10" s="37"/>
      <c r="N10" s="37"/>
      <c r="O10" s="48"/>
      <c r="P10" s="48"/>
      <c r="Q10" s="48"/>
      <c r="R10" s="48"/>
      <c r="S10" s="48"/>
      <c r="T10" s="48"/>
      <c r="U10" s="48"/>
      <c r="V10" s="48"/>
      <c r="W10" s="48"/>
      <c r="X10" s="48"/>
      <c r="Y10" s="48"/>
      <c r="Z10" s="48"/>
      <c r="AA10" s="48"/>
    </row>
    <row r="11" spans="1:27" ht="30" customHeight="1">
      <c r="A11" s="37"/>
      <c r="B11" s="37"/>
      <c r="C11" s="37"/>
      <c r="D11" s="37"/>
      <c r="E11" s="37"/>
      <c r="F11" s="37"/>
      <c r="G11" s="37"/>
      <c r="H11" s="37"/>
      <c r="I11" s="37"/>
      <c r="J11" s="37"/>
      <c r="K11" s="37"/>
      <c r="L11" s="37" t="s">
        <v>152</v>
      </c>
      <c r="M11" s="37"/>
      <c r="N11" s="37"/>
      <c r="O11" s="48"/>
      <c r="P11" s="48"/>
      <c r="Q11" s="48"/>
      <c r="R11" s="48"/>
      <c r="S11" s="48"/>
      <c r="T11" s="48"/>
      <c r="U11" s="48"/>
      <c r="V11" s="48"/>
      <c r="W11" s="48"/>
      <c r="X11" s="48"/>
      <c r="Y11" s="48"/>
      <c r="Z11" s="48"/>
      <c r="AA11" s="48"/>
    </row>
    <row r="12" spans="1:27" ht="30" customHeight="1">
      <c r="A12" s="37"/>
      <c r="B12" s="37"/>
      <c r="C12" s="37"/>
      <c r="D12" s="37"/>
      <c r="E12" s="37"/>
      <c r="F12" s="37"/>
      <c r="G12" s="37"/>
      <c r="H12" s="37"/>
      <c r="I12" s="37"/>
      <c r="J12" s="37"/>
      <c r="K12" s="37"/>
      <c r="L12" s="37" t="s">
        <v>152</v>
      </c>
      <c r="M12" s="37"/>
      <c r="N12" s="37"/>
      <c r="O12" s="48"/>
      <c r="P12" s="48"/>
      <c r="Q12" s="48"/>
      <c r="R12" s="48"/>
      <c r="S12" s="48"/>
      <c r="T12" s="48"/>
      <c r="U12" s="48"/>
      <c r="V12" s="48"/>
      <c r="W12" s="48"/>
      <c r="X12" s="48"/>
      <c r="Y12" s="48"/>
      <c r="Z12" s="48"/>
      <c r="AA12" s="48"/>
    </row>
    <row r="13" spans="1:27" ht="30" customHeight="1">
      <c r="A13" s="37"/>
      <c r="B13" s="37"/>
      <c r="C13" s="37"/>
      <c r="D13" s="37"/>
      <c r="E13" s="37"/>
      <c r="F13" s="37"/>
      <c r="G13" s="37"/>
      <c r="H13" s="37"/>
      <c r="I13" s="37"/>
      <c r="J13" s="37"/>
      <c r="K13" s="37"/>
      <c r="L13" s="37" t="s">
        <v>152</v>
      </c>
      <c r="M13" s="37"/>
      <c r="N13" s="37"/>
      <c r="O13" s="48"/>
      <c r="P13" s="48"/>
      <c r="Q13" s="48"/>
      <c r="R13" s="48"/>
      <c r="S13" s="48"/>
      <c r="T13" s="48"/>
      <c r="U13" s="48"/>
      <c r="V13" s="48"/>
      <c r="W13" s="48"/>
      <c r="X13" s="48"/>
      <c r="Y13" s="48"/>
      <c r="Z13" s="48"/>
      <c r="AA13" s="48"/>
    </row>
    <row r="14" spans="1:27" ht="30" customHeight="1">
      <c r="A14" s="37"/>
      <c r="B14" s="37"/>
      <c r="C14" s="37"/>
      <c r="D14" s="37"/>
      <c r="E14" s="37"/>
      <c r="F14" s="37"/>
      <c r="G14" s="37"/>
      <c r="H14" s="37"/>
      <c r="I14" s="37"/>
      <c r="J14" s="37"/>
      <c r="K14" s="37"/>
      <c r="L14" s="37" t="s">
        <v>152</v>
      </c>
      <c r="M14" s="37"/>
      <c r="N14" s="37"/>
      <c r="O14" s="48"/>
      <c r="P14" s="48"/>
      <c r="Q14" s="48"/>
      <c r="R14" s="48"/>
      <c r="S14" s="48"/>
      <c r="T14" s="48"/>
      <c r="U14" s="48"/>
      <c r="V14" s="48"/>
      <c r="W14" s="48"/>
      <c r="X14" s="48"/>
      <c r="Y14" s="48"/>
      <c r="Z14" s="48"/>
      <c r="AA14" s="48"/>
    </row>
    <row r="15" spans="1:27" ht="30" customHeight="1">
      <c r="A15" s="37"/>
      <c r="B15" s="37"/>
      <c r="C15" s="37"/>
      <c r="D15" s="37"/>
      <c r="E15" s="37"/>
      <c r="F15" s="37"/>
      <c r="G15" s="37"/>
      <c r="H15" s="37"/>
      <c r="I15" s="37"/>
      <c r="J15" s="37"/>
      <c r="K15" s="37"/>
      <c r="L15" s="37" t="s">
        <v>152</v>
      </c>
      <c r="M15" s="37"/>
      <c r="N15" s="37"/>
      <c r="O15" s="48"/>
      <c r="P15" s="48"/>
      <c r="Q15" s="48"/>
      <c r="R15" s="48"/>
      <c r="S15" s="48"/>
      <c r="T15" s="48"/>
      <c r="U15" s="48"/>
      <c r="V15" s="48"/>
      <c r="W15" s="48"/>
      <c r="X15" s="48"/>
      <c r="Y15" s="48"/>
      <c r="Z15" s="48"/>
      <c r="AA15" s="48"/>
    </row>
    <row r="16" spans="1:27" ht="30" customHeight="1">
      <c r="A16" s="37"/>
      <c r="B16" s="37"/>
      <c r="C16" s="37"/>
      <c r="D16" s="37"/>
      <c r="E16" s="37"/>
      <c r="F16" s="37"/>
      <c r="G16" s="37"/>
      <c r="H16" s="37"/>
      <c r="I16" s="37"/>
      <c r="J16" s="37"/>
      <c r="K16" s="37"/>
      <c r="L16" s="37" t="s">
        <v>152</v>
      </c>
      <c r="M16" s="37"/>
      <c r="N16" s="37"/>
      <c r="O16" s="48"/>
      <c r="P16" s="48"/>
      <c r="Q16" s="48"/>
      <c r="R16" s="48"/>
      <c r="S16" s="48"/>
      <c r="T16" s="48"/>
      <c r="U16" s="48"/>
      <c r="V16" s="48"/>
      <c r="W16" s="48"/>
      <c r="X16" s="48"/>
      <c r="Y16" s="48"/>
      <c r="Z16" s="48"/>
      <c r="AA16" s="48"/>
    </row>
    <row r="17" spans="1:27" ht="30" customHeight="1">
      <c r="A17" s="37"/>
      <c r="B17" s="37"/>
      <c r="C17" s="37"/>
      <c r="D17" s="37"/>
      <c r="E17" s="37"/>
      <c r="F17" s="37"/>
      <c r="G17" s="37"/>
      <c r="H17" s="37"/>
      <c r="I17" s="37"/>
      <c r="J17" s="37"/>
      <c r="K17" s="37"/>
      <c r="L17" s="37" t="s">
        <v>152</v>
      </c>
      <c r="M17" s="37"/>
      <c r="N17" s="37"/>
      <c r="O17" s="48"/>
      <c r="P17" s="48"/>
      <c r="Q17" s="48"/>
      <c r="R17" s="48"/>
      <c r="S17" s="48"/>
      <c r="T17" s="48"/>
      <c r="U17" s="48"/>
      <c r="V17" s="48"/>
      <c r="W17" s="48"/>
      <c r="X17" s="48"/>
      <c r="Y17" s="48"/>
      <c r="Z17" s="48"/>
      <c r="AA17" s="48"/>
    </row>
    <row r="18" spans="1:27" ht="30" customHeight="1">
      <c r="A18" s="37"/>
      <c r="B18" s="37"/>
      <c r="C18" s="37"/>
      <c r="D18" s="37"/>
      <c r="E18" s="37"/>
      <c r="F18" s="37"/>
      <c r="G18" s="37"/>
      <c r="H18" s="37"/>
      <c r="I18" s="37"/>
      <c r="J18" s="37"/>
      <c r="K18" s="37"/>
      <c r="L18" s="37" t="s">
        <v>152</v>
      </c>
      <c r="M18" s="37"/>
      <c r="N18" s="37"/>
      <c r="O18" s="48"/>
      <c r="P18" s="48"/>
      <c r="Q18" s="48"/>
      <c r="R18" s="48"/>
      <c r="S18" s="48"/>
      <c r="T18" s="48"/>
      <c r="U18" s="48"/>
      <c r="V18" s="48"/>
      <c r="W18" s="48"/>
      <c r="X18" s="48"/>
      <c r="Y18" s="48"/>
      <c r="Z18" s="48"/>
      <c r="AA18" s="48"/>
    </row>
    <row r="19" spans="1:27" ht="30" customHeight="1">
      <c r="A19" s="37"/>
      <c r="B19" s="37"/>
      <c r="C19" s="37"/>
      <c r="D19" s="37"/>
      <c r="E19" s="37"/>
      <c r="F19" s="37"/>
      <c r="G19" s="37"/>
      <c r="H19" s="37"/>
      <c r="I19" s="37"/>
      <c r="J19" s="37"/>
      <c r="K19" s="37"/>
      <c r="L19" s="37" t="s">
        <v>152</v>
      </c>
      <c r="M19" s="37"/>
      <c r="N19" s="37"/>
      <c r="O19" s="48"/>
      <c r="P19" s="48"/>
      <c r="Q19" s="48"/>
      <c r="R19" s="48"/>
      <c r="S19" s="48"/>
      <c r="T19" s="48"/>
      <c r="U19" s="48"/>
      <c r="V19" s="48"/>
      <c r="W19" s="48"/>
      <c r="X19" s="48"/>
      <c r="Y19" s="48"/>
      <c r="Z19" s="48"/>
      <c r="AA19" s="48"/>
    </row>
    <row r="20" spans="1:27" ht="30" customHeight="1">
      <c r="A20" s="46"/>
      <c r="B20" s="46"/>
      <c r="C20" s="46"/>
      <c r="D20" s="46"/>
      <c r="E20" s="46"/>
      <c r="F20" s="46"/>
      <c r="G20" s="46"/>
      <c r="H20" s="46"/>
      <c r="I20" s="46"/>
      <c r="J20" s="46"/>
      <c r="K20" s="46"/>
      <c r="L20" s="46"/>
      <c r="M20" s="46"/>
      <c r="N20" s="46"/>
      <c r="O20" s="48"/>
      <c r="P20" s="48"/>
      <c r="Q20" s="48"/>
      <c r="R20" s="48"/>
      <c r="S20" s="48"/>
      <c r="T20" s="48"/>
      <c r="U20" s="48"/>
      <c r="V20" s="48"/>
      <c r="W20" s="48"/>
      <c r="X20" s="48"/>
      <c r="Y20" s="48"/>
      <c r="Z20" s="48"/>
      <c r="AA20" s="48"/>
    </row>
    <row r="21" spans="1:27" ht="30" customHeight="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row>
    <row r="22" spans="1:27" ht="30"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row>
    <row r="23" spans="1:27" ht="30"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row>
    <row r="24" spans="1:27" ht="30"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row>
    <row r="25" spans="1:27" ht="30"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row>
    <row r="26" spans="1:27" ht="30"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row>
    <row r="27" spans="1:27" ht="30"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row>
    <row r="28" spans="1:27" ht="30"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row>
    <row r="29" spans="1:27" ht="30"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row>
    <row r="30" spans="1:27" ht="30"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row>
    <row r="31" spans="1:27" ht="30"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row>
    <row r="32" spans="1:27" ht="30"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row>
    <row r="33" spans="1:27" ht="30"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row>
    <row r="34" spans="1:27" ht="30"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row>
    <row r="35" spans="1:27" ht="30"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row>
    <row r="36" spans="1:27" ht="30"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row>
    <row r="37" spans="1:27" ht="30"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row>
    <row r="38" spans="1:27" ht="30"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row>
    <row r="39" spans="1:27" ht="30"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spans="1:27" ht="30"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spans="1:27" ht="30"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spans="1:27" ht="30"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spans="1:27" ht="30"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spans="1:27" ht="30"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spans="1:27" ht="30"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row>
    <row r="46" spans="1:27" ht="30"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spans="1:27" ht="30"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spans="1:27" ht="30"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spans="1:27" ht="30"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spans="1:27" ht="30"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spans="1:27" ht="30"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spans="1:27" ht="30"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spans="1:27" ht="30"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spans="1:27" ht="30"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spans="1:27" ht="30"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spans="1:27" ht="30"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spans="1:27" ht="30"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spans="1:27" ht="30"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spans="1:27" ht="30"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spans="1:27" ht="30"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spans="1:27" ht="30"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spans="1:27" ht="30"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spans="1:27" ht="30"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spans="1:27" ht="30"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spans="1:27" ht="30"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spans="1:27" ht="30"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spans="1:27" ht="30"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spans="1:27" ht="30"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spans="1:27" ht="30"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spans="1:27" ht="30"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spans="1:27" ht="30"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spans="1:27" ht="30"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spans="1:27" ht="30"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spans="1:27" ht="30"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spans="1:27" ht="30"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spans="1:27" ht="30"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spans="1:27" ht="30"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spans="1:27" ht="30"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spans="1:27" ht="30"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spans="1:27" ht="30"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spans="1:27" ht="30"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spans="1:27" ht="30"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spans="1:27" ht="30"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spans="1:27" ht="30"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spans="1:27" ht="30"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spans="1:27" ht="30"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spans="1:27" ht="30"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spans="1:27" ht="30"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spans="1:27" ht="30"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spans="1:27" ht="30"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spans="1:27" ht="30"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spans="1:27" ht="30"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spans="1:27" ht="30"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spans="1:27" ht="30"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spans="1:27" ht="30"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spans="1:27" ht="30"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spans="1:27" ht="30"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spans="1:27" ht="30"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spans="1:27" ht="30"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spans="1:27" ht="30"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spans="1:27" ht="30"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spans="1:27" ht="30"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spans="1:27" ht="30"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spans="1:27" ht="30"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spans="1:27" ht="30"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spans="1:27" ht="30"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spans="1:27" ht="30"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spans="1:27" ht="30"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spans="1:27" ht="30"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spans="1:27" ht="30"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spans="1:27" ht="30"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spans="1:27" ht="30"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spans="1:27" ht="30"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spans="1:27" ht="30"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spans="1:27" ht="30"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spans="1:27" ht="30"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spans="1:27" ht="30"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spans="1:27" ht="30"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spans="1:27" ht="30"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spans="1:27" ht="30"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spans="1:27" ht="30"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sheetData>
  <mergeCells count="3">
    <mergeCell ref="A4:AA4"/>
    <mergeCell ref="A3:AA3"/>
    <mergeCell ref="A1:AA1"/>
  </mergeCells>
  <dataValidations count="2">
    <dataValidation type="list" allowBlank="1" sqref="Z7:Z121" xr:uid="{00000000-0002-0000-1B00-000000000000}">
      <formula1>"Not Started,In Progress,Awaiting Information,Complete,N/A,On Hold,Gap / Action Required,Approved,Rejected,Superseded"</formula1>
    </dataValidation>
    <dataValidation type="list" allowBlank="1" sqref="L8:L19" xr:uid="{00000000-0002-0000-1B00-000001000000}">
      <formula1>"Not Started,In Progress,Needs Review,Complete,Not Applicable,Blocked"</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2E75B6"/>
  </sheetPr>
  <dimension ref="A1:I39"/>
  <sheetViews>
    <sheetView showGridLines="0" workbookViewId="0"/>
  </sheetViews>
  <sheetFormatPr defaultRowHeight="15"/>
  <cols>
    <col min="1" max="1" width="24" customWidth="1"/>
    <col min="2" max="2" width="32" customWidth="1"/>
    <col min="3" max="3" width="30" customWidth="1"/>
    <col min="4" max="4" width="24" customWidth="1"/>
    <col min="5" max="5" width="20" customWidth="1"/>
    <col min="6" max="6" width="24" customWidth="1"/>
    <col min="7" max="7" width="18" customWidth="1"/>
    <col min="8" max="8" width="24" customWidth="1"/>
    <col min="9" max="9" width="34" customWidth="1"/>
  </cols>
  <sheetData>
    <row r="1" spans="1:9" s="48" customFormat="1">
      <c r="A1" s="178" t="s">
        <v>2118</v>
      </c>
      <c r="B1" s="178"/>
      <c r="C1" s="178"/>
      <c r="D1" s="178"/>
      <c r="E1" s="178"/>
      <c r="F1" s="178"/>
      <c r="G1" s="178"/>
      <c r="H1" s="178"/>
      <c r="I1" s="178"/>
    </row>
    <row r="2" spans="1:9" ht="24" customHeight="1">
      <c r="A2" s="56" t="s">
        <v>0</v>
      </c>
      <c r="B2" s="56"/>
      <c r="C2" s="56"/>
      <c r="D2" s="56"/>
      <c r="E2" s="56"/>
      <c r="F2" s="56"/>
      <c r="G2" s="56"/>
      <c r="H2" s="56"/>
      <c r="I2" s="56"/>
    </row>
    <row r="3" spans="1:9" ht="30" customHeight="1">
      <c r="A3" s="45" t="s">
        <v>2182</v>
      </c>
      <c r="B3" s="45"/>
      <c r="C3" s="45"/>
      <c r="D3" s="45"/>
      <c r="E3" s="45"/>
      <c r="F3" s="45"/>
      <c r="G3" s="45"/>
      <c r="H3" s="45"/>
      <c r="I3" s="45"/>
    </row>
    <row r="4" spans="1:9" ht="30" customHeight="1">
      <c r="A4" s="44" t="s">
        <v>2183</v>
      </c>
      <c r="B4" s="44"/>
      <c r="C4" s="44"/>
      <c r="D4" s="44"/>
      <c r="E4" s="44"/>
      <c r="F4" s="44"/>
      <c r="G4" s="44"/>
      <c r="H4" s="44"/>
      <c r="I4" s="44"/>
    </row>
    <row r="5" spans="1:9">
      <c r="A5" s="46"/>
      <c r="B5" s="46"/>
      <c r="C5" s="46"/>
      <c r="D5" s="46"/>
      <c r="E5" s="46"/>
      <c r="F5" s="46"/>
      <c r="G5" s="46"/>
      <c r="H5" s="46"/>
      <c r="I5" s="46"/>
    </row>
    <row r="6" spans="1:9" ht="21.95" customHeight="1">
      <c r="A6" s="57" t="s">
        <v>2184</v>
      </c>
      <c r="B6" s="57"/>
      <c r="C6" s="57"/>
      <c r="D6" s="57"/>
      <c r="E6" s="57"/>
      <c r="F6" s="57"/>
      <c r="G6" s="57"/>
      <c r="H6" s="57"/>
      <c r="I6" s="57"/>
    </row>
    <row r="7" spans="1:9" ht="33.950000000000003" customHeight="1">
      <c r="A7" s="36" t="s">
        <v>2185</v>
      </c>
      <c r="B7" s="36" t="s">
        <v>2186</v>
      </c>
      <c r="C7" s="36" t="s">
        <v>578</v>
      </c>
      <c r="D7" s="36" t="s">
        <v>144</v>
      </c>
      <c r="E7" s="36" t="s">
        <v>145</v>
      </c>
      <c r="F7" s="36" t="s">
        <v>70</v>
      </c>
      <c r="G7" s="36"/>
      <c r="H7" s="36"/>
      <c r="I7" s="36"/>
    </row>
    <row r="8" spans="1:9">
      <c r="A8" s="37" t="s">
        <v>2187</v>
      </c>
      <c r="B8" s="37"/>
      <c r="C8" s="37"/>
      <c r="D8" s="37" t="s">
        <v>2188</v>
      </c>
      <c r="E8" s="37" t="s">
        <v>152</v>
      </c>
      <c r="F8" s="37"/>
      <c r="G8" s="37"/>
      <c r="H8" s="37"/>
      <c r="I8" s="37"/>
    </row>
    <row r="9" spans="1:9">
      <c r="A9" s="37" t="s">
        <v>2189</v>
      </c>
      <c r="B9" s="37"/>
      <c r="C9" s="37" t="s">
        <v>33</v>
      </c>
      <c r="D9" s="37" t="s">
        <v>2190</v>
      </c>
      <c r="E9" s="37" t="s">
        <v>152</v>
      </c>
      <c r="F9" s="37"/>
      <c r="G9" s="37"/>
      <c r="H9" s="37"/>
      <c r="I9" s="37"/>
    </row>
    <row r="10" spans="1:9">
      <c r="A10" s="37" t="s">
        <v>2191</v>
      </c>
      <c r="B10" s="37"/>
      <c r="C10" s="37" t="s">
        <v>2192</v>
      </c>
      <c r="D10" s="37" t="s">
        <v>243</v>
      </c>
      <c r="E10" s="37" t="s">
        <v>152</v>
      </c>
      <c r="F10" s="37"/>
      <c r="G10" s="37"/>
      <c r="H10" s="37"/>
      <c r="I10" s="37"/>
    </row>
    <row r="11" spans="1:9">
      <c r="A11" s="37" t="s">
        <v>2193</v>
      </c>
      <c r="B11" s="37"/>
      <c r="C11" s="37" t="s">
        <v>2194</v>
      </c>
      <c r="D11" s="37" t="s">
        <v>2195</v>
      </c>
      <c r="E11" s="37" t="s">
        <v>152</v>
      </c>
      <c r="F11" s="37"/>
      <c r="G11" s="37"/>
      <c r="H11" s="37"/>
      <c r="I11" s="37"/>
    </row>
    <row r="12" spans="1:9">
      <c r="A12" s="37" t="s">
        <v>1715</v>
      </c>
      <c r="B12" s="37"/>
      <c r="C12" s="37" t="s">
        <v>2196</v>
      </c>
      <c r="D12" s="37" t="s">
        <v>2195</v>
      </c>
      <c r="E12" s="37" t="s">
        <v>152</v>
      </c>
      <c r="F12" s="37"/>
      <c r="G12" s="37"/>
      <c r="H12" s="37"/>
      <c r="I12" s="37"/>
    </row>
    <row r="13" spans="1:9">
      <c r="A13" s="37" t="s">
        <v>2197</v>
      </c>
      <c r="B13" s="37"/>
      <c r="C13" s="37" t="s">
        <v>2198</v>
      </c>
      <c r="D13" s="37" t="s">
        <v>233</v>
      </c>
      <c r="E13" s="37" t="s">
        <v>152</v>
      </c>
      <c r="F13" s="37"/>
      <c r="G13" s="37"/>
      <c r="H13" s="37"/>
      <c r="I13" s="37"/>
    </row>
    <row r="14" spans="1:9">
      <c r="A14" s="37" t="s">
        <v>2199</v>
      </c>
      <c r="B14" s="37"/>
      <c r="C14" s="37" t="s">
        <v>2200</v>
      </c>
      <c r="D14" s="37" t="s">
        <v>2201</v>
      </c>
      <c r="E14" s="37" t="s">
        <v>152</v>
      </c>
      <c r="F14" s="37"/>
      <c r="G14" s="37"/>
      <c r="H14" s="37"/>
      <c r="I14" s="37"/>
    </row>
    <row r="15" spans="1:9">
      <c r="A15" s="37" t="s">
        <v>2202</v>
      </c>
      <c r="B15" s="37"/>
      <c r="C15" s="37" t="s">
        <v>1941</v>
      </c>
      <c r="D15" s="37" t="s">
        <v>2195</v>
      </c>
      <c r="E15" s="37" t="s">
        <v>152</v>
      </c>
      <c r="F15" s="37"/>
      <c r="G15" s="37"/>
      <c r="H15" s="37"/>
      <c r="I15" s="37"/>
    </row>
    <row r="16" spans="1:9">
      <c r="A16" s="46"/>
      <c r="B16" s="46"/>
      <c r="C16" s="46"/>
      <c r="D16" s="46"/>
      <c r="E16" s="46"/>
      <c r="F16" s="46"/>
      <c r="G16" s="46"/>
      <c r="H16" s="46"/>
      <c r="I16" s="46"/>
    </row>
    <row r="17" spans="1:9" ht="21.95" customHeight="1">
      <c r="A17" s="57" t="s">
        <v>2203</v>
      </c>
      <c r="B17" s="57"/>
      <c r="C17" s="57"/>
      <c r="D17" s="57"/>
      <c r="E17" s="57"/>
      <c r="F17" s="57"/>
      <c r="G17" s="57"/>
      <c r="H17" s="57"/>
      <c r="I17" s="57"/>
    </row>
    <row r="18" spans="1:9" ht="33.950000000000003" customHeight="1">
      <c r="A18" s="36" t="s">
        <v>2204</v>
      </c>
      <c r="B18" s="36" t="s">
        <v>2205</v>
      </c>
      <c r="C18" s="36" t="s">
        <v>2206</v>
      </c>
      <c r="D18" s="36" t="s">
        <v>2207</v>
      </c>
      <c r="E18" s="36" t="s">
        <v>2208</v>
      </c>
      <c r="F18" s="36" t="s">
        <v>2209</v>
      </c>
      <c r="G18" s="36" t="s">
        <v>145</v>
      </c>
      <c r="H18" s="36" t="s">
        <v>2210</v>
      </c>
      <c r="I18" s="36" t="s">
        <v>70</v>
      </c>
    </row>
    <row r="19" spans="1:9">
      <c r="A19" s="37" t="s">
        <v>2211</v>
      </c>
      <c r="B19" s="37"/>
      <c r="C19" s="37"/>
      <c r="D19" s="37"/>
      <c r="E19" s="37"/>
      <c r="F19" s="37"/>
      <c r="G19" s="37" t="s">
        <v>152</v>
      </c>
      <c r="H19" s="37"/>
      <c r="I19" s="37"/>
    </row>
    <row r="20" spans="1:9">
      <c r="A20" s="37" t="s">
        <v>2212</v>
      </c>
      <c r="B20" s="37"/>
      <c r="C20" s="37"/>
      <c r="D20" s="37"/>
      <c r="E20" s="37"/>
      <c r="F20" s="37"/>
      <c r="G20" s="37" t="s">
        <v>152</v>
      </c>
      <c r="H20" s="37"/>
      <c r="I20" s="37"/>
    </row>
    <row r="21" spans="1:9">
      <c r="A21" s="37" t="s">
        <v>2213</v>
      </c>
      <c r="B21" s="37"/>
      <c r="C21" s="37"/>
      <c r="D21" s="37"/>
      <c r="E21" s="37"/>
      <c r="F21" s="37"/>
      <c r="G21" s="37" t="s">
        <v>152</v>
      </c>
      <c r="H21" s="37"/>
      <c r="I21" s="37"/>
    </row>
    <row r="22" spans="1:9">
      <c r="A22" s="37" t="s">
        <v>2214</v>
      </c>
      <c r="B22" s="37"/>
      <c r="C22" s="37"/>
      <c r="D22" s="37"/>
      <c r="E22" s="37"/>
      <c r="F22" s="37"/>
      <c r="G22" s="37" t="s">
        <v>152</v>
      </c>
      <c r="H22" s="37"/>
      <c r="I22" s="37"/>
    </row>
    <row r="23" spans="1:9">
      <c r="A23" s="37" t="s">
        <v>2215</v>
      </c>
      <c r="B23" s="37"/>
      <c r="C23" s="37"/>
      <c r="D23" s="37"/>
      <c r="E23" s="37"/>
      <c r="F23" s="37"/>
      <c r="G23" s="37" t="s">
        <v>152</v>
      </c>
      <c r="H23" s="37"/>
      <c r="I23" s="37"/>
    </row>
    <row r="24" spans="1:9">
      <c r="A24" s="37" t="s">
        <v>2216</v>
      </c>
      <c r="B24" s="37"/>
      <c r="C24" s="37"/>
      <c r="D24" s="37"/>
      <c r="E24" s="37"/>
      <c r="F24" s="37"/>
      <c r="G24" s="37" t="s">
        <v>152</v>
      </c>
      <c r="H24" s="37"/>
      <c r="I24" s="37"/>
    </row>
    <row r="25" spans="1:9">
      <c r="A25" s="37" t="s">
        <v>2217</v>
      </c>
      <c r="B25" s="37"/>
      <c r="C25" s="37"/>
      <c r="D25" s="37"/>
      <c r="E25" s="37"/>
      <c r="F25" s="37"/>
      <c r="G25" s="37" t="s">
        <v>152</v>
      </c>
      <c r="H25" s="37"/>
      <c r="I25" s="37"/>
    </row>
    <row r="26" spans="1:9">
      <c r="A26" s="37" t="s">
        <v>2218</v>
      </c>
      <c r="B26" s="37"/>
      <c r="C26" s="37"/>
      <c r="D26" s="37"/>
      <c r="E26" s="37"/>
      <c r="F26" s="37"/>
      <c r="G26" s="37" t="s">
        <v>152</v>
      </c>
      <c r="H26" s="37"/>
      <c r="I26" s="37"/>
    </row>
    <row r="27" spans="1:9">
      <c r="A27" s="37" t="s">
        <v>2219</v>
      </c>
      <c r="B27" s="37"/>
      <c r="C27" s="37"/>
      <c r="D27" s="37"/>
      <c r="E27" s="37"/>
      <c r="F27" s="37"/>
      <c r="G27" s="37" t="s">
        <v>152</v>
      </c>
      <c r="H27" s="37"/>
      <c r="I27" s="37"/>
    </row>
    <row r="28" spans="1:9">
      <c r="A28" s="37" t="s">
        <v>2220</v>
      </c>
      <c r="B28" s="37"/>
      <c r="C28" s="37"/>
      <c r="D28" s="37"/>
      <c r="E28" s="37"/>
      <c r="F28" s="37"/>
      <c r="G28" s="37" t="s">
        <v>152</v>
      </c>
      <c r="H28" s="37"/>
      <c r="I28" s="37"/>
    </row>
    <row r="29" spans="1:9">
      <c r="A29" s="37" t="s">
        <v>2221</v>
      </c>
      <c r="B29" s="37"/>
      <c r="C29" s="37"/>
      <c r="D29" s="37"/>
      <c r="E29" s="37"/>
      <c r="F29" s="37"/>
      <c r="G29" s="37" t="s">
        <v>152</v>
      </c>
      <c r="H29" s="37"/>
      <c r="I29" s="37"/>
    </row>
    <row r="30" spans="1:9">
      <c r="A30" s="37" t="s">
        <v>2222</v>
      </c>
      <c r="B30" s="37"/>
      <c r="C30" s="37"/>
      <c r="D30" s="37"/>
      <c r="E30" s="37"/>
      <c r="F30" s="37"/>
      <c r="G30" s="37" t="s">
        <v>152</v>
      </c>
      <c r="H30" s="37"/>
      <c r="I30" s="37"/>
    </row>
    <row r="31" spans="1:9">
      <c r="A31" s="37" t="s">
        <v>2223</v>
      </c>
      <c r="B31" s="37"/>
      <c r="C31" s="37"/>
      <c r="D31" s="37"/>
      <c r="E31" s="37"/>
      <c r="F31" s="37"/>
      <c r="G31" s="37" t="s">
        <v>152</v>
      </c>
      <c r="H31" s="37"/>
      <c r="I31" s="37"/>
    </row>
    <row r="32" spans="1:9">
      <c r="A32" s="37" t="s">
        <v>2224</v>
      </c>
      <c r="B32" s="37"/>
      <c r="C32" s="37"/>
      <c r="D32" s="37"/>
      <c r="E32" s="37"/>
      <c r="F32" s="37"/>
      <c r="G32" s="37" t="s">
        <v>152</v>
      </c>
      <c r="H32" s="37"/>
      <c r="I32" s="37"/>
    </row>
    <row r="33" spans="1:9">
      <c r="A33" s="37" t="s">
        <v>2225</v>
      </c>
      <c r="B33" s="37"/>
      <c r="C33" s="37"/>
      <c r="D33" s="37"/>
      <c r="E33" s="37"/>
      <c r="F33" s="37"/>
      <c r="G33" s="37" t="s">
        <v>152</v>
      </c>
      <c r="H33" s="37"/>
      <c r="I33" s="37"/>
    </row>
    <row r="34" spans="1:9">
      <c r="A34" s="37" t="s">
        <v>2226</v>
      </c>
      <c r="B34" s="37"/>
      <c r="C34" s="37"/>
      <c r="D34" s="37"/>
      <c r="E34" s="37"/>
      <c r="F34" s="37"/>
      <c r="G34" s="37" t="s">
        <v>152</v>
      </c>
      <c r="H34" s="37"/>
      <c r="I34" s="37"/>
    </row>
    <row r="35" spans="1:9">
      <c r="A35" s="37" t="s">
        <v>2227</v>
      </c>
      <c r="B35" s="37"/>
      <c r="C35" s="37"/>
      <c r="D35" s="37"/>
      <c r="E35" s="37"/>
      <c r="F35" s="37"/>
      <c r="G35" s="37" t="s">
        <v>152</v>
      </c>
      <c r="H35" s="37"/>
      <c r="I35" s="37"/>
    </row>
    <row r="36" spans="1:9">
      <c r="A36" s="37" t="s">
        <v>2228</v>
      </c>
      <c r="B36" s="37"/>
      <c r="C36" s="37"/>
      <c r="D36" s="37"/>
      <c r="E36" s="37"/>
      <c r="F36" s="37"/>
      <c r="G36" s="37" t="s">
        <v>152</v>
      </c>
      <c r="H36" s="37"/>
      <c r="I36" s="37"/>
    </row>
    <row r="37" spans="1:9">
      <c r="A37" s="37" t="s">
        <v>2229</v>
      </c>
      <c r="B37" s="37"/>
      <c r="C37" s="37"/>
      <c r="D37" s="37"/>
      <c r="E37" s="37"/>
      <c r="F37" s="37"/>
      <c r="G37" s="37" t="s">
        <v>152</v>
      </c>
      <c r="H37" s="37"/>
      <c r="I37" s="37"/>
    </row>
    <row r="38" spans="1:9">
      <c r="A38" s="37" t="s">
        <v>2230</v>
      </c>
      <c r="B38" s="37"/>
      <c r="C38" s="37"/>
      <c r="D38" s="37"/>
      <c r="E38" s="37"/>
      <c r="F38" s="37"/>
      <c r="G38" s="37" t="s">
        <v>152</v>
      </c>
      <c r="H38" s="37"/>
      <c r="I38" s="37"/>
    </row>
    <row r="39" spans="1:9">
      <c r="A39" s="46"/>
      <c r="B39" s="46"/>
      <c r="C39" s="46"/>
      <c r="D39" s="46"/>
      <c r="E39" s="46"/>
      <c r="F39" s="46"/>
      <c r="G39" s="46"/>
      <c r="H39" s="46"/>
      <c r="I39" s="46"/>
    </row>
  </sheetData>
  <mergeCells count="1">
    <mergeCell ref="A1:I1"/>
  </mergeCells>
  <dataValidations count="2">
    <dataValidation type="list" sqref="D6:D22" xr:uid="{00000000-0002-0000-1C00-000000000000}">
      <formula1>"Not Started,In Progress,Complete,N/A,Needs Review,Blocked"</formula1>
    </dataValidation>
    <dataValidation type="list" allowBlank="1" sqref="E8:E15 G19:G38 D19:D38" xr:uid="{00000000-0002-0000-1C00-000001000000}">
      <formula1>"Not Started,In Progress,Needs Review,Complete,Not Applicable,Blocked"</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2E75B6"/>
  </sheetPr>
  <dimension ref="A1:K121"/>
  <sheetViews>
    <sheetView showGridLines="0" workbookViewId="0"/>
  </sheetViews>
  <sheetFormatPr defaultRowHeight="15"/>
  <cols>
    <col min="1" max="1" width="28" customWidth="1"/>
    <col min="2" max="2" width="22" customWidth="1"/>
    <col min="3" max="3" width="28" customWidth="1"/>
    <col min="4" max="4" width="24" customWidth="1"/>
    <col min="5" max="6" width="28" customWidth="1"/>
    <col min="7" max="7" width="20" customWidth="1"/>
    <col min="8" max="9" width="30" customWidth="1"/>
    <col min="10" max="10" width="18" customWidth="1"/>
    <col min="11" max="11" width="34" customWidth="1"/>
  </cols>
  <sheetData>
    <row r="1" spans="1:11" s="48" customFormat="1">
      <c r="A1" s="178" t="s">
        <v>2118</v>
      </c>
      <c r="B1" s="178"/>
      <c r="C1" s="178"/>
      <c r="D1" s="178"/>
      <c r="E1" s="178"/>
      <c r="F1" s="178"/>
      <c r="G1" s="178"/>
      <c r="H1" s="178"/>
      <c r="I1" s="178"/>
      <c r="J1" s="178"/>
      <c r="K1" s="178"/>
    </row>
    <row r="2" spans="1:11" ht="24" customHeight="1">
      <c r="A2" s="56" t="s">
        <v>0</v>
      </c>
      <c r="B2" s="56"/>
      <c r="C2" s="56"/>
      <c r="D2" s="56"/>
      <c r="E2" s="56"/>
      <c r="F2" s="56"/>
      <c r="G2" s="56"/>
      <c r="H2" s="56"/>
      <c r="I2" s="56"/>
      <c r="J2" s="56"/>
      <c r="K2" s="56"/>
    </row>
    <row r="3" spans="1:11" ht="30" customHeight="1">
      <c r="A3" s="168" t="s">
        <v>2231</v>
      </c>
      <c r="B3" s="193"/>
      <c r="C3" s="193"/>
      <c r="D3" s="193"/>
      <c r="E3" s="193"/>
      <c r="F3" s="193"/>
      <c r="G3" s="193"/>
      <c r="H3" s="193"/>
      <c r="I3" s="193"/>
      <c r="J3" s="193"/>
      <c r="K3" s="193"/>
    </row>
    <row r="4" spans="1:11" ht="30" customHeight="1">
      <c r="A4" s="167" t="s">
        <v>2232</v>
      </c>
      <c r="B4" s="193"/>
      <c r="C4" s="193"/>
      <c r="D4" s="193"/>
      <c r="E4" s="193"/>
      <c r="F4" s="193"/>
      <c r="G4" s="193"/>
      <c r="H4" s="193"/>
      <c r="I4" s="193"/>
      <c r="J4" s="193"/>
      <c r="K4" s="193"/>
    </row>
    <row r="5" spans="1:11" ht="36" customHeight="1">
      <c r="A5" s="46"/>
      <c r="B5" s="46"/>
      <c r="C5" s="46"/>
      <c r="D5" s="46"/>
      <c r="E5" s="46"/>
      <c r="F5" s="46"/>
      <c r="G5" s="46"/>
      <c r="H5" s="46"/>
      <c r="I5" s="46"/>
      <c r="J5" s="46"/>
      <c r="K5" s="46"/>
    </row>
    <row r="6" spans="1:11" ht="21.95" customHeight="1">
      <c r="A6" s="57" t="s">
        <v>2233</v>
      </c>
      <c r="B6" s="57"/>
      <c r="C6" s="57"/>
      <c r="D6" s="57"/>
      <c r="E6" s="57"/>
      <c r="F6" s="57"/>
      <c r="G6" s="57"/>
      <c r="H6" s="57"/>
      <c r="I6" s="57"/>
      <c r="J6" s="57"/>
      <c r="K6" s="57"/>
    </row>
    <row r="7" spans="1:11" ht="33.950000000000003" customHeight="1">
      <c r="A7" s="36" t="s">
        <v>2169</v>
      </c>
      <c r="B7" s="36" t="s">
        <v>2234</v>
      </c>
      <c r="C7" s="36" t="s">
        <v>1426</v>
      </c>
      <c r="D7" s="36" t="s">
        <v>2171</v>
      </c>
      <c r="E7" s="36" t="s">
        <v>2235</v>
      </c>
      <c r="F7" s="36" t="s">
        <v>1938</v>
      </c>
      <c r="G7" s="36" t="s">
        <v>2236</v>
      </c>
      <c r="H7" s="36" t="s">
        <v>2192</v>
      </c>
      <c r="I7" s="36" t="s">
        <v>1941</v>
      </c>
      <c r="J7" s="36" t="s">
        <v>145</v>
      </c>
      <c r="K7" s="36" t="s">
        <v>70</v>
      </c>
    </row>
    <row r="8" spans="1:11" ht="81.95" customHeight="1">
      <c r="A8" s="37"/>
      <c r="B8" s="37"/>
      <c r="C8" s="37"/>
      <c r="D8" s="37"/>
      <c r="E8" s="37"/>
      <c r="F8" s="37"/>
      <c r="G8" s="37"/>
      <c r="H8" s="37"/>
      <c r="I8" s="37"/>
      <c r="J8" s="37" t="s">
        <v>152</v>
      </c>
      <c r="K8" s="37"/>
    </row>
    <row r="9" spans="1:11" ht="81.95" customHeight="1">
      <c r="A9" s="37"/>
      <c r="B9" s="37"/>
      <c r="C9" s="37"/>
      <c r="D9" s="37"/>
      <c r="E9" s="37"/>
      <c r="F9" s="37"/>
      <c r="G9" s="37"/>
      <c r="H9" s="37"/>
      <c r="I9" s="37"/>
      <c r="J9" s="37" t="s">
        <v>152</v>
      </c>
      <c r="K9" s="37"/>
    </row>
    <row r="10" spans="1:11" ht="81.95" customHeight="1">
      <c r="A10" s="37"/>
      <c r="B10" s="37"/>
      <c r="C10" s="37"/>
      <c r="D10" s="37"/>
      <c r="E10" s="37"/>
      <c r="F10" s="37"/>
      <c r="G10" s="37"/>
      <c r="H10" s="37"/>
      <c r="I10" s="37"/>
      <c r="J10" s="37" t="s">
        <v>152</v>
      </c>
      <c r="K10" s="37"/>
    </row>
    <row r="11" spans="1:11" ht="81.95" customHeight="1">
      <c r="A11" s="37"/>
      <c r="B11" s="37"/>
      <c r="C11" s="37"/>
      <c r="D11" s="37"/>
      <c r="E11" s="37"/>
      <c r="F11" s="37"/>
      <c r="G11" s="37"/>
      <c r="H11" s="37"/>
      <c r="I11" s="37"/>
      <c r="J11" s="37" t="s">
        <v>152</v>
      </c>
      <c r="K11" s="37"/>
    </row>
    <row r="12" spans="1:11" ht="81.95" customHeight="1">
      <c r="A12" s="37"/>
      <c r="B12" s="37"/>
      <c r="C12" s="37"/>
      <c r="D12" s="37"/>
      <c r="E12" s="37"/>
      <c r="F12" s="37"/>
      <c r="G12" s="37"/>
      <c r="H12" s="37"/>
      <c r="I12" s="37"/>
      <c r="J12" s="37" t="s">
        <v>152</v>
      </c>
      <c r="K12" s="37"/>
    </row>
    <row r="13" spans="1:11" ht="36" customHeight="1">
      <c r="A13" s="37"/>
      <c r="B13" s="37"/>
      <c r="C13" s="37"/>
      <c r="D13" s="37"/>
      <c r="E13" s="37"/>
      <c r="F13" s="37"/>
      <c r="G13" s="37"/>
      <c r="H13" s="37"/>
      <c r="I13" s="37"/>
      <c r="J13" s="37" t="s">
        <v>152</v>
      </c>
      <c r="K13" s="37"/>
    </row>
    <row r="14" spans="1:11" ht="36" customHeight="1">
      <c r="A14" s="37"/>
      <c r="B14" s="37"/>
      <c r="C14" s="37"/>
      <c r="D14" s="37"/>
      <c r="E14" s="37"/>
      <c r="F14" s="37"/>
      <c r="G14" s="37"/>
      <c r="H14" s="37"/>
      <c r="I14" s="37"/>
      <c r="J14" s="37" t="s">
        <v>152</v>
      </c>
      <c r="K14" s="37"/>
    </row>
    <row r="15" spans="1:11" ht="36" customHeight="1">
      <c r="A15" s="37"/>
      <c r="B15" s="37"/>
      <c r="C15" s="37"/>
      <c r="D15" s="37"/>
      <c r="E15" s="37"/>
      <c r="F15" s="37"/>
      <c r="G15" s="37"/>
      <c r="H15" s="37"/>
      <c r="I15" s="37"/>
      <c r="J15" s="37" t="s">
        <v>152</v>
      </c>
      <c r="K15" s="37"/>
    </row>
    <row r="16" spans="1:11" ht="36" customHeight="1">
      <c r="A16" s="37"/>
      <c r="B16" s="37"/>
      <c r="C16" s="37"/>
      <c r="D16" s="37"/>
      <c r="E16" s="37"/>
      <c r="F16" s="37"/>
      <c r="G16" s="37"/>
      <c r="H16" s="37"/>
      <c r="I16" s="37"/>
      <c r="J16" s="37" t="s">
        <v>152</v>
      </c>
      <c r="K16" s="37"/>
    </row>
    <row r="17" spans="1:11" ht="36" customHeight="1">
      <c r="A17" s="37"/>
      <c r="B17" s="37"/>
      <c r="C17" s="37"/>
      <c r="D17" s="37"/>
      <c r="E17" s="37"/>
      <c r="F17" s="37"/>
      <c r="G17" s="37"/>
      <c r="H17" s="37"/>
      <c r="I17" s="37"/>
      <c r="J17" s="37" t="s">
        <v>152</v>
      </c>
      <c r="K17" s="37"/>
    </row>
    <row r="18" spans="1:11" ht="36" customHeight="1">
      <c r="A18" s="37"/>
      <c r="B18" s="37"/>
      <c r="C18" s="37"/>
      <c r="D18" s="37"/>
      <c r="E18" s="37"/>
      <c r="F18" s="37"/>
      <c r="G18" s="37"/>
      <c r="H18" s="37"/>
      <c r="I18" s="37"/>
      <c r="J18" s="37" t="s">
        <v>152</v>
      </c>
      <c r="K18" s="37"/>
    </row>
    <row r="19" spans="1:11" ht="36" customHeight="1">
      <c r="A19" s="37"/>
      <c r="B19" s="37"/>
      <c r="C19" s="37"/>
      <c r="D19" s="37"/>
      <c r="E19" s="37"/>
      <c r="F19" s="37"/>
      <c r="G19" s="37"/>
      <c r="H19" s="37"/>
      <c r="I19" s="37"/>
      <c r="J19" s="37" t="s">
        <v>152</v>
      </c>
      <c r="K19" s="37"/>
    </row>
    <row r="20" spans="1:11" ht="36" customHeight="1">
      <c r="A20" s="46"/>
      <c r="B20" s="46"/>
      <c r="C20" s="46"/>
      <c r="D20" s="46"/>
      <c r="E20" s="46"/>
      <c r="F20" s="46"/>
      <c r="G20" s="46"/>
      <c r="H20" s="46"/>
      <c r="I20" s="46"/>
      <c r="J20" s="46"/>
      <c r="K20" s="46"/>
    </row>
    <row r="21" spans="1:11" ht="36" customHeight="1">
      <c r="A21" s="48"/>
      <c r="B21" s="48"/>
      <c r="C21" s="48"/>
      <c r="D21" s="48"/>
      <c r="E21" s="48"/>
      <c r="F21" s="48"/>
      <c r="G21" s="48"/>
      <c r="H21" s="48"/>
      <c r="I21" s="48"/>
      <c r="J21" s="48"/>
      <c r="K21" s="48"/>
    </row>
    <row r="22" spans="1:11" ht="36" customHeight="1">
      <c r="A22" s="48"/>
      <c r="B22" s="48"/>
      <c r="C22" s="48"/>
      <c r="D22" s="48"/>
      <c r="E22" s="48"/>
      <c r="F22" s="48"/>
      <c r="G22" s="48"/>
      <c r="H22" s="48"/>
      <c r="I22" s="48"/>
      <c r="J22" s="48"/>
      <c r="K22" s="48"/>
    </row>
    <row r="23" spans="1:11" ht="36" customHeight="1">
      <c r="A23" s="48"/>
      <c r="B23" s="48"/>
      <c r="C23" s="48"/>
      <c r="D23" s="48"/>
      <c r="E23" s="48"/>
      <c r="F23" s="48"/>
      <c r="G23" s="48"/>
      <c r="H23" s="48"/>
      <c r="I23" s="48"/>
      <c r="J23" s="48"/>
      <c r="K23" s="48"/>
    </row>
    <row r="24" spans="1:11" ht="36" customHeight="1">
      <c r="A24" s="48"/>
      <c r="B24" s="48"/>
      <c r="C24" s="48"/>
      <c r="D24" s="48"/>
      <c r="E24" s="48"/>
      <c r="F24" s="48"/>
      <c r="G24" s="48"/>
      <c r="H24" s="48"/>
      <c r="I24" s="48"/>
      <c r="J24" s="48"/>
      <c r="K24" s="48"/>
    </row>
    <row r="25" spans="1:11" ht="36" customHeight="1">
      <c r="A25" s="48"/>
      <c r="B25" s="48"/>
      <c r="C25" s="48"/>
      <c r="D25" s="48"/>
      <c r="E25" s="48"/>
      <c r="F25" s="48"/>
      <c r="G25" s="48"/>
      <c r="H25" s="48"/>
      <c r="I25" s="48"/>
      <c r="J25" s="48"/>
      <c r="K25" s="48"/>
    </row>
    <row r="26" spans="1:11" ht="36" customHeight="1">
      <c r="A26" s="48"/>
      <c r="B26" s="48"/>
      <c r="C26" s="48"/>
      <c r="D26" s="48"/>
      <c r="E26" s="48"/>
      <c r="F26" s="48"/>
      <c r="G26" s="48"/>
      <c r="H26" s="48"/>
      <c r="I26" s="48"/>
      <c r="J26" s="48"/>
      <c r="K26" s="48"/>
    </row>
    <row r="27" spans="1:11" ht="36" customHeight="1">
      <c r="A27" s="48"/>
      <c r="B27" s="48"/>
      <c r="C27" s="48"/>
      <c r="D27" s="48"/>
      <c r="E27" s="48"/>
      <c r="F27" s="48"/>
      <c r="G27" s="48"/>
      <c r="H27" s="48"/>
      <c r="I27" s="48"/>
      <c r="J27" s="48"/>
      <c r="K27" s="48"/>
    </row>
    <row r="28" spans="1:11" ht="36" customHeight="1">
      <c r="A28" s="48"/>
      <c r="B28" s="48"/>
      <c r="C28" s="48"/>
      <c r="D28" s="48"/>
      <c r="E28" s="48"/>
      <c r="F28" s="48"/>
      <c r="G28" s="48"/>
      <c r="H28" s="48"/>
      <c r="I28" s="48"/>
      <c r="J28" s="48"/>
      <c r="K28" s="48"/>
    </row>
    <row r="29" spans="1:11" ht="36" customHeight="1">
      <c r="A29" s="48"/>
      <c r="B29" s="48"/>
      <c r="C29" s="48"/>
      <c r="D29" s="48"/>
      <c r="E29" s="48"/>
      <c r="F29" s="48"/>
      <c r="G29" s="48"/>
      <c r="H29" s="48"/>
      <c r="I29" s="48"/>
      <c r="J29" s="48"/>
      <c r="K29" s="48"/>
    </row>
    <row r="30" spans="1:11" ht="36" customHeight="1">
      <c r="A30" s="48"/>
      <c r="B30" s="48"/>
      <c r="C30" s="48"/>
      <c r="D30" s="48"/>
      <c r="E30" s="48"/>
      <c r="F30" s="48"/>
      <c r="G30" s="48"/>
      <c r="H30" s="48"/>
      <c r="I30" s="48"/>
      <c r="J30" s="48"/>
      <c r="K30" s="48"/>
    </row>
    <row r="31" spans="1:11" ht="36" customHeight="1">
      <c r="A31" s="48"/>
      <c r="B31" s="48"/>
      <c r="C31" s="48"/>
      <c r="D31" s="48"/>
      <c r="E31" s="48"/>
      <c r="F31" s="48"/>
      <c r="G31" s="48"/>
      <c r="H31" s="48"/>
      <c r="I31" s="48"/>
      <c r="J31" s="48"/>
      <c r="K31" s="48"/>
    </row>
    <row r="32" spans="1:11" ht="36" customHeight="1">
      <c r="A32" s="48"/>
      <c r="B32" s="48"/>
      <c r="C32" s="48"/>
      <c r="D32" s="48"/>
      <c r="E32" s="48"/>
      <c r="F32" s="48"/>
      <c r="G32" s="48"/>
      <c r="H32" s="48"/>
      <c r="I32" s="48"/>
      <c r="J32" s="48"/>
      <c r="K32" s="48"/>
    </row>
    <row r="33" spans="1:11" ht="36" customHeight="1">
      <c r="A33" s="48"/>
      <c r="B33" s="48"/>
      <c r="C33" s="48"/>
      <c r="D33" s="48"/>
      <c r="E33" s="48"/>
      <c r="F33" s="48"/>
      <c r="G33" s="48"/>
      <c r="H33" s="48"/>
      <c r="I33" s="48"/>
      <c r="J33" s="48"/>
      <c r="K33" s="48"/>
    </row>
    <row r="34" spans="1:11" ht="36" customHeight="1">
      <c r="A34" s="48"/>
      <c r="B34" s="48"/>
      <c r="C34" s="48"/>
      <c r="D34" s="48"/>
      <c r="E34" s="48"/>
      <c r="F34" s="48"/>
      <c r="G34" s="48"/>
      <c r="H34" s="48"/>
      <c r="I34" s="48"/>
      <c r="J34" s="48"/>
      <c r="K34" s="48"/>
    </row>
    <row r="35" spans="1:11" ht="36" customHeight="1">
      <c r="A35" s="48"/>
      <c r="B35" s="48"/>
      <c r="C35" s="48"/>
      <c r="D35" s="48"/>
      <c r="E35" s="48"/>
      <c r="F35" s="48"/>
      <c r="G35" s="48"/>
      <c r="H35" s="48"/>
      <c r="I35" s="48"/>
      <c r="J35" s="48"/>
      <c r="K35" s="48"/>
    </row>
    <row r="36" spans="1:11" ht="36" customHeight="1">
      <c r="A36" s="48"/>
      <c r="B36" s="48"/>
      <c r="C36" s="48"/>
      <c r="D36" s="48"/>
      <c r="E36" s="48"/>
      <c r="F36" s="48"/>
      <c r="G36" s="48"/>
      <c r="H36" s="48"/>
      <c r="I36" s="48"/>
      <c r="J36" s="48"/>
      <c r="K36" s="48"/>
    </row>
    <row r="37" spans="1:11" ht="36" customHeight="1">
      <c r="A37" s="48"/>
      <c r="B37" s="48"/>
      <c r="C37" s="48"/>
      <c r="D37" s="48"/>
      <c r="E37" s="48"/>
      <c r="F37" s="48"/>
      <c r="G37" s="48"/>
      <c r="H37" s="48"/>
      <c r="I37" s="48"/>
      <c r="J37" s="48"/>
      <c r="K37" s="48"/>
    </row>
    <row r="38" spans="1:11" ht="36" customHeight="1">
      <c r="A38" s="48"/>
      <c r="B38" s="48"/>
      <c r="C38" s="48"/>
      <c r="D38" s="48"/>
      <c r="E38" s="48"/>
      <c r="F38" s="48"/>
      <c r="G38" s="48"/>
      <c r="H38" s="48"/>
      <c r="I38" s="48"/>
      <c r="J38" s="48"/>
      <c r="K38" s="48"/>
    </row>
    <row r="39" spans="1:11" ht="36" customHeight="1">
      <c r="A39" s="48"/>
      <c r="B39" s="48"/>
      <c r="C39" s="48"/>
      <c r="D39" s="48"/>
      <c r="E39" s="48"/>
      <c r="F39" s="48"/>
      <c r="G39" s="48"/>
      <c r="H39" s="48"/>
      <c r="I39" s="48"/>
      <c r="J39" s="48"/>
      <c r="K39" s="48"/>
    </row>
    <row r="40" spans="1:11" ht="36" customHeight="1">
      <c r="A40" s="48"/>
      <c r="B40" s="48"/>
      <c r="C40" s="48"/>
      <c r="D40" s="48"/>
      <c r="E40" s="48"/>
      <c r="F40" s="48"/>
      <c r="G40" s="48"/>
      <c r="H40" s="48"/>
      <c r="I40" s="48"/>
      <c r="J40" s="48"/>
      <c r="K40" s="48"/>
    </row>
    <row r="41" spans="1:11" ht="36" customHeight="1">
      <c r="A41" s="48"/>
      <c r="B41" s="48"/>
      <c r="C41" s="48"/>
      <c r="D41" s="48"/>
      <c r="E41" s="48"/>
      <c r="F41" s="48"/>
      <c r="G41" s="48"/>
      <c r="H41" s="48"/>
      <c r="I41" s="48"/>
      <c r="J41" s="48"/>
      <c r="K41" s="48"/>
    </row>
    <row r="42" spans="1:11" ht="36" customHeight="1">
      <c r="A42" s="48"/>
      <c r="B42" s="48"/>
      <c r="C42" s="48"/>
      <c r="D42" s="48"/>
      <c r="E42" s="48"/>
      <c r="F42" s="48"/>
      <c r="G42" s="48"/>
      <c r="H42" s="48"/>
      <c r="I42" s="48"/>
      <c r="J42" s="48"/>
      <c r="K42" s="48"/>
    </row>
    <row r="43" spans="1:11" ht="36" customHeight="1">
      <c r="A43" s="48"/>
      <c r="B43" s="48"/>
      <c r="C43" s="48"/>
      <c r="D43" s="48"/>
      <c r="E43" s="48"/>
      <c r="F43" s="48"/>
      <c r="G43" s="48"/>
      <c r="H43" s="48"/>
      <c r="I43" s="48"/>
      <c r="J43" s="48"/>
      <c r="K43" s="48"/>
    </row>
    <row r="44" spans="1:11" ht="36" customHeight="1">
      <c r="A44" s="48"/>
      <c r="B44" s="48"/>
      <c r="C44" s="48"/>
      <c r="D44" s="48"/>
      <c r="E44" s="48"/>
      <c r="F44" s="48"/>
      <c r="G44" s="48"/>
      <c r="H44" s="48"/>
      <c r="I44" s="48"/>
      <c r="J44" s="48"/>
      <c r="K44" s="48"/>
    </row>
    <row r="45" spans="1:11" ht="36" customHeight="1">
      <c r="A45" s="48"/>
      <c r="B45" s="48"/>
      <c r="C45" s="48"/>
      <c r="D45" s="48"/>
      <c r="E45" s="48"/>
      <c r="F45" s="48"/>
      <c r="G45" s="48"/>
      <c r="H45" s="48"/>
      <c r="I45" s="48"/>
      <c r="J45" s="48"/>
      <c r="K45" s="48"/>
    </row>
    <row r="46" spans="1:11" ht="36" customHeight="1">
      <c r="A46" s="48"/>
      <c r="B46" s="48"/>
      <c r="C46" s="48"/>
      <c r="D46" s="48"/>
      <c r="E46" s="48"/>
      <c r="F46" s="48"/>
      <c r="G46" s="48"/>
      <c r="H46" s="48"/>
      <c r="I46" s="48"/>
      <c r="J46" s="48"/>
      <c r="K46" s="48"/>
    </row>
    <row r="47" spans="1:11" ht="36" customHeight="1">
      <c r="A47" s="48"/>
      <c r="B47" s="48"/>
      <c r="C47" s="48"/>
      <c r="D47" s="48"/>
      <c r="E47" s="48"/>
      <c r="F47" s="48"/>
      <c r="G47" s="48"/>
      <c r="H47" s="48"/>
      <c r="I47" s="48"/>
      <c r="J47" s="48"/>
      <c r="K47" s="48"/>
    </row>
    <row r="48" spans="1:11" ht="36" customHeight="1">
      <c r="A48" s="48"/>
      <c r="B48" s="48"/>
      <c r="C48" s="48"/>
      <c r="D48" s="48"/>
      <c r="E48" s="48"/>
      <c r="F48" s="48"/>
      <c r="G48" s="48"/>
      <c r="H48" s="48"/>
      <c r="I48" s="48"/>
      <c r="J48" s="48"/>
      <c r="K48" s="48"/>
    </row>
    <row r="49" spans="1:11" ht="36" customHeight="1">
      <c r="A49" s="48"/>
      <c r="B49" s="48"/>
      <c r="C49" s="48"/>
      <c r="D49" s="48"/>
      <c r="E49" s="48"/>
      <c r="F49" s="48"/>
      <c r="G49" s="48"/>
      <c r="H49" s="48"/>
      <c r="I49" s="48"/>
      <c r="J49" s="48"/>
      <c r="K49" s="48"/>
    </row>
    <row r="50" spans="1:11" ht="36" customHeight="1">
      <c r="A50" s="48"/>
      <c r="B50" s="48"/>
      <c r="C50" s="48"/>
      <c r="D50" s="48"/>
      <c r="E50" s="48"/>
      <c r="F50" s="48"/>
      <c r="G50" s="48"/>
      <c r="H50" s="48"/>
      <c r="I50" s="48"/>
      <c r="J50" s="48"/>
      <c r="K50" s="48"/>
    </row>
    <row r="51" spans="1:11" ht="36" customHeight="1">
      <c r="A51" s="48"/>
      <c r="B51" s="48"/>
      <c r="C51" s="48"/>
      <c r="D51" s="48"/>
      <c r="E51" s="48"/>
      <c r="F51" s="48"/>
      <c r="G51" s="48"/>
      <c r="H51" s="48"/>
      <c r="I51" s="48"/>
      <c r="J51" s="48"/>
      <c r="K51" s="48"/>
    </row>
    <row r="52" spans="1:11" ht="36" customHeight="1">
      <c r="A52" s="48"/>
      <c r="B52" s="48"/>
      <c r="C52" s="48"/>
      <c r="D52" s="48"/>
      <c r="E52" s="48"/>
      <c r="F52" s="48"/>
      <c r="G52" s="48"/>
      <c r="H52" s="48"/>
      <c r="I52" s="48"/>
      <c r="J52" s="48"/>
      <c r="K52" s="48"/>
    </row>
    <row r="53" spans="1:11" ht="36" customHeight="1">
      <c r="A53" s="48"/>
      <c r="B53" s="48"/>
      <c r="C53" s="48"/>
      <c r="D53" s="48"/>
      <c r="E53" s="48"/>
      <c r="F53" s="48"/>
      <c r="G53" s="48"/>
      <c r="H53" s="48"/>
      <c r="I53" s="48"/>
      <c r="J53" s="48"/>
      <c r="K53" s="48"/>
    </row>
    <row r="54" spans="1:11" ht="36" customHeight="1">
      <c r="A54" s="48"/>
      <c r="B54" s="48"/>
      <c r="C54" s="48"/>
      <c r="D54" s="48"/>
      <c r="E54" s="48"/>
      <c r="F54" s="48"/>
      <c r="G54" s="48"/>
      <c r="H54" s="48"/>
      <c r="I54" s="48"/>
      <c r="J54" s="48"/>
      <c r="K54" s="48"/>
    </row>
    <row r="55" spans="1:11" ht="36" customHeight="1">
      <c r="A55" s="48"/>
      <c r="B55" s="48"/>
      <c r="C55" s="48"/>
      <c r="D55" s="48"/>
      <c r="E55" s="48"/>
      <c r="F55" s="48"/>
      <c r="G55" s="48"/>
      <c r="H55" s="48"/>
      <c r="I55" s="48"/>
      <c r="J55" s="48"/>
      <c r="K55" s="48"/>
    </row>
    <row r="56" spans="1:11" ht="36" customHeight="1">
      <c r="A56" s="48"/>
      <c r="B56" s="48"/>
      <c r="C56" s="48"/>
      <c r="D56" s="48"/>
      <c r="E56" s="48"/>
      <c r="F56" s="48"/>
      <c r="G56" s="48"/>
      <c r="H56" s="48"/>
      <c r="I56" s="48"/>
      <c r="J56" s="48"/>
      <c r="K56" s="48"/>
    </row>
    <row r="57" spans="1:11" ht="36" customHeight="1">
      <c r="A57" s="48"/>
      <c r="B57" s="48"/>
      <c r="C57" s="48"/>
      <c r="D57" s="48"/>
      <c r="E57" s="48"/>
      <c r="F57" s="48"/>
      <c r="G57" s="48"/>
      <c r="H57" s="48"/>
      <c r="I57" s="48"/>
      <c r="J57" s="48"/>
      <c r="K57" s="48"/>
    </row>
    <row r="58" spans="1:11" ht="36" customHeight="1">
      <c r="A58" s="48"/>
      <c r="B58" s="48"/>
      <c r="C58" s="48"/>
      <c r="D58" s="48"/>
      <c r="E58" s="48"/>
      <c r="F58" s="48"/>
      <c r="G58" s="48"/>
      <c r="H58" s="48"/>
      <c r="I58" s="48"/>
      <c r="J58" s="48"/>
      <c r="K58" s="48"/>
    </row>
    <row r="59" spans="1:11" ht="36" customHeight="1">
      <c r="A59" s="48"/>
      <c r="B59" s="48"/>
      <c r="C59" s="48"/>
      <c r="D59" s="48"/>
      <c r="E59" s="48"/>
      <c r="F59" s="48"/>
      <c r="G59" s="48"/>
      <c r="H59" s="48"/>
      <c r="I59" s="48"/>
      <c r="J59" s="48"/>
      <c r="K59" s="48"/>
    </row>
    <row r="60" spans="1:11" ht="36" customHeight="1">
      <c r="A60" s="48"/>
      <c r="B60" s="48"/>
      <c r="C60" s="48"/>
      <c r="D60" s="48"/>
      <c r="E60" s="48"/>
      <c r="F60" s="48"/>
      <c r="G60" s="48"/>
      <c r="H60" s="48"/>
      <c r="I60" s="48"/>
      <c r="J60" s="48"/>
      <c r="K60" s="48"/>
    </row>
    <row r="61" spans="1:11" ht="36" customHeight="1">
      <c r="A61" s="48"/>
      <c r="B61" s="48"/>
      <c r="C61" s="48"/>
      <c r="D61" s="48"/>
      <c r="E61" s="48"/>
      <c r="F61" s="48"/>
      <c r="G61" s="48"/>
      <c r="H61" s="48"/>
      <c r="I61" s="48"/>
      <c r="J61" s="48"/>
      <c r="K61" s="48"/>
    </row>
    <row r="62" spans="1:11" ht="36" customHeight="1">
      <c r="A62" s="48"/>
      <c r="B62" s="48"/>
      <c r="C62" s="48"/>
      <c r="D62" s="48"/>
      <c r="E62" s="48"/>
      <c r="F62" s="48"/>
      <c r="G62" s="48"/>
      <c r="H62" s="48"/>
      <c r="I62" s="48"/>
      <c r="J62" s="48"/>
      <c r="K62" s="48"/>
    </row>
    <row r="63" spans="1:11" ht="36" customHeight="1">
      <c r="A63" s="48"/>
      <c r="B63" s="48"/>
      <c r="C63" s="48"/>
      <c r="D63" s="48"/>
      <c r="E63" s="48"/>
      <c r="F63" s="48"/>
      <c r="G63" s="48"/>
      <c r="H63" s="48"/>
      <c r="I63" s="48"/>
      <c r="J63" s="48"/>
      <c r="K63" s="48"/>
    </row>
    <row r="64" spans="1:11" ht="36" customHeight="1">
      <c r="A64" s="48"/>
      <c r="B64" s="48"/>
      <c r="C64" s="48"/>
      <c r="D64" s="48"/>
      <c r="E64" s="48"/>
      <c r="F64" s="48"/>
      <c r="G64" s="48"/>
      <c r="H64" s="48"/>
      <c r="I64" s="48"/>
      <c r="J64" s="48"/>
      <c r="K64" s="48"/>
    </row>
    <row r="65" spans="1:11" ht="36" customHeight="1">
      <c r="A65" s="48"/>
      <c r="B65" s="48"/>
      <c r="C65" s="48"/>
      <c r="D65" s="48"/>
      <c r="E65" s="48"/>
      <c r="F65" s="48"/>
      <c r="G65" s="48"/>
      <c r="H65" s="48"/>
      <c r="I65" s="48"/>
      <c r="J65" s="48"/>
      <c r="K65" s="48"/>
    </row>
    <row r="66" spans="1:11" ht="36" customHeight="1">
      <c r="A66" s="48"/>
      <c r="B66" s="48"/>
      <c r="C66" s="48"/>
      <c r="D66" s="48"/>
      <c r="E66" s="48"/>
      <c r="F66" s="48"/>
      <c r="G66" s="48"/>
      <c r="H66" s="48"/>
      <c r="I66" s="48"/>
      <c r="J66" s="48"/>
      <c r="K66" s="48"/>
    </row>
    <row r="67" spans="1:11" ht="36" customHeight="1">
      <c r="A67" s="48"/>
      <c r="B67" s="48"/>
      <c r="C67" s="48"/>
      <c r="D67" s="48"/>
      <c r="E67" s="48"/>
      <c r="F67" s="48"/>
      <c r="G67" s="48"/>
      <c r="H67" s="48"/>
      <c r="I67" s="48"/>
      <c r="J67" s="48"/>
      <c r="K67" s="48"/>
    </row>
    <row r="68" spans="1:11" ht="36" customHeight="1">
      <c r="A68" s="48"/>
      <c r="B68" s="48"/>
      <c r="C68" s="48"/>
      <c r="D68" s="48"/>
      <c r="E68" s="48"/>
      <c r="F68" s="48"/>
      <c r="G68" s="48"/>
      <c r="H68" s="48"/>
      <c r="I68" s="48"/>
      <c r="J68" s="48"/>
      <c r="K68" s="48"/>
    </row>
    <row r="69" spans="1:11" ht="36" customHeight="1">
      <c r="A69" s="48"/>
      <c r="B69" s="48"/>
      <c r="C69" s="48"/>
      <c r="D69" s="48"/>
      <c r="E69" s="48"/>
      <c r="F69" s="48"/>
      <c r="G69" s="48"/>
      <c r="H69" s="48"/>
      <c r="I69" s="48"/>
      <c r="J69" s="48"/>
      <c r="K69" s="48"/>
    </row>
    <row r="70" spans="1:11" ht="36" customHeight="1">
      <c r="A70" s="48"/>
      <c r="B70" s="48"/>
      <c r="C70" s="48"/>
      <c r="D70" s="48"/>
      <c r="E70" s="48"/>
      <c r="F70" s="48"/>
      <c r="G70" s="48"/>
      <c r="H70" s="48"/>
      <c r="I70" s="48"/>
      <c r="J70" s="48"/>
      <c r="K70" s="48"/>
    </row>
    <row r="71" spans="1:11" ht="36" customHeight="1">
      <c r="A71" s="48"/>
      <c r="B71" s="48"/>
      <c r="C71" s="48"/>
      <c r="D71" s="48"/>
      <c r="E71" s="48"/>
      <c r="F71" s="48"/>
      <c r="G71" s="48"/>
      <c r="H71" s="48"/>
      <c r="I71" s="48"/>
      <c r="J71" s="48"/>
      <c r="K71" s="48"/>
    </row>
    <row r="72" spans="1:11" ht="36" customHeight="1">
      <c r="A72" s="48"/>
      <c r="B72" s="48"/>
      <c r="C72" s="48"/>
      <c r="D72" s="48"/>
      <c r="E72" s="48"/>
      <c r="F72" s="48"/>
      <c r="G72" s="48"/>
      <c r="H72" s="48"/>
      <c r="I72" s="48"/>
      <c r="J72" s="48"/>
      <c r="K72" s="48"/>
    </row>
    <row r="73" spans="1:11" ht="36" customHeight="1">
      <c r="A73" s="48"/>
      <c r="B73" s="48"/>
      <c r="C73" s="48"/>
      <c r="D73" s="48"/>
      <c r="E73" s="48"/>
      <c r="F73" s="48"/>
      <c r="G73" s="48"/>
      <c r="H73" s="48"/>
      <c r="I73" s="48"/>
      <c r="J73" s="48"/>
      <c r="K73" s="48"/>
    </row>
    <row r="74" spans="1:11" ht="36" customHeight="1">
      <c r="A74" s="48"/>
      <c r="B74" s="48"/>
      <c r="C74" s="48"/>
      <c r="D74" s="48"/>
      <c r="E74" s="48"/>
      <c r="F74" s="48"/>
      <c r="G74" s="48"/>
      <c r="H74" s="48"/>
      <c r="I74" s="48"/>
      <c r="J74" s="48"/>
      <c r="K74" s="48"/>
    </row>
    <row r="75" spans="1:11" ht="36" customHeight="1">
      <c r="A75" s="48"/>
      <c r="B75" s="48"/>
      <c r="C75" s="48"/>
      <c r="D75" s="48"/>
      <c r="E75" s="48"/>
      <c r="F75" s="48"/>
      <c r="G75" s="48"/>
      <c r="H75" s="48"/>
      <c r="I75" s="48"/>
      <c r="J75" s="48"/>
      <c r="K75" s="48"/>
    </row>
    <row r="76" spans="1:11" ht="36" customHeight="1">
      <c r="A76" s="48"/>
      <c r="B76" s="48"/>
      <c r="C76" s="48"/>
      <c r="D76" s="48"/>
      <c r="E76" s="48"/>
      <c r="F76" s="48"/>
      <c r="G76" s="48"/>
      <c r="H76" s="48"/>
      <c r="I76" s="48"/>
      <c r="J76" s="48"/>
      <c r="K76" s="48"/>
    </row>
    <row r="77" spans="1:11" ht="36" customHeight="1">
      <c r="A77" s="48"/>
      <c r="B77" s="48"/>
      <c r="C77" s="48"/>
      <c r="D77" s="48"/>
      <c r="E77" s="48"/>
      <c r="F77" s="48"/>
      <c r="G77" s="48"/>
      <c r="H77" s="48"/>
      <c r="I77" s="48"/>
      <c r="J77" s="48"/>
      <c r="K77" s="48"/>
    </row>
    <row r="78" spans="1:11" ht="36" customHeight="1">
      <c r="A78" s="48"/>
      <c r="B78" s="48"/>
      <c r="C78" s="48"/>
      <c r="D78" s="48"/>
      <c r="E78" s="48"/>
      <c r="F78" s="48"/>
      <c r="G78" s="48"/>
      <c r="H78" s="48"/>
      <c r="I78" s="48"/>
      <c r="J78" s="48"/>
      <c r="K78" s="48"/>
    </row>
    <row r="79" spans="1:11" ht="36" customHeight="1">
      <c r="A79" s="48"/>
      <c r="B79" s="48"/>
      <c r="C79" s="48"/>
      <c r="D79" s="48"/>
      <c r="E79" s="48"/>
      <c r="F79" s="48"/>
      <c r="G79" s="48"/>
      <c r="H79" s="48"/>
      <c r="I79" s="48"/>
      <c r="J79" s="48"/>
      <c r="K79" s="48"/>
    </row>
    <row r="80" spans="1:11" ht="36" customHeight="1">
      <c r="A80" s="48"/>
      <c r="B80" s="48"/>
      <c r="C80" s="48"/>
      <c r="D80" s="48"/>
      <c r="E80" s="48"/>
      <c r="F80" s="48"/>
      <c r="G80" s="48"/>
      <c r="H80" s="48"/>
      <c r="I80" s="48"/>
      <c r="J80" s="48"/>
      <c r="K80" s="48"/>
    </row>
    <row r="81" spans="1:11" ht="36" customHeight="1">
      <c r="A81" s="48"/>
      <c r="B81" s="48"/>
      <c r="C81" s="48"/>
      <c r="D81" s="48"/>
      <c r="E81" s="48"/>
      <c r="F81" s="48"/>
      <c r="G81" s="48"/>
      <c r="H81" s="48"/>
      <c r="I81" s="48"/>
      <c r="J81" s="48"/>
      <c r="K81" s="48"/>
    </row>
    <row r="82" spans="1:11" ht="36" customHeight="1">
      <c r="A82" s="48"/>
      <c r="B82" s="48"/>
      <c r="C82" s="48"/>
      <c r="D82" s="48"/>
      <c r="E82" s="48"/>
      <c r="F82" s="48"/>
      <c r="G82" s="48"/>
      <c r="H82" s="48"/>
      <c r="I82" s="48"/>
      <c r="J82" s="48"/>
      <c r="K82" s="48"/>
    </row>
    <row r="83" spans="1:11" ht="36" customHeight="1">
      <c r="A83" s="48"/>
      <c r="B83" s="48"/>
      <c r="C83" s="48"/>
      <c r="D83" s="48"/>
      <c r="E83" s="48"/>
      <c r="F83" s="48"/>
      <c r="G83" s="48"/>
      <c r="H83" s="48"/>
      <c r="I83" s="48"/>
      <c r="J83" s="48"/>
      <c r="K83" s="48"/>
    </row>
    <row r="84" spans="1:11" ht="36" customHeight="1">
      <c r="A84" s="48"/>
      <c r="B84" s="48"/>
      <c r="C84" s="48"/>
      <c r="D84" s="48"/>
      <c r="E84" s="48"/>
      <c r="F84" s="48"/>
      <c r="G84" s="48"/>
      <c r="H84" s="48"/>
      <c r="I84" s="48"/>
      <c r="J84" s="48"/>
      <c r="K84" s="48"/>
    </row>
    <row r="85" spans="1:11" ht="36" customHeight="1">
      <c r="A85" s="48"/>
      <c r="B85" s="48"/>
      <c r="C85" s="48"/>
      <c r="D85" s="48"/>
      <c r="E85" s="48"/>
      <c r="F85" s="48"/>
      <c r="G85" s="48"/>
      <c r="H85" s="48"/>
      <c r="I85" s="48"/>
      <c r="J85" s="48"/>
      <c r="K85" s="48"/>
    </row>
    <row r="86" spans="1:11" ht="36" customHeight="1">
      <c r="A86" s="48"/>
      <c r="B86" s="48"/>
      <c r="C86" s="48"/>
      <c r="D86" s="48"/>
      <c r="E86" s="48"/>
      <c r="F86" s="48"/>
      <c r="G86" s="48"/>
      <c r="H86" s="48"/>
      <c r="I86" s="48"/>
      <c r="J86" s="48"/>
      <c r="K86" s="48"/>
    </row>
    <row r="87" spans="1:11" ht="36" customHeight="1">
      <c r="A87" s="48"/>
      <c r="B87" s="48"/>
      <c r="C87" s="48"/>
      <c r="D87" s="48"/>
      <c r="E87" s="48"/>
      <c r="F87" s="48"/>
      <c r="G87" s="48"/>
      <c r="H87" s="48"/>
      <c r="I87" s="48"/>
      <c r="J87" s="48"/>
      <c r="K87" s="48"/>
    </row>
    <row r="88" spans="1:11" ht="36" customHeight="1">
      <c r="A88" s="48"/>
      <c r="B88" s="48"/>
      <c r="C88" s="48"/>
      <c r="D88" s="48"/>
      <c r="E88" s="48"/>
      <c r="F88" s="48"/>
      <c r="G88" s="48"/>
      <c r="H88" s="48"/>
      <c r="I88" s="48"/>
      <c r="J88" s="48"/>
      <c r="K88" s="48"/>
    </row>
    <row r="89" spans="1:11" ht="36" customHeight="1">
      <c r="A89" s="48"/>
      <c r="B89" s="48"/>
      <c r="C89" s="48"/>
      <c r="D89" s="48"/>
      <c r="E89" s="48"/>
      <c r="F89" s="48"/>
      <c r="G89" s="48"/>
      <c r="H89" s="48"/>
      <c r="I89" s="48"/>
      <c r="J89" s="48"/>
      <c r="K89" s="48"/>
    </row>
    <row r="90" spans="1:11" ht="36" customHeight="1">
      <c r="A90" s="48"/>
      <c r="B90" s="48"/>
      <c r="C90" s="48"/>
      <c r="D90" s="48"/>
      <c r="E90" s="48"/>
      <c r="F90" s="48"/>
      <c r="G90" s="48"/>
      <c r="H90" s="48"/>
      <c r="I90" s="48"/>
      <c r="J90" s="48"/>
      <c r="K90" s="48"/>
    </row>
    <row r="91" spans="1:11" ht="36" customHeight="1">
      <c r="A91" s="48"/>
      <c r="B91" s="48"/>
      <c r="C91" s="48"/>
      <c r="D91" s="48"/>
      <c r="E91" s="48"/>
      <c r="F91" s="48"/>
      <c r="G91" s="48"/>
      <c r="H91" s="48"/>
      <c r="I91" s="48"/>
      <c r="J91" s="48"/>
      <c r="K91" s="48"/>
    </row>
    <row r="92" spans="1:11" ht="36" customHeight="1">
      <c r="A92" s="48"/>
      <c r="B92" s="48"/>
      <c r="C92" s="48"/>
      <c r="D92" s="48"/>
      <c r="E92" s="48"/>
      <c r="F92" s="48"/>
      <c r="G92" s="48"/>
      <c r="H92" s="48"/>
      <c r="I92" s="48"/>
      <c r="J92" s="48"/>
      <c r="K92" s="48"/>
    </row>
    <row r="93" spans="1:11" ht="36" customHeight="1">
      <c r="A93" s="48"/>
      <c r="B93" s="48"/>
      <c r="C93" s="48"/>
      <c r="D93" s="48"/>
      <c r="E93" s="48"/>
      <c r="F93" s="48"/>
      <c r="G93" s="48"/>
      <c r="H93" s="48"/>
      <c r="I93" s="48"/>
      <c r="J93" s="48"/>
      <c r="K93" s="48"/>
    </row>
    <row r="94" spans="1:11" ht="36" customHeight="1">
      <c r="A94" s="48"/>
      <c r="B94" s="48"/>
      <c r="C94" s="48"/>
      <c r="D94" s="48"/>
      <c r="E94" s="48"/>
      <c r="F94" s="48"/>
      <c r="G94" s="48"/>
      <c r="H94" s="48"/>
      <c r="I94" s="48"/>
      <c r="J94" s="48"/>
      <c r="K94" s="48"/>
    </row>
    <row r="95" spans="1:11" ht="36" customHeight="1">
      <c r="A95" s="48"/>
      <c r="B95" s="48"/>
      <c r="C95" s="48"/>
      <c r="D95" s="48"/>
      <c r="E95" s="48"/>
      <c r="F95" s="48"/>
      <c r="G95" s="48"/>
      <c r="H95" s="48"/>
      <c r="I95" s="48"/>
      <c r="J95" s="48"/>
      <c r="K95" s="48"/>
    </row>
    <row r="96" spans="1:11" ht="36" customHeight="1">
      <c r="A96" s="48"/>
      <c r="B96" s="48"/>
      <c r="C96" s="48"/>
      <c r="D96" s="48"/>
      <c r="E96" s="48"/>
      <c r="F96" s="48"/>
      <c r="G96" s="48"/>
      <c r="H96" s="48"/>
      <c r="I96" s="48"/>
      <c r="J96" s="48"/>
      <c r="K96" s="48"/>
    </row>
    <row r="97" spans="1:11" ht="36" customHeight="1">
      <c r="A97" s="48"/>
      <c r="B97" s="48"/>
      <c r="C97" s="48"/>
      <c r="D97" s="48"/>
      <c r="E97" s="48"/>
      <c r="F97" s="48"/>
      <c r="G97" s="48"/>
      <c r="H97" s="48"/>
      <c r="I97" s="48"/>
      <c r="J97" s="48"/>
      <c r="K97" s="48"/>
    </row>
    <row r="98" spans="1:11" ht="36" customHeight="1">
      <c r="A98" s="48"/>
      <c r="B98" s="48"/>
      <c r="C98" s="48"/>
      <c r="D98" s="48"/>
      <c r="E98" s="48"/>
      <c r="F98" s="48"/>
      <c r="G98" s="48"/>
      <c r="H98" s="48"/>
      <c r="I98" s="48"/>
      <c r="J98" s="48"/>
      <c r="K98" s="48"/>
    </row>
    <row r="99" spans="1:11" ht="36" customHeight="1">
      <c r="A99" s="48"/>
      <c r="B99" s="48"/>
      <c r="C99" s="48"/>
      <c r="D99" s="48"/>
      <c r="E99" s="48"/>
      <c r="F99" s="48"/>
      <c r="G99" s="48"/>
      <c r="H99" s="48"/>
      <c r="I99" s="48"/>
      <c r="J99" s="48"/>
      <c r="K99" s="48"/>
    </row>
    <row r="100" spans="1:11" ht="36" customHeight="1">
      <c r="A100" s="48"/>
      <c r="B100" s="48"/>
      <c r="C100" s="48"/>
      <c r="D100" s="48"/>
      <c r="E100" s="48"/>
      <c r="F100" s="48"/>
      <c r="G100" s="48"/>
      <c r="H100" s="48"/>
      <c r="I100" s="48"/>
      <c r="J100" s="48"/>
      <c r="K100" s="48"/>
    </row>
    <row r="101" spans="1:11" ht="36" customHeight="1">
      <c r="A101" s="48"/>
      <c r="B101" s="48"/>
      <c r="C101" s="48"/>
      <c r="D101" s="48"/>
      <c r="E101" s="48"/>
      <c r="F101" s="48"/>
      <c r="G101" s="48"/>
      <c r="H101" s="48"/>
      <c r="I101" s="48"/>
      <c r="J101" s="48"/>
      <c r="K101" s="48"/>
    </row>
    <row r="102" spans="1:11" ht="36" customHeight="1">
      <c r="A102" s="48"/>
      <c r="B102" s="48"/>
      <c r="C102" s="48"/>
      <c r="D102" s="48"/>
      <c r="E102" s="48"/>
      <c r="F102" s="48"/>
      <c r="G102" s="48"/>
      <c r="H102" s="48"/>
      <c r="I102" s="48"/>
      <c r="J102" s="48"/>
      <c r="K102" s="48"/>
    </row>
    <row r="103" spans="1:11" ht="36" customHeight="1">
      <c r="A103" s="48"/>
      <c r="B103" s="48"/>
      <c r="C103" s="48"/>
      <c r="D103" s="48"/>
      <c r="E103" s="48"/>
      <c r="F103" s="48"/>
      <c r="G103" s="48"/>
      <c r="H103" s="48"/>
      <c r="I103" s="48"/>
      <c r="J103" s="48"/>
      <c r="K103" s="48"/>
    </row>
    <row r="104" spans="1:11" ht="36" customHeight="1">
      <c r="A104" s="48"/>
      <c r="B104" s="48"/>
      <c r="C104" s="48"/>
      <c r="D104" s="48"/>
      <c r="E104" s="48"/>
      <c r="F104" s="48"/>
      <c r="G104" s="48"/>
      <c r="H104" s="48"/>
      <c r="I104" s="48"/>
      <c r="J104" s="48"/>
      <c r="K104" s="48"/>
    </row>
    <row r="105" spans="1:11" ht="36" customHeight="1">
      <c r="A105" s="48"/>
      <c r="B105" s="48"/>
      <c r="C105" s="48"/>
      <c r="D105" s="48"/>
      <c r="E105" s="48"/>
      <c r="F105" s="48"/>
      <c r="G105" s="48"/>
      <c r="H105" s="48"/>
      <c r="I105" s="48"/>
      <c r="J105" s="48"/>
      <c r="K105" s="48"/>
    </row>
    <row r="106" spans="1:11" ht="36" customHeight="1">
      <c r="A106" s="48"/>
      <c r="B106" s="48"/>
      <c r="C106" s="48"/>
      <c r="D106" s="48"/>
      <c r="E106" s="48"/>
      <c r="F106" s="48"/>
      <c r="G106" s="48"/>
      <c r="H106" s="48"/>
      <c r="I106" s="48"/>
      <c r="J106" s="48"/>
      <c r="K106" s="48"/>
    </row>
    <row r="107" spans="1:11" ht="36" customHeight="1">
      <c r="A107" s="48"/>
      <c r="B107" s="48"/>
      <c r="C107" s="48"/>
      <c r="D107" s="48"/>
      <c r="E107" s="48"/>
      <c r="F107" s="48"/>
      <c r="G107" s="48"/>
      <c r="H107" s="48"/>
      <c r="I107" s="48"/>
      <c r="J107" s="48"/>
      <c r="K107" s="48"/>
    </row>
    <row r="108" spans="1:11" ht="36" customHeight="1">
      <c r="A108" s="48"/>
      <c r="B108" s="48"/>
      <c r="C108" s="48"/>
      <c r="D108" s="48"/>
      <c r="E108" s="48"/>
      <c r="F108" s="48"/>
      <c r="G108" s="48"/>
      <c r="H108" s="48"/>
      <c r="I108" s="48"/>
      <c r="J108" s="48"/>
      <c r="K108" s="48"/>
    </row>
    <row r="109" spans="1:11" ht="36" customHeight="1">
      <c r="A109" s="48"/>
      <c r="B109" s="48"/>
      <c r="C109" s="48"/>
      <c r="D109" s="48"/>
      <c r="E109" s="48"/>
      <c r="F109" s="48"/>
      <c r="G109" s="48"/>
      <c r="H109" s="48"/>
      <c r="I109" s="48"/>
      <c r="J109" s="48"/>
      <c r="K109" s="48"/>
    </row>
    <row r="110" spans="1:11" ht="36" customHeight="1">
      <c r="A110" s="48"/>
      <c r="B110" s="48"/>
      <c r="C110" s="48"/>
      <c r="D110" s="48"/>
      <c r="E110" s="48"/>
      <c r="F110" s="48"/>
      <c r="G110" s="48"/>
      <c r="H110" s="48"/>
      <c r="I110" s="48"/>
      <c r="J110" s="48"/>
      <c r="K110" s="48"/>
    </row>
    <row r="111" spans="1:11" ht="36" customHeight="1">
      <c r="A111" s="48"/>
      <c r="B111" s="48"/>
      <c r="C111" s="48"/>
      <c r="D111" s="48"/>
      <c r="E111" s="48"/>
      <c r="F111" s="48"/>
      <c r="G111" s="48"/>
      <c r="H111" s="48"/>
      <c r="I111" s="48"/>
      <c r="J111" s="48"/>
      <c r="K111" s="48"/>
    </row>
    <row r="112" spans="1:11" ht="36" customHeight="1">
      <c r="A112" s="48"/>
      <c r="B112" s="48"/>
      <c r="C112" s="48"/>
      <c r="D112" s="48"/>
      <c r="E112" s="48"/>
      <c r="F112" s="48"/>
      <c r="G112" s="48"/>
      <c r="H112" s="48"/>
      <c r="I112" s="48"/>
      <c r="J112" s="48"/>
      <c r="K112" s="48"/>
    </row>
    <row r="113" spans="1:11" ht="36" customHeight="1">
      <c r="A113" s="48"/>
      <c r="B113" s="48"/>
      <c r="C113" s="48"/>
      <c r="D113" s="48"/>
      <c r="E113" s="48"/>
      <c r="F113" s="48"/>
      <c r="G113" s="48"/>
      <c r="H113" s="48"/>
      <c r="I113" s="48"/>
      <c r="J113" s="48"/>
      <c r="K113" s="48"/>
    </row>
    <row r="114" spans="1:11" ht="36" customHeight="1">
      <c r="A114" s="48"/>
      <c r="B114" s="48"/>
      <c r="C114" s="48"/>
      <c r="D114" s="48"/>
      <c r="E114" s="48"/>
      <c r="F114" s="48"/>
      <c r="G114" s="48"/>
      <c r="H114" s="48"/>
      <c r="I114" s="48"/>
      <c r="J114" s="48"/>
      <c r="K114" s="48"/>
    </row>
    <row r="115" spans="1:11" ht="36" customHeight="1">
      <c r="A115" s="48"/>
      <c r="B115" s="48"/>
      <c r="C115" s="48"/>
      <c r="D115" s="48"/>
      <c r="E115" s="48"/>
      <c r="F115" s="48"/>
      <c r="G115" s="48"/>
      <c r="H115" s="48"/>
      <c r="I115" s="48"/>
      <c r="J115" s="48"/>
      <c r="K115" s="48"/>
    </row>
    <row r="116" spans="1:11" ht="36" customHeight="1">
      <c r="A116" s="48"/>
      <c r="B116" s="48"/>
      <c r="C116" s="48"/>
      <c r="D116" s="48"/>
      <c r="E116" s="48"/>
      <c r="F116" s="48"/>
      <c r="G116" s="48"/>
      <c r="H116" s="48"/>
      <c r="I116" s="48"/>
      <c r="J116" s="48"/>
      <c r="K116" s="48"/>
    </row>
    <row r="117" spans="1:11" ht="36" customHeight="1">
      <c r="A117" s="48"/>
      <c r="B117" s="48"/>
      <c r="C117" s="48"/>
      <c r="D117" s="48"/>
      <c r="E117" s="48"/>
      <c r="F117" s="48"/>
      <c r="G117" s="48"/>
      <c r="H117" s="48"/>
      <c r="I117" s="48"/>
      <c r="J117" s="48"/>
      <c r="K117" s="48"/>
    </row>
    <row r="118" spans="1:11" ht="36" customHeight="1">
      <c r="A118" s="48"/>
      <c r="B118" s="48"/>
      <c r="C118" s="48"/>
      <c r="D118" s="48"/>
      <c r="E118" s="48"/>
      <c r="F118" s="48"/>
      <c r="G118" s="48"/>
      <c r="H118" s="48"/>
      <c r="I118" s="48"/>
      <c r="J118" s="48"/>
      <c r="K118" s="48"/>
    </row>
    <row r="119" spans="1:11" ht="36" customHeight="1">
      <c r="A119" s="48"/>
      <c r="B119" s="48"/>
      <c r="C119" s="48"/>
      <c r="D119" s="48"/>
      <c r="E119" s="48"/>
      <c r="F119" s="48"/>
      <c r="G119" s="48"/>
      <c r="H119" s="48"/>
      <c r="I119" s="48"/>
      <c r="J119" s="48"/>
      <c r="K119" s="48"/>
    </row>
    <row r="120" spans="1:11" ht="36" customHeight="1">
      <c r="A120" s="48"/>
      <c r="B120" s="48"/>
      <c r="C120" s="48"/>
      <c r="D120" s="48"/>
      <c r="E120" s="48"/>
      <c r="F120" s="48"/>
      <c r="G120" s="48"/>
      <c r="H120" s="48"/>
      <c r="I120" s="48"/>
      <c r="J120" s="48"/>
      <c r="K120" s="48"/>
    </row>
    <row r="121" spans="1:11" ht="36" customHeight="1">
      <c r="A121" s="48"/>
      <c r="B121" s="48"/>
      <c r="C121" s="48"/>
      <c r="D121" s="48"/>
      <c r="E121" s="48"/>
      <c r="F121" s="48"/>
      <c r="G121" s="48"/>
      <c r="H121" s="48"/>
      <c r="I121" s="48"/>
      <c r="J121" s="48"/>
      <c r="K121" s="48"/>
    </row>
  </sheetData>
  <mergeCells count="3">
    <mergeCell ref="A3:K3"/>
    <mergeCell ref="A4:K4"/>
    <mergeCell ref="A1:K1"/>
  </mergeCells>
  <dataValidations count="2">
    <dataValidation type="list" sqref="I7:I201" xr:uid="{00000000-0002-0000-1D00-000000000000}">
      <formula1>"Not Started,In Progress,Complete,Gap,Hold,N/A"</formula1>
    </dataValidation>
    <dataValidation type="list" allowBlank="1" sqref="J8:J19" xr:uid="{00000000-0002-0000-1D00-000001000000}">
      <formula1>"Not Started,In Progress,Needs Review,Complete,Not Applicable,Blocked"</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2E75B6"/>
  </sheetPr>
  <dimension ref="A1:M121"/>
  <sheetViews>
    <sheetView showGridLines="0" topLeftCell="A2" workbookViewId="0"/>
  </sheetViews>
  <sheetFormatPr defaultRowHeight="15"/>
  <cols>
    <col min="1" max="1" width="24" customWidth="1"/>
    <col min="2" max="2" width="28" customWidth="1"/>
    <col min="3" max="4" width="24" customWidth="1"/>
    <col min="5" max="5" width="30" customWidth="1"/>
    <col min="6" max="6" width="24" customWidth="1"/>
    <col min="7" max="8" width="30" customWidth="1"/>
    <col min="9" max="9" width="28" customWidth="1"/>
    <col min="10" max="10" width="18" customWidth="1"/>
    <col min="11" max="11" width="34" customWidth="1"/>
    <col min="13" max="13" width="16" customWidth="1"/>
  </cols>
  <sheetData>
    <row r="1" spans="1:13" s="48" customFormat="1">
      <c r="A1" s="178" t="s">
        <v>2118</v>
      </c>
      <c r="B1" s="178"/>
      <c r="C1" s="178"/>
      <c r="D1" s="178"/>
      <c r="E1" s="178"/>
      <c r="F1" s="178"/>
      <c r="G1" s="178"/>
      <c r="H1" s="178"/>
      <c r="I1" s="178"/>
      <c r="J1" s="178"/>
      <c r="K1" s="178"/>
      <c r="L1" s="178"/>
      <c r="M1" s="178"/>
    </row>
    <row r="2" spans="1:13" ht="24" customHeight="1">
      <c r="A2" s="56" t="s">
        <v>0</v>
      </c>
      <c r="B2" s="56"/>
      <c r="C2" s="56"/>
      <c r="D2" s="56"/>
      <c r="E2" s="56"/>
      <c r="F2" s="56"/>
      <c r="G2" s="56"/>
      <c r="H2" s="56"/>
      <c r="I2" s="56"/>
      <c r="J2" s="56"/>
      <c r="K2" s="56"/>
      <c r="L2" s="48"/>
      <c r="M2" s="48"/>
    </row>
    <row r="3" spans="1:13" ht="30" customHeight="1">
      <c r="A3" s="168" t="s">
        <v>2237</v>
      </c>
      <c r="B3" s="193"/>
      <c r="C3" s="193"/>
      <c r="D3" s="193"/>
      <c r="E3" s="193"/>
      <c r="F3" s="193"/>
      <c r="G3" s="193"/>
      <c r="H3" s="193"/>
      <c r="I3" s="193"/>
      <c r="J3" s="193"/>
      <c r="K3" s="193"/>
      <c r="L3" s="193"/>
      <c r="M3" s="193"/>
    </row>
    <row r="4" spans="1:13" ht="30" customHeight="1">
      <c r="A4" s="167" t="s">
        <v>36</v>
      </c>
      <c r="B4" s="193"/>
      <c r="C4" s="193"/>
      <c r="D4" s="193"/>
      <c r="E4" s="193"/>
      <c r="F4" s="193"/>
      <c r="G4" s="193"/>
      <c r="H4" s="193"/>
      <c r="I4" s="193"/>
      <c r="J4" s="193"/>
      <c r="K4" s="193"/>
      <c r="L4" s="193"/>
      <c r="M4" s="193"/>
    </row>
    <row r="5" spans="1:13" ht="36" customHeight="1">
      <c r="A5" s="46"/>
      <c r="B5" s="46"/>
      <c r="C5" s="46"/>
      <c r="D5" s="46"/>
      <c r="E5" s="46"/>
      <c r="F5" s="46"/>
      <c r="G5" s="46"/>
      <c r="H5" s="46"/>
      <c r="I5" s="46"/>
      <c r="J5" s="46"/>
      <c r="K5" s="46"/>
      <c r="L5" s="48"/>
      <c r="M5" s="48"/>
    </row>
    <row r="6" spans="1:13" ht="21.95" customHeight="1">
      <c r="A6" s="57" t="s">
        <v>2238</v>
      </c>
      <c r="B6" s="57"/>
      <c r="C6" s="57"/>
      <c r="D6" s="57"/>
      <c r="E6" s="57"/>
      <c r="F6" s="57"/>
      <c r="G6" s="57"/>
      <c r="H6" s="57"/>
      <c r="I6" s="57"/>
      <c r="J6" s="57"/>
      <c r="K6" s="57"/>
      <c r="L6" s="48"/>
      <c r="M6" s="48"/>
    </row>
    <row r="7" spans="1:13" ht="33.950000000000003" customHeight="1">
      <c r="A7" s="36" t="s">
        <v>2239</v>
      </c>
      <c r="B7" s="36" t="s">
        <v>2240</v>
      </c>
      <c r="C7" s="36" t="s">
        <v>2241</v>
      </c>
      <c r="D7" s="36" t="s">
        <v>2242</v>
      </c>
      <c r="E7" s="36" t="s">
        <v>2243</v>
      </c>
      <c r="F7" s="36" t="s">
        <v>1567</v>
      </c>
      <c r="G7" s="36" t="s">
        <v>2244</v>
      </c>
      <c r="H7" s="36" t="s">
        <v>2245</v>
      </c>
      <c r="I7" s="36" t="s">
        <v>2246</v>
      </c>
      <c r="J7" s="36" t="s">
        <v>145</v>
      </c>
      <c r="K7" s="36" t="s">
        <v>70</v>
      </c>
      <c r="L7" s="48"/>
      <c r="M7" s="48"/>
    </row>
    <row r="8" spans="1:13" ht="86.1" customHeight="1">
      <c r="A8" s="37"/>
      <c r="B8" s="37"/>
      <c r="C8" s="37"/>
      <c r="D8" s="37"/>
      <c r="E8" s="37"/>
      <c r="F8" s="37"/>
      <c r="G8" s="37"/>
      <c r="H8" s="37"/>
      <c r="I8" s="37"/>
      <c r="J8" s="37" t="s">
        <v>152</v>
      </c>
      <c r="K8" s="37"/>
      <c r="L8" s="48"/>
      <c r="M8" s="48"/>
    </row>
    <row r="9" spans="1:13" ht="86.1" customHeight="1">
      <c r="A9" s="37"/>
      <c r="B9" s="37"/>
      <c r="C9" s="37"/>
      <c r="D9" s="37"/>
      <c r="E9" s="37"/>
      <c r="F9" s="37"/>
      <c r="G9" s="37"/>
      <c r="H9" s="37"/>
      <c r="I9" s="37"/>
      <c r="J9" s="37" t="s">
        <v>152</v>
      </c>
      <c r="K9" s="37"/>
      <c r="L9" s="48"/>
      <c r="M9" s="48"/>
    </row>
    <row r="10" spans="1:13" ht="86.1" customHeight="1">
      <c r="A10" s="37"/>
      <c r="B10" s="37"/>
      <c r="C10" s="37"/>
      <c r="D10" s="37"/>
      <c r="E10" s="37"/>
      <c r="F10" s="37"/>
      <c r="G10" s="37"/>
      <c r="H10" s="37"/>
      <c r="I10" s="37"/>
      <c r="J10" s="37" t="s">
        <v>152</v>
      </c>
      <c r="K10" s="37"/>
      <c r="L10" s="48"/>
      <c r="M10" s="48"/>
    </row>
    <row r="11" spans="1:13" ht="86.1" customHeight="1">
      <c r="A11" s="37"/>
      <c r="B11" s="37"/>
      <c r="C11" s="37"/>
      <c r="D11" s="37"/>
      <c r="E11" s="37"/>
      <c r="F11" s="37"/>
      <c r="G11" s="37"/>
      <c r="H11" s="37"/>
      <c r="I11" s="37"/>
      <c r="J11" s="37" t="s">
        <v>152</v>
      </c>
      <c r="K11" s="37"/>
      <c r="L11" s="48"/>
      <c r="M11" s="48"/>
    </row>
    <row r="12" spans="1:13" ht="86.1" customHeight="1">
      <c r="A12" s="37"/>
      <c r="B12" s="37"/>
      <c r="C12" s="37"/>
      <c r="D12" s="37"/>
      <c r="E12" s="37"/>
      <c r="F12" s="37"/>
      <c r="G12" s="37"/>
      <c r="H12" s="37"/>
      <c r="I12" s="37"/>
      <c r="J12" s="37" t="s">
        <v>152</v>
      </c>
      <c r="K12" s="37"/>
      <c r="L12" s="48"/>
      <c r="M12" s="48"/>
    </row>
    <row r="13" spans="1:13" ht="86.1" customHeight="1">
      <c r="A13" s="37"/>
      <c r="B13" s="37"/>
      <c r="C13" s="37"/>
      <c r="D13" s="37"/>
      <c r="E13" s="37"/>
      <c r="F13" s="37"/>
      <c r="G13" s="37"/>
      <c r="H13" s="37"/>
      <c r="I13" s="37"/>
      <c r="J13" s="37" t="s">
        <v>152</v>
      </c>
      <c r="K13" s="37"/>
      <c r="L13" s="48"/>
      <c r="M13" s="48"/>
    </row>
    <row r="14" spans="1:13" ht="36" customHeight="1">
      <c r="A14" s="37"/>
      <c r="B14" s="37"/>
      <c r="C14" s="37"/>
      <c r="D14" s="37"/>
      <c r="E14" s="37"/>
      <c r="F14" s="37"/>
      <c r="G14" s="37"/>
      <c r="H14" s="37"/>
      <c r="I14" s="37"/>
      <c r="J14" s="37" t="s">
        <v>152</v>
      </c>
      <c r="K14" s="37"/>
      <c r="L14" s="48"/>
      <c r="M14" s="48"/>
    </row>
    <row r="15" spans="1:13" ht="36" customHeight="1">
      <c r="A15" s="37"/>
      <c r="B15" s="37"/>
      <c r="C15" s="37"/>
      <c r="D15" s="37"/>
      <c r="E15" s="37"/>
      <c r="F15" s="37"/>
      <c r="G15" s="37"/>
      <c r="H15" s="37"/>
      <c r="I15" s="37"/>
      <c r="J15" s="37" t="s">
        <v>152</v>
      </c>
      <c r="K15" s="37"/>
      <c r="L15" s="48"/>
      <c r="M15" s="48"/>
    </row>
    <row r="16" spans="1:13" ht="36" customHeight="1">
      <c r="A16" s="37"/>
      <c r="B16" s="37"/>
      <c r="C16" s="37"/>
      <c r="D16" s="37"/>
      <c r="E16" s="37"/>
      <c r="F16" s="37"/>
      <c r="G16" s="37"/>
      <c r="H16" s="37"/>
      <c r="I16" s="37"/>
      <c r="J16" s="37" t="s">
        <v>152</v>
      </c>
      <c r="K16" s="37"/>
      <c r="L16" s="48"/>
      <c r="M16" s="48"/>
    </row>
    <row r="17" spans="1:13" ht="36" customHeight="1">
      <c r="A17" s="37"/>
      <c r="B17" s="37"/>
      <c r="C17" s="37"/>
      <c r="D17" s="37"/>
      <c r="E17" s="37"/>
      <c r="F17" s="37"/>
      <c r="G17" s="37"/>
      <c r="H17" s="37"/>
      <c r="I17" s="37"/>
      <c r="J17" s="37" t="s">
        <v>152</v>
      </c>
      <c r="K17" s="37"/>
      <c r="L17" s="48"/>
      <c r="M17" s="48"/>
    </row>
    <row r="18" spans="1:13" ht="36" customHeight="1">
      <c r="A18" s="37"/>
      <c r="B18" s="37"/>
      <c r="C18" s="37"/>
      <c r="D18" s="37"/>
      <c r="E18" s="37"/>
      <c r="F18" s="37"/>
      <c r="G18" s="37"/>
      <c r="H18" s="37"/>
      <c r="I18" s="37"/>
      <c r="J18" s="37" t="s">
        <v>152</v>
      </c>
      <c r="K18" s="37"/>
      <c r="L18" s="48"/>
      <c r="M18" s="48"/>
    </row>
    <row r="19" spans="1:13" ht="36" customHeight="1">
      <c r="A19" s="37"/>
      <c r="B19" s="37"/>
      <c r="C19" s="37"/>
      <c r="D19" s="37"/>
      <c r="E19" s="37"/>
      <c r="F19" s="37"/>
      <c r="G19" s="37"/>
      <c r="H19" s="37"/>
      <c r="I19" s="37"/>
      <c r="J19" s="37" t="s">
        <v>152</v>
      </c>
      <c r="K19" s="37"/>
      <c r="L19" s="48"/>
      <c r="M19" s="48"/>
    </row>
    <row r="20" spans="1:13" ht="36" customHeight="1">
      <c r="A20" s="46"/>
      <c r="B20" s="46"/>
      <c r="C20" s="46"/>
      <c r="D20" s="46"/>
      <c r="E20" s="46"/>
      <c r="F20" s="46"/>
      <c r="G20" s="46"/>
      <c r="H20" s="46"/>
      <c r="I20" s="46"/>
      <c r="J20" s="46"/>
      <c r="K20" s="46"/>
      <c r="L20" s="48"/>
      <c r="M20" s="48"/>
    </row>
    <row r="21" spans="1:13" ht="36" customHeight="1">
      <c r="A21" s="48"/>
      <c r="B21" s="48"/>
      <c r="C21" s="48"/>
      <c r="D21" s="48"/>
      <c r="E21" s="48"/>
      <c r="F21" s="48"/>
      <c r="G21" s="48"/>
      <c r="H21" s="48"/>
      <c r="I21" s="48"/>
      <c r="J21" s="48"/>
      <c r="K21" s="48"/>
      <c r="L21" s="48"/>
      <c r="M21" s="48"/>
    </row>
    <row r="22" spans="1:13" ht="36" customHeight="1">
      <c r="A22" s="48"/>
      <c r="B22" s="48"/>
      <c r="C22" s="48"/>
      <c r="D22" s="48"/>
      <c r="E22" s="48"/>
      <c r="F22" s="48"/>
      <c r="G22" s="48"/>
      <c r="H22" s="48"/>
      <c r="I22" s="48"/>
      <c r="J22" s="48"/>
      <c r="K22" s="48"/>
      <c r="L22" s="48"/>
      <c r="M22" s="48"/>
    </row>
    <row r="23" spans="1:13" ht="36" customHeight="1">
      <c r="A23" s="48"/>
      <c r="B23" s="48"/>
      <c r="C23" s="48"/>
      <c r="D23" s="48"/>
      <c r="E23" s="48"/>
      <c r="F23" s="48"/>
      <c r="G23" s="48"/>
      <c r="H23" s="48"/>
      <c r="I23" s="48"/>
      <c r="J23" s="48"/>
      <c r="K23" s="48"/>
      <c r="L23" s="48"/>
      <c r="M23" s="48"/>
    </row>
    <row r="24" spans="1:13" ht="36" customHeight="1">
      <c r="A24" s="48"/>
      <c r="B24" s="48"/>
      <c r="C24" s="48"/>
      <c r="D24" s="48"/>
      <c r="E24" s="48"/>
      <c r="F24" s="48"/>
      <c r="G24" s="48"/>
      <c r="H24" s="48"/>
      <c r="I24" s="48"/>
      <c r="J24" s="48"/>
      <c r="K24" s="48"/>
      <c r="L24" s="48"/>
      <c r="M24" s="48"/>
    </row>
    <row r="25" spans="1:13" ht="36" customHeight="1">
      <c r="A25" s="48"/>
      <c r="B25" s="48"/>
      <c r="C25" s="48"/>
      <c r="D25" s="48"/>
      <c r="E25" s="48"/>
      <c r="F25" s="48"/>
      <c r="G25" s="48"/>
      <c r="H25" s="48"/>
      <c r="I25" s="48"/>
      <c r="J25" s="48"/>
      <c r="K25" s="48"/>
      <c r="L25" s="48"/>
      <c r="M25" s="48"/>
    </row>
    <row r="26" spans="1:13" ht="36" customHeight="1">
      <c r="A26" s="48"/>
      <c r="B26" s="48"/>
      <c r="C26" s="48"/>
      <c r="D26" s="48"/>
      <c r="E26" s="48"/>
      <c r="F26" s="48"/>
      <c r="G26" s="48"/>
      <c r="H26" s="48"/>
      <c r="I26" s="48"/>
      <c r="J26" s="48"/>
      <c r="K26" s="48"/>
      <c r="L26" s="48"/>
      <c r="M26" s="48"/>
    </row>
    <row r="27" spans="1:13" ht="36" customHeight="1">
      <c r="A27" s="48"/>
      <c r="B27" s="48"/>
      <c r="C27" s="48"/>
      <c r="D27" s="48"/>
      <c r="E27" s="48"/>
      <c r="F27" s="48"/>
      <c r="G27" s="48"/>
      <c r="H27" s="48"/>
      <c r="I27" s="48"/>
      <c r="J27" s="48"/>
      <c r="K27" s="48"/>
      <c r="L27" s="48"/>
      <c r="M27" s="48"/>
    </row>
    <row r="28" spans="1:13" ht="36" customHeight="1">
      <c r="A28" s="48"/>
      <c r="B28" s="48"/>
      <c r="C28" s="48"/>
      <c r="D28" s="48"/>
      <c r="E28" s="48"/>
      <c r="F28" s="48"/>
      <c r="G28" s="48"/>
      <c r="H28" s="48"/>
      <c r="I28" s="48"/>
      <c r="J28" s="48"/>
      <c r="K28" s="48"/>
      <c r="L28" s="48"/>
      <c r="M28" s="48"/>
    </row>
    <row r="29" spans="1:13" ht="36" customHeight="1">
      <c r="A29" s="48"/>
      <c r="B29" s="48"/>
      <c r="C29" s="48"/>
      <c r="D29" s="48"/>
      <c r="E29" s="48"/>
      <c r="F29" s="48"/>
      <c r="G29" s="48"/>
      <c r="H29" s="48"/>
      <c r="I29" s="48"/>
      <c r="J29" s="48"/>
      <c r="K29" s="48"/>
      <c r="L29" s="48"/>
      <c r="M29" s="48"/>
    </row>
    <row r="30" spans="1:13" ht="36" customHeight="1">
      <c r="A30" s="48"/>
      <c r="B30" s="48"/>
      <c r="C30" s="48"/>
      <c r="D30" s="48"/>
      <c r="E30" s="48"/>
      <c r="F30" s="48"/>
      <c r="G30" s="48"/>
      <c r="H30" s="48"/>
      <c r="I30" s="48"/>
      <c r="J30" s="48"/>
      <c r="K30" s="48"/>
      <c r="L30" s="48"/>
      <c r="M30" s="48"/>
    </row>
    <row r="31" spans="1:13" ht="36" customHeight="1">
      <c r="A31" s="48"/>
      <c r="B31" s="48"/>
      <c r="C31" s="48"/>
      <c r="D31" s="48"/>
      <c r="E31" s="48"/>
      <c r="F31" s="48"/>
      <c r="G31" s="48"/>
      <c r="H31" s="48"/>
      <c r="I31" s="48"/>
      <c r="J31" s="48"/>
      <c r="K31" s="48"/>
      <c r="L31" s="48"/>
      <c r="M31" s="48"/>
    </row>
    <row r="32" spans="1:13" ht="36" customHeight="1">
      <c r="A32" s="48"/>
      <c r="B32" s="48"/>
      <c r="C32" s="48"/>
      <c r="D32" s="48"/>
      <c r="E32" s="48"/>
      <c r="F32" s="48"/>
      <c r="G32" s="48"/>
      <c r="H32" s="48"/>
      <c r="I32" s="48"/>
      <c r="J32" s="48"/>
      <c r="K32" s="48"/>
      <c r="L32" s="48"/>
      <c r="M32" s="48"/>
    </row>
    <row r="33" spans="1:13" ht="36" customHeight="1">
      <c r="A33" s="48"/>
      <c r="B33" s="48"/>
      <c r="C33" s="48"/>
      <c r="D33" s="48"/>
      <c r="E33" s="48"/>
      <c r="F33" s="48"/>
      <c r="G33" s="48"/>
      <c r="H33" s="48"/>
      <c r="I33" s="48"/>
      <c r="J33" s="48"/>
      <c r="K33" s="48"/>
      <c r="L33" s="48"/>
      <c r="M33" s="48"/>
    </row>
    <row r="34" spans="1:13" ht="36" customHeight="1">
      <c r="A34" s="48"/>
      <c r="B34" s="48"/>
      <c r="C34" s="48"/>
      <c r="D34" s="48"/>
      <c r="E34" s="48"/>
      <c r="F34" s="48"/>
      <c r="G34" s="48"/>
      <c r="H34" s="48"/>
      <c r="I34" s="48"/>
      <c r="J34" s="48"/>
      <c r="K34" s="48"/>
      <c r="L34" s="48"/>
      <c r="M34" s="48"/>
    </row>
    <row r="35" spans="1:13" ht="36" customHeight="1">
      <c r="A35" s="48"/>
      <c r="B35" s="48"/>
      <c r="C35" s="48"/>
      <c r="D35" s="48"/>
      <c r="E35" s="48"/>
      <c r="F35" s="48"/>
      <c r="G35" s="48"/>
      <c r="H35" s="48"/>
      <c r="I35" s="48"/>
      <c r="J35" s="48"/>
      <c r="K35" s="48"/>
      <c r="L35" s="48"/>
      <c r="M35" s="48"/>
    </row>
    <row r="36" spans="1:13" ht="36" customHeight="1">
      <c r="A36" s="48"/>
      <c r="B36" s="48"/>
      <c r="C36" s="48"/>
      <c r="D36" s="48"/>
      <c r="E36" s="48"/>
      <c r="F36" s="48"/>
      <c r="G36" s="48"/>
      <c r="H36" s="48"/>
      <c r="I36" s="48"/>
      <c r="J36" s="48"/>
      <c r="K36" s="48"/>
      <c r="L36" s="48"/>
      <c r="M36" s="48"/>
    </row>
    <row r="37" spans="1:13" ht="36" customHeight="1">
      <c r="A37" s="48"/>
      <c r="B37" s="48"/>
      <c r="C37" s="48"/>
      <c r="D37" s="48"/>
      <c r="E37" s="48"/>
      <c r="F37" s="48"/>
      <c r="G37" s="48"/>
      <c r="H37" s="48"/>
      <c r="I37" s="48"/>
      <c r="J37" s="48"/>
      <c r="K37" s="48"/>
      <c r="L37" s="48"/>
      <c r="M37" s="48"/>
    </row>
    <row r="38" spans="1:13" ht="36" customHeight="1">
      <c r="A38" s="48"/>
      <c r="B38" s="48"/>
      <c r="C38" s="48"/>
      <c r="D38" s="48"/>
      <c r="E38" s="48"/>
      <c r="F38" s="48"/>
      <c r="G38" s="48"/>
      <c r="H38" s="48"/>
      <c r="I38" s="48"/>
      <c r="J38" s="48"/>
      <c r="K38" s="48"/>
      <c r="L38" s="48"/>
      <c r="M38" s="48"/>
    </row>
    <row r="39" spans="1:13" ht="36" customHeight="1">
      <c r="A39" s="48"/>
      <c r="B39" s="48"/>
      <c r="C39" s="48"/>
      <c r="D39" s="48"/>
      <c r="E39" s="48"/>
      <c r="F39" s="48"/>
      <c r="G39" s="48"/>
      <c r="H39" s="48"/>
      <c r="I39" s="48"/>
      <c r="J39" s="48"/>
      <c r="K39" s="48"/>
      <c r="L39" s="48"/>
      <c r="M39" s="48"/>
    </row>
    <row r="40" spans="1:13" ht="36" customHeight="1">
      <c r="A40" s="48"/>
      <c r="B40" s="48"/>
      <c r="C40" s="48"/>
      <c r="D40" s="48"/>
      <c r="E40" s="48"/>
      <c r="F40" s="48"/>
      <c r="G40" s="48"/>
      <c r="H40" s="48"/>
      <c r="I40" s="48"/>
      <c r="J40" s="48"/>
      <c r="K40" s="48"/>
      <c r="L40" s="48"/>
      <c r="M40" s="48"/>
    </row>
    <row r="41" spans="1:13" ht="36" customHeight="1">
      <c r="A41" s="48"/>
      <c r="B41" s="48"/>
      <c r="C41" s="48"/>
      <c r="D41" s="48"/>
      <c r="E41" s="48"/>
      <c r="F41" s="48"/>
      <c r="G41" s="48"/>
      <c r="H41" s="48"/>
      <c r="I41" s="48"/>
      <c r="J41" s="48"/>
      <c r="K41" s="48"/>
      <c r="L41" s="48"/>
      <c r="M41" s="48"/>
    </row>
    <row r="42" spans="1:13" ht="36" customHeight="1">
      <c r="A42" s="48"/>
      <c r="B42" s="48"/>
      <c r="C42" s="48"/>
      <c r="D42" s="48"/>
      <c r="E42" s="48"/>
      <c r="F42" s="48"/>
      <c r="G42" s="48"/>
      <c r="H42" s="48"/>
      <c r="I42" s="48"/>
      <c r="J42" s="48"/>
      <c r="K42" s="48"/>
      <c r="L42" s="48"/>
      <c r="M42" s="48"/>
    </row>
    <row r="43" spans="1:13" ht="36" customHeight="1">
      <c r="A43" s="48"/>
      <c r="B43" s="48"/>
      <c r="C43" s="48"/>
      <c r="D43" s="48"/>
      <c r="E43" s="48"/>
      <c r="F43" s="48"/>
      <c r="G43" s="48"/>
      <c r="H43" s="48"/>
      <c r="I43" s="48"/>
      <c r="J43" s="48"/>
      <c r="K43" s="48"/>
      <c r="L43" s="48"/>
      <c r="M43" s="48"/>
    </row>
    <row r="44" spans="1:13" ht="36" customHeight="1">
      <c r="A44" s="48"/>
      <c r="B44" s="48"/>
      <c r="C44" s="48"/>
      <c r="D44" s="48"/>
      <c r="E44" s="48"/>
      <c r="F44" s="48"/>
      <c r="G44" s="48"/>
      <c r="H44" s="48"/>
      <c r="I44" s="48"/>
      <c r="J44" s="48"/>
      <c r="K44" s="48"/>
      <c r="L44" s="48"/>
      <c r="M44" s="48"/>
    </row>
    <row r="45" spans="1:13" ht="36" customHeight="1">
      <c r="A45" s="48"/>
      <c r="B45" s="48"/>
      <c r="C45" s="48"/>
      <c r="D45" s="48"/>
      <c r="E45" s="48"/>
      <c r="F45" s="48"/>
      <c r="G45" s="48"/>
      <c r="H45" s="48"/>
      <c r="I45" s="48"/>
      <c r="J45" s="48"/>
      <c r="K45" s="48"/>
      <c r="L45" s="48"/>
      <c r="M45" s="48"/>
    </row>
    <row r="46" spans="1:13" ht="36" customHeight="1">
      <c r="A46" s="48"/>
      <c r="B46" s="48"/>
      <c r="C46" s="48"/>
      <c r="D46" s="48"/>
      <c r="E46" s="48"/>
      <c r="F46" s="48"/>
      <c r="G46" s="48"/>
      <c r="H46" s="48"/>
      <c r="I46" s="48"/>
      <c r="J46" s="48"/>
      <c r="K46" s="48"/>
      <c r="L46" s="48"/>
      <c r="M46" s="48"/>
    </row>
    <row r="47" spans="1:13" ht="36" customHeight="1">
      <c r="A47" s="48"/>
      <c r="B47" s="48"/>
      <c r="C47" s="48"/>
      <c r="D47" s="48"/>
      <c r="E47" s="48"/>
      <c r="F47" s="48"/>
      <c r="G47" s="48"/>
      <c r="H47" s="48"/>
      <c r="I47" s="48"/>
      <c r="J47" s="48"/>
      <c r="K47" s="48"/>
      <c r="L47" s="48"/>
      <c r="M47" s="48"/>
    </row>
    <row r="48" spans="1:13" ht="36" customHeight="1">
      <c r="A48" s="48"/>
      <c r="B48" s="48"/>
      <c r="C48" s="48"/>
      <c r="D48" s="48"/>
      <c r="E48" s="48"/>
      <c r="F48" s="48"/>
      <c r="G48" s="48"/>
      <c r="H48" s="48"/>
      <c r="I48" s="48"/>
      <c r="J48" s="48"/>
      <c r="K48" s="48"/>
      <c r="L48" s="48"/>
      <c r="M48" s="48"/>
    </row>
    <row r="49" spans="1:13" ht="36" customHeight="1">
      <c r="A49" s="48"/>
      <c r="B49" s="48"/>
      <c r="C49" s="48"/>
      <c r="D49" s="48"/>
      <c r="E49" s="48"/>
      <c r="F49" s="48"/>
      <c r="G49" s="48"/>
      <c r="H49" s="48"/>
      <c r="I49" s="48"/>
      <c r="J49" s="48"/>
      <c r="K49" s="48"/>
      <c r="L49" s="48"/>
      <c r="M49" s="48"/>
    </row>
    <row r="50" spans="1:13" ht="36" customHeight="1">
      <c r="A50" s="48"/>
      <c r="B50" s="48"/>
      <c r="C50" s="48"/>
      <c r="D50" s="48"/>
      <c r="E50" s="48"/>
      <c r="F50" s="48"/>
      <c r="G50" s="48"/>
      <c r="H50" s="48"/>
      <c r="I50" s="48"/>
      <c r="J50" s="48"/>
      <c r="K50" s="48"/>
      <c r="L50" s="48"/>
      <c r="M50" s="48"/>
    </row>
    <row r="51" spans="1:13" ht="36" customHeight="1">
      <c r="A51" s="48"/>
      <c r="B51" s="48"/>
      <c r="C51" s="48"/>
      <c r="D51" s="48"/>
      <c r="E51" s="48"/>
      <c r="F51" s="48"/>
      <c r="G51" s="48"/>
      <c r="H51" s="48"/>
      <c r="I51" s="48"/>
      <c r="J51" s="48"/>
      <c r="K51" s="48"/>
      <c r="L51" s="48"/>
      <c r="M51" s="48"/>
    </row>
    <row r="52" spans="1:13" ht="36" customHeight="1">
      <c r="A52" s="48"/>
      <c r="B52" s="48"/>
      <c r="C52" s="48"/>
      <c r="D52" s="48"/>
      <c r="E52" s="48"/>
      <c r="F52" s="48"/>
      <c r="G52" s="48"/>
      <c r="H52" s="48"/>
      <c r="I52" s="48"/>
      <c r="J52" s="48"/>
      <c r="K52" s="48"/>
      <c r="L52" s="48"/>
      <c r="M52" s="48"/>
    </row>
    <row r="53" spans="1:13" ht="36" customHeight="1">
      <c r="A53" s="48"/>
      <c r="B53" s="48"/>
      <c r="C53" s="48"/>
      <c r="D53" s="48"/>
      <c r="E53" s="48"/>
      <c r="F53" s="48"/>
      <c r="G53" s="48"/>
      <c r="H53" s="48"/>
      <c r="I53" s="48"/>
      <c r="J53" s="48"/>
      <c r="K53" s="48"/>
      <c r="L53" s="48"/>
      <c r="M53" s="48"/>
    </row>
    <row r="54" spans="1:13" ht="36" customHeight="1">
      <c r="A54" s="48"/>
      <c r="B54" s="48"/>
      <c r="C54" s="48"/>
      <c r="D54" s="48"/>
      <c r="E54" s="48"/>
      <c r="F54" s="48"/>
      <c r="G54" s="48"/>
      <c r="H54" s="48"/>
      <c r="I54" s="48"/>
      <c r="J54" s="48"/>
      <c r="K54" s="48"/>
      <c r="L54" s="48"/>
      <c r="M54" s="48"/>
    </row>
    <row r="55" spans="1:13" ht="36" customHeight="1">
      <c r="A55" s="48"/>
      <c r="B55" s="48"/>
      <c r="C55" s="48"/>
      <c r="D55" s="48"/>
      <c r="E55" s="48"/>
      <c r="F55" s="48"/>
      <c r="G55" s="48"/>
      <c r="H55" s="48"/>
      <c r="I55" s="48"/>
      <c r="J55" s="48"/>
      <c r="K55" s="48"/>
      <c r="L55" s="48"/>
      <c r="M55" s="48"/>
    </row>
    <row r="56" spans="1:13" ht="36" customHeight="1">
      <c r="A56" s="48"/>
      <c r="B56" s="48"/>
      <c r="C56" s="48"/>
      <c r="D56" s="48"/>
      <c r="E56" s="48"/>
      <c r="F56" s="48"/>
      <c r="G56" s="48"/>
      <c r="H56" s="48"/>
      <c r="I56" s="48"/>
      <c r="J56" s="48"/>
      <c r="K56" s="48"/>
      <c r="L56" s="48"/>
      <c r="M56" s="48"/>
    </row>
    <row r="57" spans="1:13" ht="36" customHeight="1">
      <c r="A57" s="48"/>
      <c r="B57" s="48"/>
      <c r="C57" s="48"/>
      <c r="D57" s="48"/>
      <c r="E57" s="48"/>
      <c r="F57" s="48"/>
      <c r="G57" s="48"/>
      <c r="H57" s="48"/>
      <c r="I57" s="48"/>
      <c r="J57" s="48"/>
      <c r="K57" s="48"/>
      <c r="L57" s="48"/>
      <c r="M57" s="48"/>
    </row>
    <row r="58" spans="1:13" ht="36" customHeight="1">
      <c r="A58" s="48"/>
      <c r="B58" s="48"/>
      <c r="C58" s="48"/>
      <c r="D58" s="48"/>
      <c r="E58" s="48"/>
      <c r="F58" s="48"/>
      <c r="G58" s="48"/>
      <c r="H58" s="48"/>
      <c r="I58" s="48"/>
      <c r="J58" s="48"/>
      <c r="K58" s="48"/>
      <c r="L58" s="48"/>
      <c r="M58" s="48"/>
    </row>
    <row r="59" spans="1:13" ht="36" customHeight="1">
      <c r="A59" s="48"/>
      <c r="B59" s="48"/>
      <c r="C59" s="48"/>
      <c r="D59" s="48"/>
      <c r="E59" s="48"/>
      <c r="F59" s="48"/>
      <c r="G59" s="48"/>
      <c r="H59" s="48"/>
      <c r="I59" s="48"/>
      <c r="J59" s="48"/>
      <c r="K59" s="48"/>
      <c r="L59" s="48"/>
      <c r="M59" s="48"/>
    </row>
    <row r="60" spans="1:13" ht="36" customHeight="1">
      <c r="A60" s="48"/>
      <c r="B60" s="48"/>
      <c r="C60" s="48"/>
      <c r="D60" s="48"/>
      <c r="E60" s="48"/>
      <c r="F60" s="48"/>
      <c r="G60" s="48"/>
      <c r="H60" s="48"/>
      <c r="I60" s="48"/>
      <c r="J60" s="48"/>
      <c r="K60" s="48"/>
      <c r="L60" s="48"/>
      <c r="M60" s="48"/>
    </row>
    <row r="61" spans="1:13" ht="36" customHeight="1">
      <c r="A61" s="48"/>
      <c r="B61" s="48"/>
      <c r="C61" s="48"/>
      <c r="D61" s="48"/>
      <c r="E61" s="48"/>
      <c r="F61" s="48"/>
      <c r="G61" s="48"/>
      <c r="H61" s="48"/>
      <c r="I61" s="48"/>
      <c r="J61" s="48"/>
      <c r="K61" s="48"/>
      <c r="L61" s="48"/>
      <c r="M61" s="48"/>
    </row>
    <row r="62" spans="1:13" ht="36" customHeight="1">
      <c r="A62" s="48"/>
      <c r="B62" s="48"/>
      <c r="C62" s="48"/>
      <c r="D62" s="48"/>
      <c r="E62" s="48"/>
      <c r="F62" s="48"/>
      <c r="G62" s="48"/>
      <c r="H62" s="48"/>
      <c r="I62" s="48"/>
      <c r="J62" s="48"/>
      <c r="K62" s="48"/>
      <c r="L62" s="48"/>
      <c r="M62" s="48"/>
    </row>
    <row r="63" spans="1:13" ht="36" customHeight="1">
      <c r="A63" s="48"/>
      <c r="B63" s="48"/>
      <c r="C63" s="48"/>
      <c r="D63" s="48"/>
      <c r="E63" s="48"/>
      <c r="F63" s="48"/>
      <c r="G63" s="48"/>
      <c r="H63" s="48"/>
      <c r="I63" s="48"/>
      <c r="J63" s="48"/>
      <c r="K63" s="48"/>
      <c r="L63" s="48"/>
      <c r="M63" s="48"/>
    </row>
    <row r="64" spans="1:13" ht="36" customHeight="1">
      <c r="A64" s="48"/>
      <c r="B64" s="48"/>
      <c r="C64" s="48"/>
      <c r="D64" s="48"/>
      <c r="E64" s="48"/>
      <c r="F64" s="48"/>
      <c r="G64" s="48"/>
      <c r="H64" s="48"/>
      <c r="I64" s="48"/>
      <c r="J64" s="48"/>
      <c r="K64" s="48"/>
      <c r="L64" s="48"/>
      <c r="M64" s="48"/>
    </row>
    <row r="65" spans="1:13" ht="36" customHeight="1">
      <c r="A65" s="48"/>
      <c r="B65" s="48"/>
      <c r="C65" s="48"/>
      <c r="D65" s="48"/>
      <c r="E65" s="48"/>
      <c r="F65" s="48"/>
      <c r="G65" s="48"/>
      <c r="H65" s="48"/>
      <c r="I65" s="48"/>
      <c r="J65" s="48"/>
      <c r="K65" s="48"/>
      <c r="L65" s="48"/>
      <c r="M65" s="48"/>
    </row>
    <row r="66" spans="1:13" ht="36" customHeight="1">
      <c r="A66" s="48"/>
      <c r="B66" s="48"/>
      <c r="C66" s="48"/>
      <c r="D66" s="48"/>
      <c r="E66" s="48"/>
      <c r="F66" s="48"/>
      <c r="G66" s="48"/>
      <c r="H66" s="48"/>
      <c r="I66" s="48"/>
      <c r="J66" s="48"/>
      <c r="K66" s="48"/>
      <c r="L66" s="48"/>
      <c r="M66" s="48"/>
    </row>
    <row r="67" spans="1:13" ht="36" customHeight="1">
      <c r="A67" s="48"/>
      <c r="B67" s="48"/>
      <c r="C67" s="48"/>
      <c r="D67" s="48"/>
      <c r="E67" s="48"/>
      <c r="F67" s="48"/>
      <c r="G67" s="48"/>
      <c r="H67" s="48"/>
      <c r="I67" s="48"/>
      <c r="J67" s="48"/>
      <c r="K67" s="48"/>
      <c r="L67" s="48"/>
      <c r="M67" s="48"/>
    </row>
    <row r="68" spans="1:13" ht="36" customHeight="1">
      <c r="A68" s="48"/>
      <c r="B68" s="48"/>
      <c r="C68" s="48"/>
      <c r="D68" s="48"/>
      <c r="E68" s="48"/>
      <c r="F68" s="48"/>
      <c r="G68" s="48"/>
      <c r="H68" s="48"/>
      <c r="I68" s="48"/>
      <c r="J68" s="48"/>
      <c r="K68" s="48"/>
      <c r="L68" s="48"/>
      <c r="M68" s="48"/>
    </row>
    <row r="69" spans="1:13" ht="36" customHeight="1">
      <c r="A69" s="48"/>
      <c r="B69" s="48"/>
      <c r="C69" s="48"/>
      <c r="D69" s="48"/>
      <c r="E69" s="48"/>
      <c r="F69" s="48"/>
      <c r="G69" s="48"/>
      <c r="H69" s="48"/>
      <c r="I69" s="48"/>
      <c r="J69" s="48"/>
      <c r="K69" s="48"/>
      <c r="L69" s="48"/>
      <c r="M69" s="48"/>
    </row>
    <row r="70" spans="1:13" ht="36" customHeight="1">
      <c r="A70" s="48"/>
      <c r="B70" s="48"/>
      <c r="C70" s="48"/>
      <c r="D70" s="48"/>
      <c r="E70" s="48"/>
      <c r="F70" s="48"/>
      <c r="G70" s="48"/>
      <c r="H70" s="48"/>
      <c r="I70" s="48"/>
      <c r="J70" s="48"/>
      <c r="K70" s="48"/>
      <c r="L70" s="48"/>
      <c r="M70" s="48"/>
    </row>
    <row r="71" spans="1:13" ht="36" customHeight="1">
      <c r="A71" s="48"/>
      <c r="B71" s="48"/>
      <c r="C71" s="48"/>
      <c r="D71" s="48"/>
      <c r="E71" s="48"/>
      <c r="F71" s="48"/>
      <c r="G71" s="48"/>
      <c r="H71" s="48"/>
      <c r="I71" s="48"/>
      <c r="J71" s="48"/>
      <c r="K71" s="48"/>
      <c r="L71" s="48"/>
      <c r="M71" s="48"/>
    </row>
    <row r="72" spans="1:13" ht="36" customHeight="1">
      <c r="A72" s="48"/>
      <c r="B72" s="48"/>
      <c r="C72" s="48"/>
      <c r="D72" s="48"/>
      <c r="E72" s="48"/>
      <c r="F72" s="48"/>
      <c r="G72" s="48"/>
      <c r="H72" s="48"/>
      <c r="I72" s="48"/>
      <c r="J72" s="48"/>
      <c r="K72" s="48"/>
      <c r="L72" s="48"/>
      <c r="M72" s="48"/>
    </row>
    <row r="73" spans="1:13" ht="36" customHeight="1">
      <c r="A73" s="48"/>
      <c r="B73" s="48"/>
      <c r="C73" s="48"/>
      <c r="D73" s="48"/>
      <c r="E73" s="48"/>
      <c r="F73" s="48"/>
      <c r="G73" s="48"/>
      <c r="H73" s="48"/>
      <c r="I73" s="48"/>
      <c r="J73" s="48"/>
      <c r="K73" s="48"/>
      <c r="L73" s="48"/>
      <c r="M73" s="48"/>
    </row>
    <row r="74" spans="1:13" ht="36" customHeight="1">
      <c r="A74" s="48"/>
      <c r="B74" s="48"/>
      <c r="C74" s="48"/>
      <c r="D74" s="48"/>
      <c r="E74" s="48"/>
      <c r="F74" s="48"/>
      <c r="G74" s="48"/>
      <c r="H74" s="48"/>
      <c r="I74" s="48"/>
      <c r="J74" s="48"/>
      <c r="K74" s="48"/>
      <c r="L74" s="48"/>
      <c r="M74" s="48"/>
    </row>
    <row r="75" spans="1:13" ht="36" customHeight="1">
      <c r="A75" s="48"/>
      <c r="B75" s="48"/>
      <c r="C75" s="48"/>
      <c r="D75" s="48"/>
      <c r="E75" s="48"/>
      <c r="F75" s="48"/>
      <c r="G75" s="48"/>
      <c r="H75" s="48"/>
      <c r="I75" s="48"/>
      <c r="J75" s="48"/>
      <c r="K75" s="48"/>
      <c r="L75" s="48"/>
      <c r="M75" s="48"/>
    </row>
    <row r="76" spans="1:13" ht="36" customHeight="1">
      <c r="A76" s="48"/>
      <c r="B76" s="48"/>
      <c r="C76" s="48"/>
      <c r="D76" s="48"/>
      <c r="E76" s="48"/>
      <c r="F76" s="48"/>
      <c r="G76" s="48"/>
      <c r="H76" s="48"/>
      <c r="I76" s="48"/>
      <c r="J76" s="48"/>
      <c r="K76" s="48"/>
      <c r="L76" s="48"/>
      <c r="M76" s="48"/>
    </row>
    <row r="77" spans="1:13" ht="36" customHeight="1">
      <c r="A77" s="48"/>
      <c r="B77" s="48"/>
      <c r="C77" s="48"/>
      <c r="D77" s="48"/>
      <c r="E77" s="48"/>
      <c r="F77" s="48"/>
      <c r="G77" s="48"/>
      <c r="H77" s="48"/>
      <c r="I77" s="48"/>
      <c r="J77" s="48"/>
      <c r="K77" s="48"/>
      <c r="L77" s="48"/>
      <c r="M77" s="48"/>
    </row>
    <row r="78" spans="1:13" ht="36" customHeight="1">
      <c r="A78" s="48"/>
      <c r="B78" s="48"/>
      <c r="C78" s="48"/>
      <c r="D78" s="48"/>
      <c r="E78" s="48"/>
      <c r="F78" s="48"/>
      <c r="G78" s="48"/>
      <c r="H78" s="48"/>
      <c r="I78" s="48"/>
      <c r="J78" s="48"/>
      <c r="K78" s="48"/>
      <c r="L78" s="48"/>
      <c r="M78" s="48"/>
    </row>
    <row r="79" spans="1:13" ht="36" customHeight="1">
      <c r="A79" s="48"/>
      <c r="B79" s="48"/>
      <c r="C79" s="48"/>
      <c r="D79" s="48"/>
      <c r="E79" s="48"/>
      <c r="F79" s="48"/>
      <c r="G79" s="48"/>
      <c r="H79" s="48"/>
      <c r="I79" s="48"/>
      <c r="J79" s="48"/>
      <c r="K79" s="48"/>
      <c r="L79" s="48"/>
      <c r="M79" s="48"/>
    </row>
    <row r="80" spans="1:13" ht="36" customHeight="1">
      <c r="A80" s="48"/>
      <c r="B80" s="48"/>
      <c r="C80" s="48"/>
      <c r="D80" s="48"/>
      <c r="E80" s="48"/>
      <c r="F80" s="48"/>
      <c r="G80" s="48"/>
      <c r="H80" s="48"/>
      <c r="I80" s="48"/>
      <c r="J80" s="48"/>
      <c r="K80" s="48"/>
      <c r="L80" s="48"/>
      <c r="M80" s="48"/>
    </row>
    <row r="81" spans="1:13" ht="36" customHeight="1">
      <c r="A81" s="48"/>
      <c r="B81" s="48"/>
      <c r="C81" s="48"/>
      <c r="D81" s="48"/>
      <c r="E81" s="48"/>
      <c r="F81" s="48"/>
      <c r="G81" s="48"/>
      <c r="H81" s="48"/>
      <c r="I81" s="48"/>
      <c r="J81" s="48"/>
      <c r="K81" s="48"/>
      <c r="L81" s="48"/>
      <c r="M81" s="48"/>
    </row>
    <row r="82" spans="1:13" ht="36" customHeight="1">
      <c r="A82" s="48"/>
      <c r="B82" s="48"/>
      <c r="C82" s="48"/>
      <c r="D82" s="48"/>
      <c r="E82" s="48"/>
      <c r="F82" s="48"/>
      <c r="G82" s="48"/>
      <c r="H82" s="48"/>
      <c r="I82" s="48"/>
      <c r="J82" s="48"/>
      <c r="K82" s="48"/>
      <c r="L82" s="48"/>
      <c r="M82" s="48"/>
    </row>
    <row r="83" spans="1:13" ht="36" customHeight="1">
      <c r="A83" s="48"/>
      <c r="B83" s="48"/>
      <c r="C83" s="48"/>
      <c r="D83" s="48"/>
      <c r="E83" s="48"/>
      <c r="F83" s="48"/>
      <c r="G83" s="48"/>
      <c r="H83" s="48"/>
      <c r="I83" s="48"/>
      <c r="J83" s="48"/>
      <c r="K83" s="48"/>
      <c r="L83" s="48"/>
      <c r="M83" s="48"/>
    </row>
    <row r="84" spans="1:13" ht="36" customHeight="1">
      <c r="A84" s="48"/>
      <c r="B84" s="48"/>
      <c r="C84" s="48"/>
      <c r="D84" s="48"/>
      <c r="E84" s="48"/>
      <c r="F84" s="48"/>
      <c r="G84" s="48"/>
      <c r="H84" s="48"/>
      <c r="I84" s="48"/>
      <c r="J84" s="48"/>
      <c r="K84" s="48"/>
      <c r="L84" s="48"/>
      <c r="M84" s="48"/>
    </row>
    <row r="85" spans="1:13" ht="36" customHeight="1">
      <c r="A85" s="48"/>
      <c r="B85" s="48"/>
      <c r="C85" s="48"/>
      <c r="D85" s="48"/>
      <c r="E85" s="48"/>
      <c r="F85" s="48"/>
      <c r="G85" s="48"/>
      <c r="H85" s="48"/>
      <c r="I85" s="48"/>
      <c r="J85" s="48"/>
      <c r="K85" s="48"/>
      <c r="L85" s="48"/>
      <c r="M85" s="48"/>
    </row>
    <row r="86" spans="1:13" ht="36" customHeight="1">
      <c r="A86" s="48"/>
      <c r="B86" s="48"/>
      <c r="C86" s="48"/>
      <c r="D86" s="48"/>
      <c r="E86" s="48"/>
      <c r="F86" s="48"/>
      <c r="G86" s="48"/>
      <c r="H86" s="48"/>
      <c r="I86" s="48"/>
      <c r="J86" s="48"/>
      <c r="K86" s="48"/>
      <c r="L86" s="48"/>
      <c r="M86" s="48"/>
    </row>
    <row r="87" spans="1:13" ht="36" customHeight="1">
      <c r="A87" s="48"/>
      <c r="B87" s="48"/>
      <c r="C87" s="48"/>
      <c r="D87" s="48"/>
      <c r="E87" s="48"/>
      <c r="F87" s="48"/>
      <c r="G87" s="48"/>
      <c r="H87" s="48"/>
      <c r="I87" s="48"/>
      <c r="J87" s="48"/>
      <c r="K87" s="48"/>
      <c r="L87" s="48"/>
      <c r="M87" s="48"/>
    </row>
    <row r="88" spans="1:13" ht="36" customHeight="1">
      <c r="A88" s="48"/>
      <c r="B88" s="48"/>
      <c r="C88" s="48"/>
      <c r="D88" s="48"/>
      <c r="E88" s="48"/>
      <c r="F88" s="48"/>
      <c r="G88" s="48"/>
      <c r="H88" s="48"/>
      <c r="I88" s="48"/>
      <c r="J88" s="48"/>
      <c r="K88" s="48"/>
      <c r="L88" s="48"/>
      <c r="M88" s="48"/>
    </row>
    <row r="89" spans="1:13" ht="36" customHeight="1">
      <c r="A89" s="48"/>
      <c r="B89" s="48"/>
      <c r="C89" s="48"/>
      <c r="D89" s="48"/>
      <c r="E89" s="48"/>
      <c r="F89" s="48"/>
      <c r="G89" s="48"/>
      <c r="H89" s="48"/>
      <c r="I89" s="48"/>
      <c r="J89" s="48"/>
      <c r="K89" s="48"/>
      <c r="L89" s="48"/>
      <c r="M89" s="48"/>
    </row>
    <row r="90" spans="1:13" ht="36" customHeight="1">
      <c r="A90" s="48"/>
      <c r="B90" s="48"/>
      <c r="C90" s="48"/>
      <c r="D90" s="48"/>
      <c r="E90" s="48"/>
      <c r="F90" s="48"/>
      <c r="G90" s="48"/>
      <c r="H90" s="48"/>
      <c r="I90" s="48"/>
      <c r="J90" s="48"/>
      <c r="K90" s="48"/>
      <c r="L90" s="48"/>
      <c r="M90" s="48"/>
    </row>
    <row r="91" spans="1:13" ht="36" customHeight="1">
      <c r="A91" s="48"/>
      <c r="B91" s="48"/>
      <c r="C91" s="48"/>
      <c r="D91" s="48"/>
      <c r="E91" s="48"/>
      <c r="F91" s="48"/>
      <c r="G91" s="48"/>
      <c r="H91" s="48"/>
      <c r="I91" s="48"/>
      <c r="J91" s="48"/>
      <c r="K91" s="48"/>
      <c r="L91" s="48"/>
      <c r="M91" s="48"/>
    </row>
    <row r="92" spans="1:13" ht="36" customHeight="1">
      <c r="A92" s="48"/>
      <c r="B92" s="48"/>
      <c r="C92" s="48"/>
      <c r="D92" s="48"/>
      <c r="E92" s="48"/>
      <c r="F92" s="48"/>
      <c r="G92" s="48"/>
      <c r="H92" s="48"/>
      <c r="I92" s="48"/>
      <c r="J92" s="48"/>
      <c r="K92" s="48"/>
      <c r="L92" s="48"/>
      <c r="M92" s="48"/>
    </row>
    <row r="93" spans="1:13" ht="36" customHeight="1">
      <c r="A93" s="48"/>
      <c r="B93" s="48"/>
      <c r="C93" s="48"/>
      <c r="D93" s="48"/>
      <c r="E93" s="48"/>
      <c r="F93" s="48"/>
      <c r="G93" s="48"/>
      <c r="H93" s="48"/>
      <c r="I93" s="48"/>
      <c r="J93" s="48"/>
      <c r="K93" s="48"/>
      <c r="L93" s="48"/>
      <c r="M93" s="48"/>
    </row>
    <row r="94" spans="1:13" ht="36" customHeight="1">
      <c r="A94" s="48"/>
      <c r="B94" s="48"/>
      <c r="C94" s="48"/>
      <c r="D94" s="48"/>
      <c r="E94" s="48"/>
      <c r="F94" s="48"/>
      <c r="G94" s="48"/>
      <c r="H94" s="48"/>
      <c r="I94" s="48"/>
      <c r="J94" s="48"/>
      <c r="K94" s="48"/>
      <c r="L94" s="48"/>
      <c r="M94" s="48"/>
    </row>
    <row r="95" spans="1:13" ht="36" customHeight="1">
      <c r="A95" s="48"/>
      <c r="B95" s="48"/>
      <c r="C95" s="48"/>
      <c r="D95" s="48"/>
      <c r="E95" s="48"/>
      <c r="F95" s="48"/>
      <c r="G95" s="48"/>
      <c r="H95" s="48"/>
      <c r="I95" s="48"/>
      <c r="J95" s="48"/>
      <c r="K95" s="48"/>
      <c r="L95" s="48"/>
      <c r="M95" s="48"/>
    </row>
    <row r="96" spans="1:13" ht="36" customHeight="1">
      <c r="A96" s="48"/>
      <c r="B96" s="48"/>
      <c r="C96" s="48"/>
      <c r="D96" s="48"/>
      <c r="E96" s="48"/>
      <c r="F96" s="48"/>
      <c r="G96" s="48"/>
      <c r="H96" s="48"/>
      <c r="I96" s="48"/>
      <c r="J96" s="48"/>
      <c r="K96" s="48"/>
      <c r="L96" s="48"/>
      <c r="M96" s="48"/>
    </row>
    <row r="97" spans="1:13" ht="36" customHeight="1">
      <c r="A97" s="48"/>
      <c r="B97" s="48"/>
      <c r="C97" s="48"/>
      <c r="D97" s="48"/>
      <c r="E97" s="48"/>
      <c r="F97" s="48"/>
      <c r="G97" s="48"/>
      <c r="H97" s="48"/>
      <c r="I97" s="48"/>
      <c r="J97" s="48"/>
      <c r="K97" s="48"/>
      <c r="L97" s="48"/>
      <c r="M97" s="48"/>
    </row>
    <row r="98" spans="1:13" ht="36" customHeight="1">
      <c r="A98" s="48"/>
      <c r="B98" s="48"/>
      <c r="C98" s="48"/>
      <c r="D98" s="48"/>
      <c r="E98" s="48"/>
      <c r="F98" s="48"/>
      <c r="G98" s="48"/>
      <c r="H98" s="48"/>
      <c r="I98" s="48"/>
      <c r="J98" s="48"/>
      <c r="K98" s="48"/>
      <c r="L98" s="48"/>
      <c r="M98" s="48"/>
    </row>
    <row r="99" spans="1:13" ht="36" customHeight="1">
      <c r="A99" s="48"/>
      <c r="B99" s="48"/>
      <c r="C99" s="48"/>
      <c r="D99" s="48"/>
      <c r="E99" s="48"/>
      <c r="F99" s="48"/>
      <c r="G99" s="48"/>
      <c r="H99" s="48"/>
      <c r="I99" s="48"/>
      <c r="J99" s="48"/>
      <c r="K99" s="48"/>
      <c r="L99" s="48"/>
      <c r="M99" s="48"/>
    </row>
    <row r="100" spans="1:13" ht="36" customHeight="1">
      <c r="A100" s="48"/>
      <c r="B100" s="48"/>
      <c r="C100" s="48"/>
      <c r="D100" s="48"/>
      <c r="E100" s="48"/>
      <c r="F100" s="48"/>
      <c r="G100" s="48"/>
      <c r="H100" s="48"/>
      <c r="I100" s="48"/>
      <c r="J100" s="48"/>
      <c r="K100" s="48"/>
      <c r="L100" s="48"/>
      <c r="M100" s="48"/>
    </row>
    <row r="101" spans="1:13" ht="36" customHeight="1">
      <c r="A101" s="48"/>
      <c r="B101" s="48"/>
      <c r="C101" s="48"/>
      <c r="D101" s="48"/>
      <c r="E101" s="48"/>
      <c r="F101" s="48"/>
      <c r="G101" s="48"/>
      <c r="H101" s="48"/>
      <c r="I101" s="48"/>
      <c r="J101" s="48"/>
      <c r="K101" s="48"/>
      <c r="L101" s="48"/>
      <c r="M101" s="48"/>
    </row>
    <row r="102" spans="1:13" ht="36" customHeight="1">
      <c r="A102" s="48"/>
      <c r="B102" s="48"/>
      <c r="C102" s="48"/>
      <c r="D102" s="48"/>
      <c r="E102" s="48"/>
      <c r="F102" s="48"/>
      <c r="G102" s="48"/>
      <c r="H102" s="48"/>
      <c r="I102" s="48"/>
      <c r="J102" s="48"/>
      <c r="K102" s="48"/>
      <c r="L102" s="48"/>
      <c r="M102" s="48"/>
    </row>
    <row r="103" spans="1:13" ht="36" customHeight="1">
      <c r="A103" s="48"/>
      <c r="B103" s="48"/>
      <c r="C103" s="48"/>
      <c r="D103" s="48"/>
      <c r="E103" s="48"/>
      <c r="F103" s="48"/>
      <c r="G103" s="48"/>
      <c r="H103" s="48"/>
      <c r="I103" s="48"/>
      <c r="J103" s="48"/>
      <c r="K103" s="48"/>
      <c r="L103" s="48"/>
      <c r="M103" s="48"/>
    </row>
    <row r="104" spans="1:13" ht="36" customHeight="1">
      <c r="A104" s="48"/>
      <c r="B104" s="48"/>
      <c r="C104" s="48"/>
      <c r="D104" s="48"/>
      <c r="E104" s="48"/>
      <c r="F104" s="48"/>
      <c r="G104" s="48"/>
      <c r="H104" s="48"/>
      <c r="I104" s="48"/>
      <c r="J104" s="48"/>
      <c r="K104" s="48"/>
      <c r="L104" s="48"/>
      <c r="M104" s="48"/>
    </row>
    <row r="105" spans="1:13" ht="36" customHeight="1">
      <c r="A105" s="48"/>
      <c r="B105" s="48"/>
      <c r="C105" s="48"/>
      <c r="D105" s="48"/>
      <c r="E105" s="48"/>
      <c r="F105" s="48"/>
      <c r="G105" s="48"/>
      <c r="H105" s="48"/>
      <c r="I105" s="48"/>
      <c r="J105" s="48"/>
      <c r="K105" s="48"/>
      <c r="L105" s="48"/>
      <c r="M105" s="48"/>
    </row>
    <row r="106" spans="1:13" ht="36" customHeight="1">
      <c r="A106" s="48"/>
      <c r="B106" s="48"/>
      <c r="C106" s="48"/>
      <c r="D106" s="48"/>
      <c r="E106" s="48"/>
      <c r="F106" s="48"/>
      <c r="G106" s="48"/>
      <c r="H106" s="48"/>
      <c r="I106" s="48"/>
      <c r="J106" s="48"/>
      <c r="K106" s="48"/>
      <c r="L106" s="48"/>
      <c r="M106" s="48"/>
    </row>
    <row r="107" spans="1:13" ht="36" customHeight="1">
      <c r="A107" s="48"/>
      <c r="B107" s="48"/>
      <c r="C107" s="48"/>
      <c r="D107" s="48"/>
      <c r="E107" s="48"/>
      <c r="F107" s="48"/>
      <c r="G107" s="48"/>
      <c r="H107" s="48"/>
      <c r="I107" s="48"/>
      <c r="J107" s="48"/>
      <c r="K107" s="48"/>
      <c r="L107" s="48"/>
      <c r="M107" s="48"/>
    </row>
    <row r="108" spans="1:13" ht="36" customHeight="1">
      <c r="A108" s="48"/>
      <c r="B108" s="48"/>
      <c r="C108" s="48"/>
      <c r="D108" s="48"/>
      <c r="E108" s="48"/>
      <c r="F108" s="48"/>
      <c r="G108" s="48"/>
      <c r="H108" s="48"/>
      <c r="I108" s="48"/>
      <c r="J108" s="48"/>
      <c r="K108" s="48"/>
      <c r="L108" s="48"/>
      <c r="M108" s="48"/>
    </row>
    <row r="109" spans="1:13" ht="36" customHeight="1">
      <c r="A109" s="48"/>
      <c r="B109" s="48"/>
      <c r="C109" s="48"/>
      <c r="D109" s="48"/>
      <c r="E109" s="48"/>
      <c r="F109" s="48"/>
      <c r="G109" s="48"/>
      <c r="H109" s="48"/>
      <c r="I109" s="48"/>
      <c r="J109" s="48"/>
      <c r="K109" s="48"/>
      <c r="L109" s="48"/>
      <c r="M109" s="48"/>
    </row>
    <row r="110" spans="1:13" ht="36" customHeight="1">
      <c r="A110" s="48"/>
      <c r="B110" s="48"/>
      <c r="C110" s="48"/>
      <c r="D110" s="48"/>
      <c r="E110" s="48"/>
      <c r="F110" s="48"/>
      <c r="G110" s="48"/>
      <c r="H110" s="48"/>
      <c r="I110" s="48"/>
      <c r="J110" s="48"/>
      <c r="K110" s="48"/>
      <c r="L110" s="48"/>
      <c r="M110" s="48"/>
    </row>
    <row r="111" spans="1:13" ht="36" customHeight="1">
      <c r="A111" s="48"/>
      <c r="B111" s="48"/>
      <c r="C111" s="48"/>
      <c r="D111" s="48"/>
      <c r="E111" s="48"/>
      <c r="F111" s="48"/>
      <c r="G111" s="48"/>
      <c r="H111" s="48"/>
      <c r="I111" s="48"/>
      <c r="J111" s="48"/>
      <c r="K111" s="48"/>
      <c r="L111" s="48"/>
      <c r="M111" s="48"/>
    </row>
    <row r="112" spans="1:13" ht="36" customHeight="1">
      <c r="A112" s="48"/>
      <c r="B112" s="48"/>
      <c r="C112" s="48"/>
      <c r="D112" s="48"/>
      <c r="E112" s="48"/>
      <c r="F112" s="48"/>
      <c r="G112" s="48"/>
      <c r="H112" s="48"/>
      <c r="I112" s="48"/>
      <c r="J112" s="48"/>
      <c r="K112" s="48"/>
      <c r="L112" s="48"/>
      <c r="M112" s="48"/>
    </row>
    <row r="113" spans="1:13" ht="36" customHeight="1">
      <c r="A113" s="48"/>
      <c r="B113" s="48"/>
      <c r="C113" s="48"/>
      <c r="D113" s="48"/>
      <c r="E113" s="48"/>
      <c r="F113" s="48"/>
      <c r="G113" s="48"/>
      <c r="H113" s="48"/>
      <c r="I113" s="48"/>
      <c r="J113" s="48"/>
      <c r="K113" s="48"/>
      <c r="L113" s="48"/>
      <c r="M113" s="48"/>
    </row>
    <row r="114" spans="1:13" ht="36" customHeight="1">
      <c r="A114" s="48"/>
      <c r="B114" s="48"/>
      <c r="C114" s="48"/>
      <c r="D114" s="48"/>
      <c r="E114" s="48"/>
      <c r="F114" s="48"/>
      <c r="G114" s="48"/>
      <c r="H114" s="48"/>
      <c r="I114" s="48"/>
      <c r="J114" s="48"/>
      <c r="K114" s="48"/>
      <c r="L114" s="48"/>
      <c r="M114" s="48"/>
    </row>
    <row r="115" spans="1:13" ht="36" customHeight="1">
      <c r="A115" s="48"/>
      <c r="B115" s="48"/>
      <c r="C115" s="48"/>
      <c r="D115" s="48"/>
      <c r="E115" s="48"/>
      <c r="F115" s="48"/>
      <c r="G115" s="48"/>
      <c r="H115" s="48"/>
      <c r="I115" s="48"/>
      <c r="J115" s="48"/>
      <c r="K115" s="48"/>
      <c r="L115" s="48"/>
      <c r="M115" s="48"/>
    </row>
    <row r="116" spans="1:13" ht="36" customHeight="1">
      <c r="A116" s="48"/>
      <c r="B116" s="48"/>
      <c r="C116" s="48"/>
      <c r="D116" s="48"/>
      <c r="E116" s="48"/>
      <c r="F116" s="48"/>
      <c r="G116" s="48"/>
      <c r="H116" s="48"/>
      <c r="I116" s="48"/>
      <c r="J116" s="48"/>
      <c r="K116" s="48"/>
      <c r="L116" s="48"/>
      <c r="M116" s="48"/>
    </row>
    <row r="117" spans="1:13" ht="36" customHeight="1">
      <c r="A117" s="48"/>
      <c r="B117" s="48"/>
      <c r="C117" s="48"/>
      <c r="D117" s="48"/>
      <c r="E117" s="48"/>
      <c r="F117" s="48"/>
      <c r="G117" s="48"/>
      <c r="H117" s="48"/>
      <c r="I117" s="48"/>
      <c r="J117" s="48"/>
      <c r="K117" s="48"/>
      <c r="L117" s="48"/>
      <c r="M117" s="48"/>
    </row>
    <row r="118" spans="1:13" ht="36" customHeight="1">
      <c r="A118" s="48"/>
      <c r="B118" s="48"/>
      <c r="C118" s="48"/>
      <c r="D118" s="48"/>
      <c r="E118" s="48"/>
      <c r="F118" s="48"/>
      <c r="G118" s="48"/>
      <c r="H118" s="48"/>
      <c r="I118" s="48"/>
      <c r="J118" s="48"/>
      <c r="K118" s="48"/>
      <c r="L118" s="48"/>
      <c r="M118" s="48"/>
    </row>
    <row r="119" spans="1:13" ht="36" customHeight="1">
      <c r="A119" s="48"/>
      <c r="B119" s="48"/>
      <c r="C119" s="48"/>
      <c r="D119" s="48"/>
      <c r="E119" s="48"/>
      <c r="F119" s="48"/>
      <c r="G119" s="48"/>
      <c r="H119" s="48"/>
      <c r="I119" s="48"/>
      <c r="J119" s="48"/>
      <c r="K119" s="48"/>
      <c r="L119" s="48"/>
      <c r="M119" s="48"/>
    </row>
    <row r="120" spans="1:13" ht="36" customHeight="1">
      <c r="A120" s="48"/>
      <c r="B120" s="48"/>
      <c r="C120" s="48"/>
      <c r="D120" s="48"/>
      <c r="E120" s="48"/>
      <c r="F120" s="48"/>
      <c r="G120" s="48"/>
      <c r="H120" s="48"/>
      <c r="I120" s="48"/>
      <c r="J120" s="48"/>
      <c r="K120" s="48"/>
      <c r="L120" s="48"/>
      <c r="M120" s="48"/>
    </row>
    <row r="121" spans="1:13" ht="36" customHeight="1">
      <c r="A121" s="48"/>
      <c r="B121" s="48"/>
      <c r="C121" s="48"/>
      <c r="D121" s="48"/>
      <c r="E121" s="48"/>
      <c r="F121" s="48"/>
      <c r="G121" s="48"/>
      <c r="H121" s="48"/>
      <c r="I121" s="48"/>
      <c r="J121" s="48"/>
      <c r="K121" s="48"/>
      <c r="L121" s="48"/>
      <c r="M121" s="48"/>
    </row>
  </sheetData>
  <mergeCells count="3">
    <mergeCell ref="A4:M4"/>
    <mergeCell ref="A3:M3"/>
    <mergeCell ref="A1:M1"/>
  </mergeCells>
  <dataValidations count="2">
    <dataValidation type="list" sqref="M7:M201" xr:uid="{00000000-0002-0000-1E00-000000000000}">
      <formula1>"Not Started,In Progress,Complete,Gap,Hold,N/A"</formula1>
    </dataValidation>
    <dataValidation type="list" allowBlank="1" sqref="J8:J19" xr:uid="{00000000-0002-0000-1E00-000001000000}">
      <formula1>"Not Started,In Progress,Needs Review,Complete,Not Applicable,Blocked"</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2E75B6"/>
  </sheetPr>
  <dimension ref="A1:G25"/>
  <sheetViews>
    <sheetView showGridLines="0" workbookViewId="0"/>
  </sheetViews>
  <sheetFormatPr defaultRowHeight="15"/>
  <cols>
    <col min="1" max="1" width="30" customWidth="1"/>
    <col min="2" max="2" width="42" customWidth="1"/>
    <col min="3" max="3" width="34" customWidth="1"/>
    <col min="4" max="4" width="30" customWidth="1"/>
    <col min="5" max="5" width="24" customWidth="1"/>
    <col min="6" max="6" width="18" customWidth="1"/>
    <col min="7" max="7" width="36" customWidth="1"/>
  </cols>
  <sheetData>
    <row r="1" spans="1:7" s="48" customFormat="1">
      <c r="A1" s="178" t="s">
        <v>2118</v>
      </c>
      <c r="B1" s="178"/>
      <c r="C1" s="178"/>
      <c r="D1" s="178"/>
      <c r="E1" s="178"/>
      <c r="F1" s="178"/>
      <c r="G1" s="178"/>
    </row>
    <row r="2" spans="1:7" ht="24" customHeight="1">
      <c r="A2" s="56" t="s">
        <v>0</v>
      </c>
      <c r="B2" s="56"/>
      <c r="C2" s="56"/>
      <c r="D2" s="56"/>
      <c r="E2" s="56"/>
      <c r="F2" s="56"/>
      <c r="G2" s="56"/>
    </row>
    <row r="3" spans="1:7" ht="30" customHeight="1">
      <c r="A3" s="45" t="s">
        <v>2247</v>
      </c>
      <c r="B3" s="45"/>
      <c r="C3" s="45"/>
      <c r="D3" s="45"/>
      <c r="E3" s="45"/>
      <c r="F3" s="45"/>
      <c r="G3" s="45"/>
    </row>
    <row r="4" spans="1:7" ht="30" customHeight="1">
      <c r="A4" s="44" t="s">
        <v>2248</v>
      </c>
      <c r="B4" s="44"/>
      <c r="C4" s="44"/>
      <c r="D4" s="44"/>
      <c r="E4" s="44"/>
      <c r="F4" s="44"/>
      <c r="G4" s="44"/>
    </row>
    <row r="5" spans="1:7">
      <c r="A5" s="46"/>
      <c r="B5" s="46"/>
      <c r="C5" s="46"/>
      <c r="D5" s="46"/>
      <c r="E5" s="46"/>
      <c r="F5" s="46"/>
      <c r="G5" s="46"/>
    </row>
    <row r="6" spans="1:7" ht="21.95" customHeight="1">
      <c r="A6" s="57" t="s">
        <v>2249</v>
      </c>
      <c r="B6" s="57"/>
      <c r="C6" s="57"/>
      <c r="D6" s="57"/>
      <c r="E6" s="57"/>
      <c r="F6" s="57"/>
      <c r="G6" s="57"/>
    </row>
    <row r="7" spans="1:7" ht="33.950000000000003" customHeight="1">
      <c r="A7" s="36" t="s">
        <v>2250</v>
      </c>
      <c r="B7" s="36" t="s">
        <v>2251</v>
      </c>
      <c r="C7" s="36" t="s">
        <v>2252</v>
      </c>
      <c r="D7" s="36" t="s">
        <v>578</v>
      </c>
      <c r="E7" s="36" t="s">
        <v>144</v>
      </c>
      <c r="F7" s="36" t="s">
        <v>145</v>
      </c>
      <c r="G7" s="36" t="s">
        <v>70</v>
      </c>
    </row>
    <row r="8" spans="1:7">
      <c r="A8" s="37" t="s">
        <v>2253</v>
      </c>
      <c r="B8" s="37"/>
      <c r="C8" s="37" t="s">
        <v>2254</v>
      </c>
      <c r="D8" s="37"/>
      <c r="E8" s="37" t="s">
        <v>730</v>
      </c>
      <c r="F8" s="37" t="s">
        <v>152</v>
      </c>
      <c r="G8" s="37"/>
    </row>
    <row r="9" spans="1:7">
      <c r="A9" s="37" t="s">
        <v>2255</v>
      </c>
      <c r="B9" s="37"/>
      <c r="C9" s="37" t="s">
        <v>189</v>
      </c>
      <c r="D9" s="37"/>
      <c r="E9" s="37" t="s">
        <v>518</v>
      </c>
      <c r="F9" s="37" t="s">
        <v>152</v>
      </c>
      <c r="G9" s="37"/>
    </row>
    <row r="10" spans="1:7">
      <c r="A10" s="37" t="s">
        <v>2256</v>
      </c>
      <c r="B10" s="37"/>
      <c r="C10" s="37" t="s">
        <v>178</v>
      </c>
      <c r="D10" s="37"/>
      <c r="E10" s="37" t="s">
        <v>180</v>
      </c>
      <c r="F10" s="37" t="s">
        <v>152</v>
      </c>
      <c r="G10" s="37"/>
    </row>
    <row r="11" spans="1:7">
      <c r="A11" s="37" t="s">
        <v>2257</v>
      </c>
      <c r="B11" s="37"/>
      <c r="C11" s="37" t="s">
        <v>194</v>
      </c>
      <c r="D11" s="37"/>
      <c r="E11" s="37" t="s">
        <v>176</v>
      </c>
      <c r="F11" s="37" t="s">
        <v>152</v>
      </c>
      <c r="G11" s="37"/>
    </row>
    <row r="12" spans="1:7">
      <c r="A12" s="37" t="s">
        <v>2258</v>
      </c>
      <c r="B12" s="37"/>
      <c r="C12" s="37" t="s">
        <v>2259</v>
      </c>
      <c r="D12" s="37"/>
      <c r="E12" s="37" t="s">
        <v>211</v>
      </c>
      <c r="F12" s="37" t="s">
        <v>152</v>
      </c>
      <c r="G12" s="37"/>
    </row>
    <row r="13" spans="1:7">
      <c r="A13" s="37" t="s">
        <v>2260</v>
      </c>
      <c r="B13" s="37"/>
      <c r="C13" s="37" t="s">
        <v>273</v>
      </c>
      <c r="D13" s="37"/>
      <c r="E13" s="37" t="s">
        <v>277</v>
      </c>
      <c r="F13" s="37" t="s">
        <v>152</v>
      </c>
      <c r="G13" s="37"/>
    </row>
    <row r="14" spans="1:7">
      <c r="A14" s="46"/>
      <c r="B14" s="46"/>
      <c r="C14" s="46"/>
      <c r="D14" s="46"/>
      <c r="E14" s="46"/>
      <c r="F14" s="46"/>
      <c r="G14" s="46"/>
    </row>
    <row r="15" spans="1:7" ht="21.95" customHeight="1">
      <c r="A15" s="57" t="s">
        <v>2261</v>
      </c>
      <c r="B15" s="57"/>
      <c r="C15" s="57"/>
      <c r="D15" s="57"/>
      <c r="E15" s="57"/>
      <c r="F15" s="57"/>
      <c r="G15" s="57"/>
    </row>
    <row r="16" spans="1:7" ht="33.950000000000003" customHeight="1">
      <c r="A16" s="36" t="s">
        <v>2262</v>
      </c>
      <c r="B16" s="36" t="s">
        <v>2263</v>
      </c>
      <c r="C16" s="36" t="s">
        <v>2264</v>
      </c>
      <c r="D16" s="36" t="s">
        <v>2265</v>
      </c>
      <c r="E16" s="36" t="s">
        <v>145</v>
      </c>
      <c r="F16" s="36" t="s">
        <v>144</v>
      </c>
      <c r="G16" s="36" t="s">
        <v>70</v>
      </c>
    </row>
    <row r="17" spans="1:7">
      <c r="A17" s="37"/>
      <c r="B17" s="37"/>
      <c r="C17" s="37"/>
      <c r="D17" s="37"/>
      <c r="E17" s="37" t="s">
        <v>152</v>
      </c>
      <c r="F17" s="37"/>
      <c r="G17" s="37"/>
    </row>
    <row r="18" spans="1:7">
      <c r="A18" s="37"/>
      <c r="B18" s="37"/>
      <c r="C18" s="37"/>
      <c r="D18" s="37"/>
      <c r="E18" s="37" t="s">
        <v>152</v>
      </c>
      <c r="F18" s="37"/>
      <c r="G18" s="37"/>
    </row>
    <row r="19" spans="1:7">
      <c r="A19" s="37"/>
      <c r="B19" s="37"/>
      <c r="C19" s="37"/>
      <c r="D19" s="37"/>
      <c r="E19" s="37" t="s">
        <v>152</v>
      </c>
      <c r="F19" s="37"/>
      <c r="G19" s="37"/>
    </row>
    <row r="20" spans="1:7">
      <c r="A20" s="37"/>
      <c r="B20" s="37"/>
      <c r="C20" s="37"/>
      <c r="D20" s="37"/>
      <c r="E20" s="37" t="s">
        <v>152</v>
      </c>
      <c r="F20" s="37"/>
      <c r="G20" s="37"/>
    </row>
    <row r="21" spans="1:7">
      <c r="A21" s="37"/>
      <c r="B21" s="37"/>
      <c r="C21" s="37"/>
      <c r="D21" s="37"/>
      <c r="E21" s="37" t="s">
        <v>152</v>
      </c>
      <c r="F21" s="37"/>
      <c r="G21" s="37"/>
    </row>
    <row r="22" spans="1:7">
      <c r="A22" s="37"/>
      <c r="B22" s="37"/>
      <c r="C22" s="37"/>
      <c r="D22" s="37"/>
      <c r="E22" s="37" t="s">
        <v>152</v>
      </c>
      <c r="F22" s="37"/>
      <c r="G22" s="37"/>
    </row>
    <row r="23" spans="1:7">
      <c r="A23" s="37"/>
      <c r="B23" s="37"/>
      <c r="C23" s="37"/>
      <c r="D23" s="37"/>
      <c r="E23" s="37" t="s">
        <v>152</v>
      </c>
      <c r="F23" s="37"/>
      <c r="G23" s="37"/>
    </row>
    <row r="24" spans="1:7">
      <c r="A24" s="37"/>
      <c r="B24" s="37"/>
      <c r="C24" s="37"/>
      <c r="D24" s="37"/>
      <c r="E24" s="37" t="s">
        <v>152</v>
      </c>
      <c r="F24" s="37"/>
      <c r="G24" s="37"/>
    </row>
    <row r="25" spans="1:7">
      <c r="A25" s="46"/>
      <c r="B25" s="46"/>
      <c r="C25" s="46"/>
      <c r="D25" s="46"/>
      <c r="E25" s="46"/>
      <c r="F25" s="46"/>
      <c r="G25" s="46"/>
    </row>
  </sheetData>
  <mergeCells count="1">
    <mergeCell ref="A1:G1"/>
  </mergeCells>
  <dataValidations count="3">
    <dataValidation type="list" sqref="D6:D17" xr:uid="{00000000-0002-0000-2000-000000000000}">
      <formula1>"Not Started,In Progress,Complete,Needs Review,Not Applicable"</formula1>
    </dataValidation>
    <dataValidation type="list" sqref="D18:D22" xr:uid="{00000000-0002-0000-2000-000001000000}">
      <formula1>"Not Started,In Progress,Complete,Gap,Hold,N/A"</formula1>
    </dataValidation>
    <dataValidation type="list" allowBlank="1" sqref="F8:F13 E17:E24" xr:uid="{00000000-0002-0000-2000-000002000000}">
      <formula1>"Not Started,In Progress,Needs Review,Complete,Not Applicable,Blocked"</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L20"/>
  <sheetViews>
    <sheetView showGridLines="0" workbookViewId="0"/>
  </sheetViews>
  <sheetFormatPr defaultRowHeight="15"/>
  <cols>
    <col min="1" max="1" width="28" customWidth="1"/>
    <col min="2" max="2" width="24" customWidth="1"/>
    <col min="3" max="3" width="32" customWidth="1"/>
    <col min="4" max="4" width="38" customWidth="1"/>
    <col min="5" max="5" width="28" customWidth="1"/>
    <col min="6" max="6" width="30" customWidth="1"/>
    <col min="7" max="7" width="16" customWidth="1"/>
    <col min="8" max="8" width="26" customWidth="1"/>
    <col min="9" max="9" width="28" customWidth="1"/>
    <col min="10" max="11" width="20" customWidth="1"/>
    <col min="12" max="12" width="30" customWidth="1"/>
  </cols>
  <sheetData>
    <row r="1" spans="1:12" s="48" customFormat="1">
      <c r="A1" s="179" t="s">
        <v>2266</v>
      </c>
      <c r="B1" s="179"/>
      <c r="C1" s="179"/>
      <c r="D1" s="179"/>
      <c r="E1" s="179"/>
      <c r="F1" s="179"/>
      <c r="G1" s="179"/>
      <c r="H1" s="179"/>
      <c r="I1" s="179"/>
      <c r="J1" s="179"/>
      <c r="K1" s="179"/>
      <c r="L1" s="179"/>
    </row>
    <row r="2" spans="1:12" ht="24" customHeight="1">
      <c r="A2" s="56" t="s">
        <v>0</v>
      </c>
      <c r="B2" s="56"/>
      <c r="C2" s="56"/>
      <c r="D2" s="56"/>
      <c r="E2" s="56"/>
      <c r="F2" s="56"/>
      <c r="G2" s="56"/>
      <c r="H2" s="56"/>
      <c r="I2" s="56"/>
      <c r="J2" s="56"/>
      <c r="K2" s="56"/>
      <c r="L2" s="56"/>
    </row>
    <row r="3" spans="1:12" ht="30" customHeight="1">
      <c r="A3" s="45" t="s">
        <v>2267</v>
      </c>
      <c r="B3" s="45"/>
      <c r="C3" s="45"/>
      <c r="D3" s="45"/>
      <c r="E3" s="45"/>
      <c r="F3" s="45"/>
      <c r="G3" s="45"/>
      <c r="H3" s="45"/>
      <c r="I3" s="45"/>
      <c r="J3" s="45"/>
      <c r="K3" s="45"/>
      <c r="L3" s="45"/>
    </row>
    <row r="4" spans="1:12" ht="30" customHeight="1">
      <c r="A4" s="44" t="s">
        <v>2268</v>
      </c>
      <c r="B4" s="44"/>
      <c r="C4" s="44"/>
      <c r="D4" s="44"/>
      <c r="E4" s="44"/>
      <c r="F4" s="44"/>
      <c r="G4" s="44"/>
      <c r="H4" s="44"/>
      <c r="I4" s="44"/>
      <c r="J4" s="44"/>
      <c r="K4" s="44"/>
      <c r="L4" s="44"/>
    </row>
    <row r="5" spans="1:12" ht="30.75" customHeight="1">
      <c r="A5" s="46"/>
      <c r="B5" s="46"/>
      <c r="C5" s="46"/>
      <c r="D5" s="46"/>
      <c r="E5" s="46"/>
      <c r="F5" s="46"/>
      <c r="G5" s="46"/>
      <c r="H5" s="46"/>
      <c r="I5" s="46"/>
      <c r="J5" s="46"/>
      <c r="K5" s="46"/>
      <c r="L5" s="46"/>
    </row>
    <row r="6" spans="1:12" ht="21.95" customHeight="1">
      <c r="A6" s="57" t="s">
        <v>2269</v>
      </c>
      <c r="B6" s="57"/>
      <c r="C6" s="57"/>
      <c r="D6" s="57"/>
      <c r="E6" s="57"/>
      <c r="F6" s="57"/>
      <c r="G6" s="57"/>
      <c r="H6" s="57"/>
      <c r="I6" s="57"/>
      <c r="J6" s="57"/>
      <c r="K6" s="57"/>
      <c r="L6" s="57"/>
    </row>
    <row r="7" spans="1:12" ht="33.950000000000003" customHeight="1">
      <c r="A7" s="36" t="s">
        <v>2270</v>
      </c>
      <c r="B7" s="36" t="s">
        <v>1743</v>
      </c>
      <c r="C7" s="36" t="s">
        <v>2271</v>
      </c>
      <c r="D7" s="36" t="s">
        <v>2272</v>
      </c>
      <c r="E7" s="36" t="s">
        <v>2273</v>
      </c>
      <c r="F7" s="36" t="s">
        <v>2274</v>
      </c>
      <c r="G7" s="36" t="s">
        <v>2275</v>
      </c>
      <c r="H7" s="36" t="s">
        <v>2276</v>
      </c>
      <c r="I7" s="36" t="s">
        <v>578</v>
      </c>
      <c r="J7" s="36" t="s">
        <v>144</v>
      </c>
      <c r="K7" s="36" t="s">
        <v>1960</v>
      </c>
      <c r="L7" s="36" t="s">
        <v>70</v>
      </c>
    </row>
    <row r="8" spans="1:12">
      <c r="A8" s="37" t="s">
        <v>2277</v>
      </c>
      <c r="B8" s="37" t="s">
        <v>2278</v>
      </c>
      <c r="C8" s="37" t="s">
        <v>2279</v>
      </c>
      <c r="D8" s="37" t="s">
        <v>2280</v>
      </c>
      <c r="E8" s="37" t="s">
        <v>2281</v>
      </c>
      <c r="F8" s="37" t="s">
        <v>2282</v>
      </c>
      <c r="G8" s="37">
        <f>COUNTIF('Tuan-Formula_BOM'!$B:$B,"*"&amp;A8&amp;"*")+COUNTIF('Tuan-Formula_BOM'!$C:$C,"*"&amp;A8&amp;"*")</f>
        <v>0</v>
      </c>
      <c r="H8" s="37" t="str">
        <f>IF(G8&gt;0,"REVIEW - possible formula match","No formula match recorded")</f>
        <v>No formula match recorded</v>
      </c>
      <c r="I8" s="37"/>
      <c r="J8" s="37" t="s">
        <v>176</v>
      </c>
      <c r="K8" s="37" t="s">
        <v>544</v>
      </c>
      <c r="L8" s="37" t="s">
        <v>2283</v>
      </c>
    </row>
    <row r="9" spans="1:12">
      <c r="A9" s="37" t="s">
        <v>2284</v>
      </c>
      <c r="B9" s="37" t="s">
        <v>2285</v>
      </c>
      <c r="C9" s="37" t="s">
        <v>2286</v>
      </c>
      <c r="D9" s="37" t="s">
        <v>2287</v>
      </c>
      <c r="E9" s="37" t="s">
        <v>2288</v>
      </c>
      <c r="F9" s="37" t="s">
        <v>2282</v>
      </c>
      <c r="G9" s="37">
        <f>COUNTIF('Tuan-Formula_BOM'!$B:$B,"*"&amp;A9&amp;"*")+COUNTIF('Tuan-Formula_BOM'!$C:$C,"*"&amp;A9&amp;"*")</f>
        <v>0</v>
      </c>
      <c r="H9" s="37" t="str">
        <f>IF(G9&gt;0,"REVIEW - possible formula match","No formula match recorded")</f>
        <v>No formula match recorded</v>
      </c>
      <c r="I9" s="37"/>
      <c r="J9" s="37" t="s">
        <v>176</v>
      </c>
      <c r="K9" s="37" t="s">
        <v>544</v>
      </c>
      <c r="L9" s="37" t="s">
        <v>2289</v>
      </c>
    </row>
    <row r="10" spans="1:12">
      <c r="A10" s="37" t="s">
        <v>2290</v>
      </c>
      <c r="B10" s="37" t="s">
        <v>2291</v>
      </c>
      <c r="C10" s="37" t="s">
        <v>2292</v>
      </c>
      <c r="D10" s="37" t="s">
        <v>2293</v>
      </c>
      <c r="E10" s="37" t="s">
        <v>2294</v>
      </c>
      <c r="F10" s="37" t="s">
        <v>2282</v>
      </c>
      <c r="G10" s="37">
        <f>COUNTIF('Tuan-Formula_BOM'!$B:$B,"*"&amp;A10&amp;"*")+COUNTIF('Tuan-Formula_BOM'!$C:$C,"*"&amp;A10&amp;"*")</f>
        <v>0</v>
      </c>
      <c r="H10" s="37" t="str">
        <f>IF(G10&gt;0,"REVIEW - possible formula match","No formula match recorded")</f>
        <v>No formula match recorded</v>
      </c>
      <c r="I10" s="37"/>
      <c r="J10" s="37" t="s">
        <v>176</v>
      </c>
      <c r="K10" s="37" t="s">
        <v>544</v>
      </c>
      <c r="L10" s="37" t="s">
        <v>2295</v>
      </c>
    </row>
    <row r="11" spans="1:12">
      <c r="A11" s="37" t="s">
        <v>2296</v>
      </c>
      <c r="B11" s="37" t="s">
        <v>2297</v>
      </c>
      <c r="C11" s="37" t="s">
        <v>2298</v>
      </c>
      <c r="D11" s="37" t="s">
        <v>2299</v>
      </c>
      <c r="E11" s="37" t="s">
        <v>2300</v>
      </c>
      <c r="F11" s="37" t="s">
        <v>2282</v>
      </c>
      <c r="G11" s="37">
        <f>COUNTIF('Tuan-Formula_BOM'!$B:$B,"*"&amp;A11&amp;"*")+COUNTIF('Tuan-Formula_BOM'!$C:$C,"*"&amp;A11&amp;"*")</f>
        <v>0</v>
      </c>
      <c r="H11" s="37" t="str">
        <f>IF(G11&gt;0,"REVIEW - possible formula match","No formula match recorded")</f>
        <v>No formula match recorded</v>
      </c>
      <c r="I11" s="37"/>
      <c r="J11" s="37" t="s">
        <v>176</v>
      </c>
      <c r="K11" s="37" t="s">
        <v>544</v>
      </c>
      <c r="L11" s="37" t="s">
        <v>2301</v>
      </c>
    </row>
    <row r="12" spans="1:12">
      <c r="A12" s="37" t="s">
        <v>2302</v>
      </c>
      <c r="B12" s="37" t="s">
        <v>2303</v>
      </c>
      <c r="C12" s="37" t="s">
        <v>2304</v>
      </c>
      <c r="D12" s="37" t="s">
        <v>2305</v>
      </c>
      <c r="E12" s="37" t="s">
        <v>2306</v>
      </c>
      <c r="F12" s="37" t="s">
        <v>2282</v>
      </c>
      <c r="G12" s="37">
        <f>COUNTIF('Tuan-Formula_BOM'!$B:$B,"*"&amp;A12&amp;"*")+COUNTIF('Tuan-Formula_BOM'!$C:$C,"*"&amp;A12&amp;"*")</f>
        <v>0</v>
      </c>
      <c r="H12" s="37" t="str">
        <f>IF(G12&gt;0,"REVIEW - possible formula match","No formula match recorded")</f>
        <v>No formula match recorded</v>
      </c>
      <c r="I12" s="37"/>
      <c r="J12" s="37" t="s">
        <v>176</v>
      </c>
      <c r="K12" s="37" t="s">
        <v>544</v>
      </c>
      <c r="L12" s="37" t="s">
        <v>2307</v>
      </c>
    </row>
    <row r="13" spans="1:12">
      <c r="A13" s="37" t="s">
        <v>2308</v>
      </c>
      <c r="B13" s="37" t="s">
        <v>2309</v>
      </c>
      <c r="C13" s="37" t="s">
        <v>2310</v>
      </c>
      <c r="D13" s="37" t="s">
        <v>2311</v>
      </c>
      <c r="E13" s="37" t="s">
        <v>2312</v>
      </c>
      <c r="F13" s="37" t="s">
        <v>2282</v>
      </c>
      <c r="G13" s="37">
        <f>COUNTIF('Tuan-Formula_BOM'!$B:$B,"*"&amp;A13&amp;"*")+COUNTIF('Tuan-Formula_BOM'!$C:$C,"*"&amp;A13&amp;"*")</f>
        <v>0</v>
      </c>
      <c r="H13" s="37" t="str">
        <f>IF(G13&gt;0,"REVIEW - possible formula match","No formula match recorded")</f>
        <v>No formula match recorded</v>
      </c>
      <c r="I13" s="37"/>
      <c r="J13" s="37" t="s">
        <v>176</v>
      </c>
      <c r="K13" s="37" t="s">
        <v>544</v>
      </c>
      <c r="L13" s="37" t="s">
        <v>2313</v>
      </c>
    </row>
    <row r="14" spans="1:12">
      <c r="A14" s="37" t="s">
        <v>2314</v>
      </c>
      <c r="B14" s="37" t="s">
        <v>2315</v>
      </c>
      <c r="C14" s="37" t="s">
        <v>2316</v>
      </c>
      <c r="D14" s="37" t="s">
        <v>2317</v>
      </c>
      <c r="E14" s="37" t="s">
        <v>2281</v>
      </c>
      <c r="F14" s="37" t="s">
        <v>2318</v>
      </c>
      <c r="G14" s="37">
        <f>COUNTIF('Tuan-Formula_BOM'!$B:$B,"*"&amp;A14&amp;"*")+COUNTIF('Tuan-Formula_BOM'!$C:$C,"*"&amp;A14&amp;"*")</f>
        <v>0</v>
      </c>
      <c r="H14" s="37" t="str">
        <f>IF(G14&gt;0,"REVIEW - possible formula match","No formula match recorded")</f>
        <v>No formula match recorded</v>
      </c>
      <c r="I14" s="37"/>
      <c r="J14" s="37" t="s">
        <v>211</v>
      </c>
      <c r="K14" s="37" t="s">
        <v>544</v>
      </c>
      <c r="L14" s="37" t="s">
        <v>2319</v>
      </c>
    </row>
    <row r="15" spans="1:12">
      <c r="A15" s="37" t="s">
        <v>2320</v>
      </c>
      <c r="B15" s="37" t="s">
        <v>2321</v>
      </c>
      <c r="C15" s="37" t="s">
        <v>2322</v>
      </c>
      <c r="D15" s="37" t="s">
        <v>2323</v>
      </c>
      <c r="E15" s="37" t="s">
        <v>2324</v>
      </c>
      <c r="F15" s="37" t="s">
        <v>2325</v>
      </c>
      <c r="G15" s="37">
        <f>COUNTIF('Tuan-Formula_BOM'!$B:$B,"*"&amp;A15&amp;"*")+COUNTIF('Tuan-Formula_BOM'!$C:$C,"*"&amp;A15&amp;"*")</f>
        <v>0</v>
      </c>
      <c r="H15" s="37" t="str">
        <f>IF(G15&gt;0,"REVIEW - possible formula match","No formula match recorded")</f>
        <v>No formula match recorded</v>
      </c>
      <c r="I15" s="37"/>
      <c r="J15" s="37" t="s">
        <v>176</v>
      </c>
      <c r="K15" s="37" t="s">
        <v>544</v>
      </c>
      <c r="L15" s="37" t="s">
        <v>2326</v>
      </c>
    </row>
    <row r="16" spans="1:12">
      <c r="A16" s="37" t="s">
        <v>2327</v>
      </c>
      <c r="B16" s="37" t="s">
        <v>2328</v>
      </c>
      <c r="C16" s="37" t="s">
        <v>2329</v>
      </c>
      <c r="D16" s="37" t="s">
        <v>2330</v>
      </c>
      <c r="E16" s="37" t="s">
        <v>2331</v>
      </c>
      <c r="F16" s="37" t="s">
        <v>2282</v>
      </c>
      <c r="G16" s="37">
        <f>COUNTIF('Tuan-Formula_BOM'!$B:$B,"*"&amp;A16&amp;"*")+COUNTIF('Tuan-Formula_BOM'!$C:$C,"*"&amp;A16&amp;"*")</f>
        <v>0</v>
      </c>
      <c r="H16" s="37" t="str">
        <f>IF(G16&gt;0,"REVIEW - possible formula match","No formula match recorded")</f>
        <v>No formula match recorded</v>
      </c>
      <c r="I16" s="37"/>
      <c r="J16" s="37" t="s">
        <v>2332</v>
      </c>
      <c r="K16" s="37" t="s">
        <v>702</v>
      </c>
      <c r="L16" s="37" t="s">
        <v>2333</v>
      </c>
    </row>
    <row r="17" spans="1:12">
      <c r="A17" s="37" t="s">
        <v>2334</v>
      </c>
      <c r="B17" s="37" t="s">
        <v>2335</v>
      </c>
      <c r="C17" s="37" t="s">
        <v>2304</v>
      </c>
      <c r="D17" s="37" t="s">
        <v>2336</v>
      </c>
      <c r="E17" s="37" t="s">
        <v>2337</v>
      </c>
      <c r="F17" s="37" t="s">
        <v>2282</v>
      </c>
      <c r="G17" s="37">
        <f>COUNTIF('Tuan-Formula_BOM'!$B:$B,"*"&amp;A17&amp;"*")+COUNTIF('Tuan-Formula_BOM'!$C:$C,"*"&amp;A17&amp;"*")</f>
        <v>0</v>
      </c>
      <c r="H17" s="37" t="str">
        <f>IF(G17&gt;0,"REVIEW - possible formula match","No formula match recorded")</f>
        <v>No formula match recorded</v>
      </c>
      <c r="I17" s="37"/>
      <c r="J17" s="37" t="s">
        <v>176</v>
      </c>
      <c r="K17" s="37" t="s">
        <v>544</v>
      </c>
      <c r="L17" s="37" t="s">
        <v>2338</v>
      </c>
    </row>
    <row r="18" spans="1:12">
      <c r="A18" s="37" t="s">
        <v>2339</v>
      </c>
      <c r="B18" s="37" t="s">
        <v>2340</v>
      </c>
      <c r="C18" s="37" t="s">
        <v>2341</v>
      </c>
      <c r="D18" s="37" t="s">
        <v>2342</v>
      </c>
      <c r="E18" s="37" t="s">
        <v>2343</v>
      </c>
      <c r="F18" s="37" t="s">
        <v>2282</v>
      </c>
      <c r="G18" s="37">
        <f>COUNTIF('Tuan-Formula_BOM'!$B:$B,"*"&amp;A18&amp;"*")+COUNTIF('Tuan-Formula_BOM'!$C:$C,"*"&amp;A18&amp;"*")</f>
        <v>0</v>
      </c>
      <c r="H18" s="37" t="str">
        <f>IF(G18&gt;0,"REVIEW - possible formula match","No formula match recorded")</f>
        <v>No formula match recorded</v>
      </c>
      <c r="I18" s="37"/>
      <c r="J18" s="37" t="s">
        <v>2332</v>
      </c>
      <c r="K18" s="37" t="s">
        <v>544</v>
      </c>
      <c r="L18" s="37" t="s">
        <v>2344</v>
      </c>
    </row>
    <row r="19" spans="1:12">
      <c r="A19" s="37" t="s">
        <v>2345</v>
      </c>
      <c r="B19" s="37" t="s">
        <v>2346</v>
      </c>
      <c r="C19" s="37" t="s">
        <v>2347</v>
      </c>
      <c r="D19" s="37" t="s">
        <v>2348</v>
      </c>
      <c r="E19" s="37" t="s">
        <v>2349</v>
      </c>
      <c r="F19" s="37" t="s">
        <v>2350</v>
      </c>
      <c r="G19" s="37">
        <f>COUNTIF('Tuan-Formula_BOM'!$B:$B,"*"&amp;A19&amp;"*")+COUNTIF('Tuan-Formula_BOM'!$C:$C,"*"&amp;A19&amp;"*")</f>
        <v>0</v>
      </c>
      <c r="H19" s="37" t="str">
        <f>IF(G19&gt;0,"REVIEW - possible formula match","No formula match recorded")</f>
        <v>No formula match recorded</v>
      </c>
      <c r="I19" s="37"/>
      <c r="J19" s="37" t="s">
        <v>176</v>
      </c>
      <c r="K19" s="37" t="s">
        <v>550</v>
      </c>
      <c r="L19" s="37" t="s">
        <v>2351</v>
      </c>
    </row>
    <row r="20" spans="1:12">
      <c r="A20" s="46"/>
      <c r="B20" s="46"/>
      <c r="C20" s="46"/>
      <c r="D20" s="46"/>
      <c r="E20" s="46"/>
      <c r="F20" s="46"/>
      <c r="G20" s="46"/>
      <c r="H20" s="46"/>
      <c r="I20" s="46"/>
      <c r="J20" s="46"/>
      <c r="K20" s="46"/>
      <c r="L20" s="46"/>
    </row>
  </sheetData>
  <mergeCells count="1">
    <mergeCell ref="A1:L1"/>
  </mergeCells>
  <dataValidations count="2">
    <dataValidation type="list" sqref="H6:H17" xr:uid="{00000000-0002-0000-0F00-000000000000}">
      <formula1>"No formula match recorded,Not present - evidence linked,Present within restriction,REVIEW - possible formula match,Prohibited - remove,Needs Regulatory Review"</formula1>
    </dataValidation>
    <dataValidation type="list" allowBlank="1" sqref="C8:C19 H8:H19" xr:uid="{00000000-0002-0000-0F00-000001000000}">
      <formula1>"Not Started,In Progress,Needs Review,Complete,Not Applicable,Blocked"</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L20"/>
  <sheetViews>
    <sheetView showGridLines="0" workbookViewId="0">
      <selection activeCell="D27" sqref="D27"/>
    </sheetView>
  </sheetViews>
  <sheetFormatPr defaultRowHeight="15"/>
  <cols>
    <col min="1" max="1" width="28" customWidth="1"/>
    <col min="2" max="2" width="24" customWidth="1"/>
    <col min="3" max="3" width="32" customWidth="1"/>
    <col min="4" max="4" width="38" customWidth="1"/>
    <col min="5" max="5" width="28" customWidth="1"/>
    <col min="6" max="6" width="30" customWidth="1"/>
    <col min="7" max="7" width="18" customWidth="1"/>
    <col min="8" max="8" width="20" customWidth="1"/>
    <col min="9" max="9" width="28" customWidth="1"/>
    <col min="10" max="11" width="20" customWidth="1"/>
    <col min="12" max="12" width="30" customWidth="1"/>
  </cols>
  <sheetData>
    <row r="1" spans="1:12" s="48" customFormat="1">
      <c r="A1" s="179" t="s">
        <v>2352</v>
      </c>
      <c r="B1" s="179"/>
      <c r="C1" s="179"/>
      <c r="D1" s="179"/>
      <c r="E1" s="179"/>
      <c r="F1" s="179"/>
      <c r="G1" s="179"/>
      <c r="H1" s="179"/>
      <c r="I1" s="179"/>
      <c r="J1" s="179"/>
      <c r="K1" s="179"/>
      <c r="L1" s="179"/>
    </row>
    <row r="2" spans="1:12" ht="24" customHeight="1">
      <c r="A2" s="56" t="s">
        <v>0</v>
      </c>
      <c r="B2" s="56"/>
      <c r="C2" s="56"/>
      <c r="D2" s="56"/>
      <c r="E2" s="56"/>
      <c r="F2" s="56"/>
      <c r="G2" s="56"/>
      <c r="H2" s="56"/>
      <c r="I2" s="56"/>
      <c r="J2" s="56"/>
      <c r="K2" s="56"/>
      <c r="L2" s="56"/>
    </row>
    <row r="3" spans="1:12" ht="30" customHeight="1">
      <c r="A3" s="45" t="s">
        <v>2353</v>
      </c>
      <c r="B3" s="45"/>
      <c r="C3" s="45"/>
      <c r="D3" s="45"/>
      <c r="E3" s="45"/>
      <c r="F3" s="45"/>
      <c r="G3" s="45"/>
      <c r="H3" s="45"/>
      <c r="I3" s="45"/>
      <c r="J3" s="45"/>
      <c r="K3" s="45"/>
      <c r="L3" s="45"/>
    </row>
    <row r="4" spans="1:12" ht="30" customHeight="1">
      <c r="A4" s="44" t="s">
        <v>2354</v>
      </c>
      <c r="B4" s="44"/>
      <c r="C4" s="44"/>
      <c r="D4" s="44"/>
      <c r="E4" s="44"/>
      <c r="F4" s="44"/>
      <c r="G4" s="44"/>
      <c r="H4" s="44"/>
      <c r="I4" s="44"/>
      <c r="J4" s="44"/>
      <c r="K4" s="44"/>
      <c r="L4" s="44"/>
    </row>
    <row r="5" spans="1:12">
      <c r="A5" s="46"/>
      <c r="B5" s="46"/>
      <c r="C5" s="46"/>
      <c r="D5" s="46"/>
      <c r="E5" s="46"/>
      <c r="F5" s="46"/>
      <c r="G5" s="46"/>
      <c r="H5" s="46"/>
      <c r="I5" s="46"/>
      <c r="J5" s="46"/>
      <c r="K5" s="46"/>
      <c r="L5" s="46"/>
    </row>
    <row r="6" spans="1:12" ht="21.95" customHeight="1">
      <c r="A6" s="57" t="s">
        <v>2355</v>
      </c>
      <c r="B6" s="57"/>
      <c r="C6" s="57"/>
      <c r="D6" s="57"/>
      <c r="E6" s="57"/>
      <c r="F6" s="57"/>
      <c r="G6" s="57"/>
      <c r="H6" s="57"/>
      <c r="I6" s="57"/>
      <c r="J6" s="57"/>
      <c r="K6" s="57"/>
      <c r="L6" s="57"/>
    </row>
    <row r="7" spans="1:12" ht="33.950000000000003" customHeight="1">
      <c r="A7" s="36" t="s">
        <v>2270</v>
      </c>
      <c r="B7" s="36" t="s">
        <v>1743</v>
      </c>
      <c r="C7" s="36" t="s">
        <v>2356</v>
      </c>
      <c r="D7" s="36" t="s">
        <v>2357</v>
      </c>
      <c r="E7" s="36" t="s">
        <v>2273</v>
      </c>
      <c r="F7" s="36" t="s">
        <v>2274</v>
      </c>
      <c r="G7" s="36" t="s">
        <v>2358</v>
      </c>
      <c r="H7" s="36" t="s">
        <v>2276</v>
      </c>
      <c r="I7" s="36" t="s">
        <v>578</v>
      </c>
      <c r="J7" s="36" t="s">
        <v>144</v>
      </c>
      <c r="K7" s="36" t="s">
        <v>1960</v>
      </c>
      <c r="L7" s="36" t="s">
        <v>70</v>
      </c>
    </row>
    <row r="8" spans="1:12">
      <c r="A8" s="37" t="s">
        <v>2359</v>
      </c>
      <c r="B8" s="37" t="s">
        <v>2360</v>
      </c>
      <c r="C8" s="37" t="s">
        <v>2361</v>
      </c>
      <c r="D8" s="37" t="s">
        <v>2362</v>
      </c>
      <c r="E8" s="37" t="s">
        <v>2363</v>
      </c>
      <c r="F8" s="37" t="s">
        <v>2364</v>
      </c>
      <c r="G8" s="37"/>
      <c r="H8" s="37" t="s">
        <v>2365</v>
      </c>
      <c r="I8" s="37"/>
      <c r="J8" s="37" t="s">
        <v>2332</v>
      </c>
      <c r="K8" s="37" t="s">
        <v>702</v>
      </c>
      <c r="L8" s="37" t="s">
        <v>2366</v>
      </c>
    </row>
    <row r="9" spans="1:12">
      <c r="A9" s="37" t="s">
        <v>2367</v>
      </c>
      <c r="B9" s="37" t="s">
        <v>2360</v>
      </c>
      <c r="C9" s="37" t="s">
        <v>2368</v>
      </c>
      <c r="D9" s="37" t="s">
        <v>2369</v>
      </c>
      <c r="E9" s="37" t="s">
        <v>2370</v>
      </c>
      <c r="F9" s="37" t="s">
        <v>2364</v>
      </c>
      <c r="G9" s="37"/>
      <c r="H9" s="37" t="s">
        <v>2365</v>
      </c>
      <c r="I9" s="37"/>
      <c r="J9" s="37" t="s">
        <v>2332</v>
      </c>
      <c r="K9" s="37" t="s">
        <v>702</v>
      </c>
      <c r="L9" s="37" t="s">
        <v>2371</v>
      </c>
    </row>
    <row r="10" spans="1:12">
      <c r="A10" s="37" t="s">
        <v>2372</v>
      </c>
      <c r="B10" s="37" t="s">
        <v>2373</v>
      </c>
      <c r="C10" s="37" t="s">
        <v>2374</v>
      </c>
      <c r="D10" s="37" t="s">
        <v>2375</v>
      </c>
      <c r="E10" s="37" t="s">
        <v>2376</v>
      </c>
      <c r="F10" s="37" t="s">
        <v>2364</v>
      </c>
      <c r="G10" s="37"/>
      <c r="H10" s="37" t="s">
        <v>2365</v>
      </c>
      <c r="I10" s="37"/>
      <c r="J10" s="37" t="s">
        <v>2332</v>
      </c>
      <c r="K10" s="37" t="s">
        <v>702</v>
      </c>
      <c r="L10" s="37" t="s">
        <v>2377</v>
      </c>
    </row>
    <row r="11" spans="1:12">
      <c r="A11" s="37" t="s">
        <v>2378</v>
      </c>
      <c r="B11" s="37" t="s">
        <v>2379</v>
      </c>
      <c r="C11" s="37" t="s">
        <v>2380</v>
      </c>
      <c r="D11" s="37" t="s">
        <v>2381</v>
      </c>
      <c r="E11" s="37" t="s">
        <v>2382</v>
      </c>
      <c r="F11" s="37" t="s">
        <v>2383</v>
      </c>
      <c r="G11" s="37"/>
      <c r="H11" s="37" t="s">
        <v>2365</v>
      </c>
      <c r="I11" s="37"/>
      <c r="J11" s="37" t="s">
        <v>894</v>
      </c>
      <c r="K11" s="37" t="s">
        <v>702</v>
      </c>
      <c r="L11" s="37" t="s">
        <v>2384</v>
      </c>
    </row>
    <row r="12" spans="1:12">
      <c r="A12" s="37" t="s">
        <v>2385</v>
      </c>
      <c r="B12" s="37" t="s">
        <v>2386</v>
      </c>
      <c r="C12" s="37" t="s">
        <v>2387</v>
      </c>
      <c r="D12" s="37" t="s">
        <v>2388</v>
      </c>
      <c r="E12" s="37" t="s">
        <v>2389</v>
      </c>
      <c r="F12" s="37" t="s">
        <v>2390</v>
      </c>
      <c r="G12" s="37"/>
      <c r="H12" s="37" t="s">
        <v>2365</v>
      </c>
      <c r="I12" s="37"/>
      <c r="J12" s="37" t="s">
        <v>518</v>
      </c>
      <c r="K12" s="37" t="s">
        <v>702</v>
      </c>
      <c r="L12" s="37" t="s">
        <v>2391</v>
      </c>
    </row>
    <row r="13" spans="1:12">
      <c r="A13" s="37" t="s">
        <v>2392</v>
      </c>
      <c r="B13" s="37" t="s">
        <v>2393</v>
      </c>
      <c r="C13" s="37" t="s">
        <v>2394</v>
      </c>
      <c r="D13" s="37" t="s">
        <v>2395</v>
      </c>
      <c r="E13" s="37" t="s">
        <v>2396</v>
      </c>
      <c r="F13" s="37" t="s">
        <v>2397</v>
      </c>
      <c r="G13" s="37"/>
      <c r="H13" s="37" t="s">
        <v>2365</v>
      </c>
      <c r="I13" s="37"/>
      <c r="J13" s="37" t="s">
        <v>518</v>
      </c>
      <c r="K13" s="37" t="s">
        <v>702</v>
      </c>
      <c r="L13" s="37" t="s">
        <v>2398</v>
      </c>
    </row>
    <row r="14" spans="1:12">
      <c r="A14" s="37" t="s">
        <v>2399</v>
      </c>
      <c r="B14" s="37" t="s">
        <v>2400</v>
      </c>
      <c r="C14" s="37" t="s">
        <v>2401</v>
      </c>
      <c r="D14" s="37" t="s">
        <v>2402</v>
      </c>
      <c r="E14" s="37" t="s">
        <v>2403</v>
      </c>
      <c r="F14" s="37" t="s">
        <v>2404</v>
      </c>
      <c r="G14" s="37"/>
      <c r="H14" s="37" t="s">
        <v>2365</v>
      </c>
      <c r="I14" s="37"/>
      <c r="J14" s="37" t="s">
        <v>180</v>
      </c>
      <c r="K14" s="37" t="s">
        <v>702</v>
      </c>
      <c r="L14" s="37" t="s">
        <v>2405</v>
      </c>
    </row>
    <row r="15" spans="1:12">
      <c r="A15" s="37" t="s">
        <v>2406</v>
      </c>
      <c r="B15" s="37" t="s">
        <v>2407</v>
      </c>
      <c r="C15" s="37" t="s">
        <v>2408</v>
      </c>
      <c r="D15" s="37" t="s">
        <v>2409</v>
      </c>
      <c r="E15" s="37" t="s">
        <v>2410</v>
      </c>
      <c r="F15" s="37" t="s">
        <v>2404</v>
      </c>
      <c r="G15" s="37"/>
      <c r="H15" s="37" t="s">
        <v>2365</v>
      </c>
      <c r="I15" s="37"/>
      <c r="J15" s="37" t="s">
        <v>180</v>
      </c>
      <c r="K15" s="37" t="s">
        <v>702</v>
      </c>
      <c r="L15" s="37" t="s">
        <v>2405</v>
      </c>
    </row>
    <row r="16" spans="1:12">
      <c r="A16" s="37" t="s">
        <v>2411</v>
      </c>
      <c r="B16" s="37" t="s">
        <v>2412</v>
      </c>
      <c r="C16" s="37" t="s">
        <v>2413</v>
      </c>
      <c r="D16" s="37" t="s">
        <v>2414</v>
      </c>
      <c r="E16" s="37" t="s">
        <v>2415</v>
      </c>
      <c r="F16" s="37" t="s">
        <v>2404</v>
      </c>
      <c r="G16" s="37"/>
      <c r="H16" s="37" t="s">
        <v>2365</v>
      </c>
      <c r="I16" s="37"/>
      <c r="J16" s="37" t="s">
        <v>180</v>
      </c>
      <c r="K16" s="37" t="s">
        <v>702</v>
      </c>
      <c r="L16" s="37" t="s">
        <v>2416</v>
      </c>
    </row>
    <row r="17" spans="1:12">
      <c r="A17" s="37" t="s">
        <v>2417</v>
      </c>
      <c r="B17" s="37" t="s">
        <v>2418</v>
      </c>
      <c r="C17" s="37" t="s">
        <v>2419</v>
      </c>
      <c r="D17" s="37" t="s">
        <v>2420</v>
      </c>
      <c r="E17" s="37" t="s">
        <v>2421</v>
      </c>
      <c r="F17" s="37" t="s">
        <v>2422</v>
      </c>
      <c r="G17" s="37"/>
      <c r="H17" s="37" t="s">
        <v>2365</v>
      </c>
      <c r="I17" s="37"/>
      <c r="J17" s="37" t="s">
        <v>894</v>
      </c>
      <c r="K17" s="37" t="s">
        <v>702</v>
      </c>
      <c r="L17" s="37" t="s">
        <v>2423</v>
      </c>
    </row>
    <row r="18" spans="1:12">
      <c r="A18" s="37" t="s">
        <v>2424</v>
      </c>
      <c r="B18" s="37" t="s">
        <v>2425</v>
      </c>
      <c r="C18" s="37" t="s">
        <v>2426</v>
      </c>
      <c r="D18" s="37" t="s">
        <v>2427</v>
      </c>
      <c r="E18" s="37" t="s">
        <v>2428</v>
      </c>
      <c r="F18" s="37" t="s">
        <v>2429</v>
      </c>
      <c r="G18" s="37"/>
      <c r="H18" s="37" t="s">
        <v>2365</v>
      </c>
      <c r="I18" s="37"/>
      <c r="J18" s="37" t="s">
        <v>180</v>
      </c>
      <c r="K18" s="37" t="s">
        <v>702</v>
      </c>
      <c r="L18" s="37" t="s">
        <v>2430</v>
      </c>
    </row>
    <row r="19" spans="1:12">
      <c r="A19" s="37" t="s">
        <v>2431</v>
      </c>
      <c r="B19" s="37" t="s">
        <v>2432</v>
      </c>
      <c r="C19" s="37" t="s">
        <v>2433</v>
      </c>
      <c r="D19" s="37" t="s">
        <v>2434</v>
      </c>
      <c r="E19" s="37" t="s">
        <v>2435</v>
      </c>
      <c r="F19" s="37" t="s">
        <v>2390</v>
      </c>
      <c r="G19" s="37"/>
      <c r="H19" s="37" t="s">
        <v>2365</v>
      </c>
      <c r="I19" s="37"/>
      <c r="J19" s="37" t="s">
        <v>894</v>
      </c>
      <c r="K19" s="37" t="s">
        <v>702</v>
      </c>
      <c r="L19" s="37" t="s">
        <v>2436</v>
      </c>
    </row>
    <row r="20" spans="1:12">
      <c r="A20" s="46"/>
      <c r="B20" s="46"/>
      <c r="C20" s="46"/>
      <c r="D20" s="46"/>
      <c r="E20" s="46"/>
      <c r="F20" s="46"/>
      <c r="G20" s="46"/>
      <c r="H20" s="46"/>
      <c r="I20" s="46"/>
      <c r="J20" s="46"/>
      <c r="K20" s="46"/>
      <c r="L20" s="46"/>
    </row>
  </sheetData>
  <mergeCells count="1">
    <mergeCell ref="A1:L1"/>
  </mergeCells>
  <dataValidations count="2">
    <dataValidation type="list" sqref="H6:H17" xr:uid="{00000000-0002-0000-1000-000000000000}">
      <formula1>"Not assessed,Not present,Within limit - evidence linked,Exceeds limit - reformulate,Needs Safety Review,Needs Regulatory Review"</formula1>
    </dataValidation>
    <dataValidation type="list" allowBlank="1" sqref="C8:C19 H8:H19" xr:uid="{00000000-0002-0000-1000-000001000000}">
      <formula1>"Not Started,In Progress,Needs Review,Complete,Not Applicable,Blocked"</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P121"/>
  <sheetViews>
    <sheetView showGridLines="0" workbookViewId="0"/>
  </sheetViews>
  <sheetFormatPr defaultRowHeight="15"/>
  <cols>
    <col min="1" max="1" width="12" customWidth="1"/>
    <col min="2" max="2" width="28" customWidth="1"/>
    <col min="3" max="3" width="38" customWidth="1"/>
    <col min="4" max="4" width="30" customWidth="1"/>
    <col min="5" max="5" width="24" customWidth="1"/>
    <col min="6" max="6" width="18" customWidth="1"/>
    <col min="7" max="7" width="34" customWidth="1"/>
    <col min="8" max="8" width="18" customWidth="1"/>
    <col min="9" max="10" width="34" customWidth="1"/>
    <col min="11" max="11" width="24" customWidth="1"/>
    <col min="12" max="12" width="30" customWidth="1"/>
    <col min="13" max="13" width="18" customWidth="1"/>
    <col min="14" max="14" width="22" customWidth="1"/>
    <col min="15" max="15" width="28" customWidth="1"/>
    <col min="16" max="16" width="32" customWidth="1"/>
  </cols>
  <sheetData>
    <row r="1" spans="1:16" s="48" customFormat="1">
      <c r="A1" s="179" t="s">
        <v>2352</v>
      </c>
      <c r="B1" s="179"/>
      <c r="C1" s="179"/>
      <c r="D1" s="179"/>
      <c r="E1" s="179"/>
      <c r="F1" s="179"/>
      <c r="G1" s="179"/>
      <c r="H1" s="179"/>
      <c r="I1" s="179"/>
      <c r="J1" s="179"/>
      <c r="K1" s="179"/>
      <c r="L1" s="179"/>
      <c r="M1" s="179"/>
      <c r="N1" s="179"/>
      <c r="O1" s="179"/>
      <c r="P1" s="179"/>
    </row>
    <row r="2" spans="1:16" ht="24" customHeight="1">
      <c r="A2" s="56" t="s">
        <v>0</v>
      </c>
      <c r="B2" s="56"/>
      <c r="C2" s="56"/>
      <c r="D2" s="56"/>
      <c r="E2" s="56"/>
      <c r="F2" s="56"/>
      <c r="G2" s="56"/>
      <c r="H2" s="56"/>
      <c r="I2" s="56"/>
      <c r="J2" s="48"/>
      <c r="K2" s="48"/>
      <c r="L2" s="48"/>
      <c r="M2" s="48"/>
      <c r="N2" s="48"/>
      <c r="O2" s="48"/>
      <c r="P2" s="48"/>
    </row>
    <row r="3" spans="1:16" ht="30" customHeight="1">
      <c r="A3" s="168" t="s">
        <v>2437</v>
      </c>
      <c r="B3" s="193"/>
      <c r="C3" s="193"/>
      <c r="D3" s="193"/>
      <c r="E3" s="193"/>
      <c r="F3" s="193"/>
      <c r="G3" s="193"/>
      <c r="H3" s="193"/>
      <c r="I3" s="193"/>
      <c r="J3" s="193"/>
      <c r="K3" s="193"/>
      <c r="L3" s="193"/>
      <c r="M3" s="193"/>
      <c r="N3" s="193"/>
      <c r="O3" s="193"/>
      <c r="P3" s="193"/>
    </row>
    <row r="4" spans="1:16" ht="30" customHeight="1">
      <c r="A4" s="167" t="s">
        <v>2438</v>
      </c>
      <c r="B4" s="193"/>
      <c r="C4" s="193"/>
      <c r="D4" s="193"/>
      <c r="E4" s="193"/>
      <c r="F4" s="193"/>
      <c r="G4" s="193"/>
      <c r="H4" s="193"/>
      <c r="I4" s="193"/>
      <c r="J4" s="193"/>
      <c r="K4" s="193"/>
      <c r="L4" s="193"/>
      <c r="M4" s="193"/>
      <c r="N4" s="193"/>
      <c r="O4" s="193"/>
      <c r="P4" s="193"/>
    </row>
    <row r="5" spans="1:16">
      <c r="A5" s="46"/>
      <c r="B5" s="46"/>
      <c r="C5" s="46"/>
      <c r="D5" s="46"/>
      <c r="E5" s="46"/>
      <c r="F5" s="46"/>
      <c r="G5" s="46"/>
      <c r="H5" s="46"/>
      <c r="I5" s="46"/>
      <c r="J5" s="48"/>
      <c r="K5" s="48"/>
      <c r="L5" s="48"/>
      <c r="M5" s="48"/>
      <c r="N5" s="48"/>
      <c r="O5" s="48"/>
      <c r="P5" s="48"/>
    </row>
    <row r="6" spans="1:16" ht="21.95" customHeight="1">
      <c r="A6" s="57" t="s">
        <v>2439</v>
      </c>
      <c r="B6" s="57"/>
      <c r="C6" s="57"/>
      <c r="D6" s="57"/>
      <c r="E6" s="57"/>
      <c r="F6" s="57"/>
      <c r="G6" s="57"/>
      <c r="H6" s="57"/>
      <c r="I6" s="57"/>
      <c r="J6" s="48"/>
      <c r="K6" s="48"/>
      <c r="L6" s="48"/>
      <c r="M6" s="48"/>
      <c r="N6" s="48"/>
      <c r="O6" s="48"/>
      <c r="P6" s="48"/>
    </row>
    <row r="7" spans="1:16" ht="33.950000000000003" customHeight="1">
      <c r="A7" s="36" t="s">
        <v>2440</v>
      </c>
      <c r="B7" s="36" t="s">
        <v>2441</v>
      </c>
      <c r="C7" s="36" t="s">
        <v>576</v>
      </c>
      <c r="D7" s="36" t="s">
        <v>578</v>
      </c>
      <c r="E7" s="36" t="s">
        <v>144</v>
      </c>
      <c r="F7" s="36" t="s">
        <v>145</v>
      </c>
      <c r="G7" s="36" t="s">
        <v>70</v>
      </c>
      <c r="H7" s="36"/>
      <c r="I7" s="36"/>
      <c r="J7" s="48"/>
      <c r="K7" s="48"/>
      <c r="L7" s="48"/>
      <c r="M7" s="48"/>
      <c r="N7" s="48"/>
      <c r="O7" s="48"/>
      <c r="P7" s="48"/>
    </row>
    <row r="8" spans="1:16" ht="30" customHeight="1">
      <c r="A8" s="37" t="s">
        <v>2442</v>
      </c>
      <c r="B8" s="37" t="s">
        <v>2443</v>
      </c>
      <c r="C8" s="37" t="s">
        <v>2444</v>
      </c>
      <c r="D8" s="37"/>
      <c r="E8" s="37" t="s">
        <v>555</v>
      </c>
      <c r="F8" s="37" t="s">
        <v>152</v>
      </c>
      <c r="G8" s="37"/>
      <c r="H8" s="37"/>
      <c r="I8" s="37"/>
      <c r="J8" s="48"/>
      <c r="K8" s="48"/>
      <c r="L8" s="48"/>
      <c r="M8" s="48"/>
      <c r="N8" s="48"/>
      <c r="O8" s="48"/>
      <c r="P8" s="48"/>
    </row>
    <row r="9" spans="1:16" ht="30" customHeight="1">
      <c r="A9" s="37" t="s">
        <v>2445</v>
      </c>
      <c r="B9" s="37" t="s">
        <v>2446</v>
      </c>
      <c r="C9" s="37" t="s">
        <v>2447</v>
      </c>
      <c r="D9" s="37"/>
      <c r="E9" s="37" t="s">
        <v>2332</v>
      </c>
      <c r="F9" s="37" t="s">
        <v>152</v>
      </c>
      <c r="G9" s="37"/>
      <c r="H9" s="37"/>
      <c r="I9" s="37"/>
      <c r="J9" s="48"/>
      <c r="K9" s="48"/>
      <c r="L9" s="48"/>
      <c r="M9" s="48"/>
      <c r="N9" s="48"/>
      <c r="O9" s="48"/>
      <c r="P9" s="48"/>
    </row>
    <row r="10" spans="1:16" ht="30" customHeight="1">
      <c r="A10" s="37" t="s">
        <v>2448</v>
      </c>
      <c r="B10" s="37" t="s">
        <v>2449</v>
      </c>
      <c r="C10" s="37" t="s">
        <v>2450</v>
      </c>
      <c r="D10" s="37"/>
      <c r="E10" s="37" t="s">
        <v>176</v>
      </c>
      <c r="F10" s="37" t="s">
        <v>152</v>
      </c>
      <c r="G10" s="37"/>
      <c r="H10" s="37"/>
      <c r="I10" s="37"/>
      <c r="J10" s="48"/>
      <c r="K10" s="48"/>
      <c r="L10" s="48"/>
      <c r="M10" s="48"/>
      <c r="N10" s="48"/>
      <c r="O10" s="48"/>
      <c r="P10" s="48"/>
    </row>
    <row r="11" spans="1:16" ht="30" customHeight="1">
      <c r="A11" s="37" t="s">
        <v>2451</v>
      </c>
      <c r="B11" s="37" t="s">
        <v>2452</v>
      </c>
      <c r="C11" s="37" t="s">
        <v>2453</v>
      </c>
      <c r="D11" s="37"/>
      <c r="E11" s="37" t="s">
        <v>2454</v>
      </c>
      <c r="F11" s="37" t="s">
        <v>152</v>
      </c>
      <c r="G11" s="37"/>
      <c r="H11" s="37"/>
      <c r="I11" s="37"/>
      <c r="J11" s="48"/>
      <c r="K11" s="48"/>
      <c r="L11" s="48"/>
      <c r="M11" s="48"/>
      <c r="N11" s="48"/>
      <c r="O11" s="48"/>
      <c r="P11" s="48"/>
    </row>
    <row r="12" spans="1:16" ht="30" customHeight="1">
      <c r="A12" s="37" t="s">
        <v>2455</v>
      </c>
      <c r="B12" s="37" t="s">
        <v>2456</v>
      </c>
      <c r="C12" s="37" t="s">
        <v>2457</v>
      </c>
      <c r="D12" s="37"/>
      <c r="E12" s="37" t="s">
        <v>233</v>
      </c>
      <c r="F12" s="37" t="s">
        <v>152</v>
      </c>
      <c r="G12" s="37"/>
      <c r="H12" s="37"/>
      <c r="I12" s="37"/>
      <c r="J12" s="48"/>
      <c r="K12" s="48"/>
      <c r="L12" s="48"/>
      <c r="M12" s="48"/>
      <c r="N12" s="48"/>
      <c r="O12" s="48"/>
      <c r="P12" s="48"/>
    </row>
    <row r="13" spans="1:16" ht="30" customHeight="1">
      <c r="A13" s="37" t="s">
        <v>2458</v>
      </c>
      <c r="B13" s="37" t="s">
        <v>2459</v>
      </c>
      <c r="C13" s="37" t="s">
        <v>2460</v>
      </c>
      <c r="D13" s="37"/>
      <c r="E13" s="37" t="s">
        <v>277</v>
      </c>
      <c r="F13" s="37" t="s">
        <v>152</v>
      </c>
      <c r="G13" s="37"/>
      <c r="H13" s="37"/>
      <c r="I13" s="37"/>
      <c r="J13" s="48"/>
      <c r="K13" s="48"/>
      <c r="L13" s="48"/>
      <c r="M13" s="48"/>
      <c r="N13" s="48"/>
      <c r="O13" s="48"/>
      <c r="P13" s="48"/>
    </row>
    <row r="14" spans="1:16" ht="30" customHeight="1">
      <c r="A14" s="46"/>
      <c r="B14" s="46"/>
      <c r="C14" s="46"/>
      <c r="D14" s="46"/>
      <c r="E14" s="46"/>
      <c r="F14" s="46"/>
      <c r="G14" s="46"/>
      <c r="H14" s="46"/>
      <c r="I14" s="46"/>
      <c r="J14" s="48"/>
      <c r="K14" s="48"/>
      <c r="L14" s="48"/>
      <c r="M14" s="48"/>
      <c r="N14" s="48"/>
      <c r="O14" s="48"/>
      <c r="P14" s="48"/>
    </row>
    <row r="15" spans="1:16" ht="21.95" customHeight="1">
      <c r="A15" s="57" t="s">
        <v>2461</v>
      </c>
      <c r="B15" s="57"/>
      <c r="C15" s="57"/>
      <c r="D15" s="57"/>
      <c r="E15" s="57"/>
      <c r="F15" s="57"/>
      <c r="G15" s="57"/>
      <c r="H15" s="57"/>
      <c r="I15" s="57"/>
      <c r="J15" s="48"/>
      <c r="K15" s="48"/>
      <c r="L15" s="48"/>
      <c r="M15" s="48"/>
      <c r="N15" s="48"/>
      <c r="O15" s="48"/>
      <c r="P15" s="48"/>
    </row>
    <row r="16" spans="1:16" ht="33.950000000000003" customHeight="1">
      <c r="A16" s="36" t="s">
        <v>2462</v>
      </c>
      <c r="B16" s="36" t="s">
        <v>1744</v>
      </c>
      <c r="C16" s="36" t="s">
        <v>2463</v>
      </c>
      <c r="D16" s="36" t="s">
        <v>2464</v>
      </c>
      <c r="E16" s="36" t="s">
        <v>2465</v>
      </c>
      <c r="F16" s="36" t="s">
        <v>2466</v>
      </c>
      <c r="G16" s="36" t="s">
        <v>2467</v>
      </c>
      <c r="H16" s="36" t="s">
        <v>145</v>
      </c>
      <c r="I16" s="36" t="s">
        <v>70</v>
      </c>
      <c r="J16" s="48"/>
      <c r="K16" s="48"/>
      <c r="L16" s="48"/>
      <c r="M16" s="48"/>
      <c r="N16" s="48"/>
      <c r="O16" s="48"/>
      <c r="P16" s="48"/>
    </row>
    <row r="17" spans="1:16" ht="30" customHeight="1">
      <c r="A17" s="37"/>
      <c r="B17" s="37"/>
      <c r="C17" s="37"/>
      <c r="D17" s="37"/>
      <c r="E17" s="37"/>
      <c r="F17" s="37"/>
      <c r="G17" s="42"/>
      <c r="H17" s="37" t="s">
        <v>152</v>
      </c>
      <c r="I17" s="37"/>
      <c r="J17" s="48"/>
      <c r="K17" s="48"/>
      <c r="L17" s="48"/>
      <c r="M17" s="48"/>
      <c r="N17" s="48"/>
      <c r="O17" s="48"/>
      <c r="P17" s="48"/>
    </row>
    <row r="18" spans="1:16" ht="30" customHeight="1">
      <c r="A18" s="37"/>
      <c r="B18" s="37"/>
      <c r="C18" s="37"/>
      <c r="D18" s="37"/>
      <c r="E18" s="37"/>
      <c r="F18" s="37"/>
      <c r="G18" s="42"/>
      <c r="H18" s="37" t="s">
        <v>152</v>
      </c>
      <c r="I18" s="37"/>
      <c r="J18" s="48"/>
      <c r="K18" s="48"/>
      <c r="L18" s="48"/>
      <c r="M18" s="48"/>
      <c r="N18" s="48"/>
      <c r="O18" s="48"/>
      <c r="P18" s="48"/>
    </row>
    <row r="19" spans="1:16" ht="30" customHeight="1">
      <c r="A19" s="37"/>
      <c r="B19" s="37"/>
      <c r="C19" s="37"/>
      <c r="D19" s="37"/>
      <c r="E19" s="37"/>
      <c r="F19" s="37"/>
      <c r="G19" s="42"/>
      <c r="H19" s="37" t="s">
        <v>152</v>
      </c>
      <c r="I19" s="37"/>
      <c r="J19" s="48"/>
      <c r="K19" s="48"/>
      <c r="L19" s="48"/>
      <c r="M19" s="48"/>
      <c r="N19" s="48"/>
      <c r="O19" s="48"/>
      <c r="P19" s="48"/>
    </row>
    <row r="20" spans="1:16" ht="30" customHeight="1">
      <c r="A20" s="37"/>
      <c r="B20" s="37"/>
      <c r="C20" s="37"/>
      <c r="D20" s="37"/>
      <c r="E20" s="37"/>
      <c r="F20" s="37"/>
      <c r="G20" s="42"/>
      <c r="H20" s="37" t="s">
        <v>152</v>
      </c>
      <c r="I20" s="37"/>
      <c r="J20" s="48"/>
      <c r="K20" s="48"/>
      <c r="L20" s="48"/>
      <c r="M20" s="48"/>
      <c r="N20" s="48"/>
      <c r="O20" s="48"/>
      <c r="P20" s="48"/>
    </row>
    <row r="21" spans="1:16" ht="30" customHeight="1">
      <c r="A21" s="37"/>
      <c r="B21" s="37"/>
      <c r="C21" s="37"/>
      <c r="D21" s="37"/>
      <c r="E21" s="37"/>
      <c r="F21" s="37"/>
      <c r="G21" s="42"/>
      <c r="H21" s="37" t="s">
        <v>152</v>
      </c>
      <c r="I21" s="37"/>
      <c r="J21" s="48"/>
      <c r="K21" s="48"/>
      <c r="L21" s="48"/>
      <c r="M21" s="48"/>
      <c r="N21" s="48"/>
      <c r="O21" s="48"/>
      <c r="P21" s="48"/>
    </row>
    <row r="22" spans="1:16" ht="30" customHeight="1">
      <c r="A22" s="37"/>
      <c r="B22" s="37"/>
      <c r="C22" s="37"/>
      <c r="D22" s="37"/>
      <c r="E22" s="37"/>
      <c r="F22" s="37"/>
      <c r="G22" s="42"/>
      <c r="H22" s="37" t="s">
        <v>152</v>
      </c>
      <c r="I22" s="37"/>
      <c r="J22" s="48"/>
      <c r="K22" s="48"/>
      <c r="L22" s="48"/>
      <c r="M22" s="48"/>
      <c r="N22" s="48"/>
      <c r="O22" s="48"/>
      <c r="P22" s="48"/>
    </row>
    <row r="23" spans="1:16" ht="30" customHeight="1">
      <c r="A23" s="37"/>
      <c r="B23" s="37"/>
      <c r="C23" s="37"/>
      <c r="D23" s="37"/>
      <c r="E23" s="37"/>
      <c r="F23" s="37"/>
      <c r="G23" s="42"/>
      <c r="H23" s="37" t="s">
        <v>152</v>
      </c>
      <c r="I23" s="37"/>
      <c r="J23" s="48"/>
      <c r="K23" s="48"/>
      <c r="L23" s="48"/>
      <c r="M23" s="48"/>
      <c r="N23" s="48"/>
      <c r="O23" s="48"/>
      <c r="P23" s="48"/>
    </row>
    <row r="24" spans="1:16" ht="30" customHeight="1">
      <c r="A24" s="37"/>
      <c r="B24" s="37"/>
      <c r="C24" s="37"/>
      <c r="D24" s="37"/>
      <c r="E24" s="37"/>
      <c r="F24" s="37"/>
      <c r="G24" s="42"/>
      <c r="H24" s="37" t="s">
        <v>152</v>
      </c>
      <c r="I24" s="37"/>
      <c r="J24" s="48"/>
      <c r="K24" s="48"/>
      <c r="L24" s="48"/>
      <c r="M24" s="48"/>
      <c r="N24" s="48"/>
      <c r="O24" s="48"/>
      <c r="P24" s="48"/>
    </row>
    <row r="25" spans="1:16" ht="30" customHeight="1">
      <c r="A25" s="37"/>
      <c r="B25" s="37"/>
      <c r="C25" s="37"/>
      <c r="D25" s="37"/>
      <c r="E25" s="37"/>
      <c r="F25" s="37"/>
      <c r="G25" s="42"/>
      <c r="H25" s="37" t="s">
        <v>152</v>
      </c>
      <c r="I25" s="37"/>
      <c r="J25" s="48"/>
      <c r="K25" s="48"/>
      <c r="L25" s="48"/>
      <c r="M25" s="48"/>
      <c r="N25" s="48"/>
      <c r="O25" s="48"/>
      <c r="P25" s="48"/>
    </row>
    <row r="26" spans="1:16" ht="30" customHeight="1">
      <c r="A26" s="37"/>
      <c r="B26" s="37"/>
      <c r="C26" s="37"/>
      <c r="D26" s="37"/>
      <c r="E26" s="37"/>
      <c r="F26" s="37"/>
      <c r="G26" s="42"/>
      <c r="H26" s="37" t="s">
        <v>152</v>
      </c>
      <c r="I26" s="37"/>
      <c r="J26" s="48"/>
      <c r="K26" s="48"/>
      <c r="L26" s="48"/>
      <c r="M26" s="48"/>
      <c r="N26" s="48"/>
      <c r="O26" s="48"/>
      <c r="P26" s="48"/>
    </row>
    <row r="27" spans="1:16" ht="30" customHeight="1">
      <c r="A27" s="46"/>
      <c r="B27" s="46"/>
      <c r="C27" s="46"/>
      <c r="D27" s="46"/>
      <c r="E27" s="46"/>
      <c r="F27" s="46"/>
      <c r="G27" s="46"/>
      <c r="H27" s="46"/>
      <c r="I27" s="46"/>
      <c r="J27" s="48"/>
      <c r="K27" s="48"/>
      <c r="L27" s="48"/>
      <c r="M27" s="48"/>
      <c r="N27" s="48"/>
      <c r="O27" s="48"/>
      <c r="P27" s="48"/>
    </row>
    <row r="28" spans="1:16" ht="30" customHeight="1">
      <c r="A28" s="48"/>
      <c r="B28" s="48"/>
      <c r="C28" s="48"/>
      <c r="D28" s="48"/>
      <c r="E28" s="48"/>
      <c r="F28" s="48"/>
      <c r="G28" s="48"/>
      <c r="H28" s="48"/>
      <c r="I28" s="48"/>
      <c r="J28" s="48"/>
      <c r="K28" s="48"/>
      <c r="L28" s="48"/>
      <c r="M28" s="48"/>
      <c r="N28" s="48"/>
      <c r="O28" s="48"/>
      <c r="P28" s="48"/>
    </row>
    <row r="29" spans="1:16" ht="30" customHeight="1">
      <c r="A29" s="48"/>
      <c r="B29" s="48"/>
      <c r="C29" s="48"/>
      <c r="D29" s="48"/>
      <c r="E29" s="48"/>
      <c r="F29" s="48"/>
      <c r="G29" s="48"/>
      <c r="H29" s="48"/>
      <c r="I29" s="48"/>
      <c r="J29" s="48"/>
      <c r="K29" s="48"/>
      <c r="L29" s="48"/>
      <c r="M29" s="48"/>
      <c r="N29" s="48"/>
      <c r="O29" s="48"/>
      <c r="P29" s="48"/>
    </row>
    <row r="30" spans="1:16" ht="30" customHeight="1">
      <c r="A30" s="48"/>
      <c r="B30" s="48"/>
      <c r="C30" s="48"/>
      <c r="D30" s="48"/>
      <c r="E30" s="48"/>
      <c r="F30" s="48"/>
      <c r="G30" s="48"/>
      <c r="H30" s="48"/>
      <c r="I30" s="48"/>
      <c r="J30" s="48"/>
      <c r="K30" s="48"/>
      <c r="L30" s="48"/>
      <c r="M30" s="48"/>
      <c r="N30" s="48"/>
      <c r="O30" s="48"/>
      <c r="P30" s="48"/>
    </row>
    <row r="31" spans="1:16" ht="30" customHeight="1">
      <c r="A31" s="48"/>
      <c r="B31" s="48"/>
      <c r="C31" s="48"/>
      <c r="D31" s="48"/>
      <c r="E31" s="48"/>
      <c r="F31" s="48"/>
      <c r="G31" s="48"/>
      <c r="H31" s="48"/>
      <c r="I31" s="48"/>
      <c r="J31" s="48"/>
      <c r="K31" s="48"/>
      <c r="L31" s="48"/>
      <c r="M31" s="48"/>
      <c r="N31" s="48"/>
      <c r="O31" s="48"/>
      <c r="P31" s="48"/>
    </row>
    <row r="32" spans="1:16" ht="30" customHeight="1">
      <c r="A32" s="48"/>
      <c r="B32" s="48"/>
      <c r="C32" s="48"/>
      <c r="D32" s="48"/>
      <c r="E32" s="48"/>
      <c r="F32" s="48"/>
      <c r="G32" s="48"/>
      <c r="H32" s="48"/>
      <c r="I32" s="48"/>
      <c r="J32" s="48"/>
      <c r="K32" s="48"/>
      <c r="L32" s="48"/>
      <c r="M32" s="48"/>
      <c r="N32" s="48"/>
      <c r="O32" s="48"/>
      <c r="P32" s="48"/>
    </row>
    <row r="33" spans="1:16" ht="30" customHeight="1">
      <c r="A33" s="48"/>
      <c r="B33" s="48"/>
      <c r="C33" s="48"/>
      <c r="D33" s="48"/>
      <c r="E33" s="48"/>
      <c r="F33" s="48"/>
      <c r="G33" s="48"/>
      <c r="H33" s="48"/>
      <c r="I33" s="48"/>
      <c r="J33" s="48"/>
      <c r="K33" s="48"/>
      <c r="L33" s="48"/>
      <c r="M33" s="48"/>
      <c r="N33" s="48"/>
      <c r="O33" s="48"/>
      <c r="P33" s="48"/>
    </row>
    <row r="34" spans="1:16" ht="30" customHeight="1">
      <c r="A34" s="48"/>
      <c r="B34" s="48"/>
      <c r="C34" s="48"/>
      <c r="D34" s="48"/>
      <c r="E34" s="48"/>
      <c r="F34" s="48"/>
      <c r="G34" s="48"/>
      <c r="H34" s="48"/>
      <c r="I34" s="48"/>
      <c r="J34" s="48"/>
      <c r="K34" s="48"/>
      <c r="L34" s="48"/>
      <c r="M34" s="48"/>
      <c r="N34" s="48"/>
      <c r="O34" s="48"/>
      <c r="P34" s="48"/>
    </row>
    <row r="35" spans="1:16" ht="30" customHeight="1">
      <c r="A35" s="48"/>
      <c r="B35" s="48"/>
      <c r="C35" s="48"/>
      <c r="D35" s="48"/>
      <c r="E35" s="48"/>
      <c r="F35" s="48"/>
      <c r="G35" s="48"/>
      <c r="H35" s="48"/>
      <c r="I35" s="48"/>
      <c r="J35" s="48"/>
      <c r="K35" s="48"/>
      <c r="L35" s="48"/>
      <c r="M35" s="48"/>
      <c r="N35" s="48"/>
      <c r="O35" s="48"/>
      <c r="P35" s="48"/>
    </row>
    <row r="36" spans="1:16" ht="30" customHeight="1">
      <c r="A36" s="48"/>
      <c r="B36" s="48"/>
      <c r="C36" s="48"/>
      <c r="D36" s="48"/>
      <c r="E36" s="48"/>
      <c r="F36" s="48"/>
      <c r="G36" s="48"/>
      <c r="H36" s="48"/>
      <c r="I36" s="48"/>
      <c r="J36" s="48"/>
      <c r="K36" s="48"/>
      <c r="L36" s="48"/>
      <c r="M36" s="48"/>
      <c r="N36" s="48"/>
      <c r="O36" s="48"/>
      <c r="P36" s="48"/>
    </row>
    <row r="37" spans="1:16" ht="30" customHeight="1">
      <c r="A37" s="48"/>
      <c r="B37" s="48"/>
      <c r="C37" s="48"/>
      <c r="D37" s="48"/>
      <c r="E37" s="48"/>
      <c r="F37" s="48"/>
      <c r="G37" s="48"/>
      <c r="H37" s="48"/>
      <c r="I37" s="48"/>
      <c r="J37" s="48"/>
      <c r="K37" s="48"/>
      <c r="L37" s="48"/>
      <c r="M37" s="48"/>
      <c r="N37" s="48"/>
      <c r="O37" s="48"/>
      <c r="P37" s="48"/>
    </row>
    <row r="38" spans="1:16" ht="30" customHeight="1">
      <c r="A38" s="48"/>
      <c r="B38" s="48"/>
      <c r="C38" s="48"/>
      <c r="D38" s="48"/>
      <c r="E38" s="48"/>
      <c r="F38" s="48"/>
      <c r="G38" s="48"/>
      <c r="H38" s="48"/>
      <c r="I38" s="48"/>
      <c r="J38" s="48"/>
      <c r="K38" s="48"/>
      <c r="L38" s="48"/>
      <c r="M38" s="48"/>
      <c r="N38" s="48"/>
      <c r="O38" s="48"/>
      <c r="P38" s="48"/>
    </row>
    <row r="39" spans="1:16" ht="30" customHeight="1">
      <c r="A39" s="48"/>
      <c r="B39" s="48"/>
      <c r="C39" s="48"/>
      <c r="D39" s="48"/>
      <c r="E39" s="48"/>
      <c r="F39" s="48"/>
      <c r="G39" s="48"/>
      <c r="H39" s="48"/>
      <c r="I39" s="48"/>
      <c r="J39" s="48"/>
      <c r="K39" s="48"/>
      <c r="L39" s="48"/>
      <c r="M39" s="48"/>
      <c r="N39" s="48"/>
      <c r="O39" s="48"/>
      <c r="P39" s="48"/>
    </row>
    <row r="40" spans="1:16" ht="30" customHeight="1">
      <c r="A40" s="48"/>
      <c r="B40" s="48"/>
      <c r="C40" s="48"/>
      <c r="D40" s="48"/>
      <c r="E40" s="48"/>
      <c r="F40" s="48"/>
      <c r="G40" s="48"/>
      <c r="H40" s="48"/>
      <c r="I40" s="48"/>
      <c r="J40" s="48"/>
      <c r="K40" s="48"/>
      <c r="L40" s="48"/>
      <c r="M40" s="48"/>
      <c r="N40" s="48"/>
      <c r="O40" s="48"/>
      <c r="P40" s="48"/>
    </row>
    <row r="41" spans="1:16" ht="30" customHeight="1">
      <c r="A41" s="48"/>
      <c r="B41" s="48"/>
      <c r="C41" s="48"/>
      <c r="D41" s="48"/>
      <c r="E41" s="48"/>
      <c r="F41" s="48"/>
      <c r="G41" s="48"/>
      <c r="H41" s="48"/>
      <c r="I41" s="48"/>
      <c r="J41" s="48"/>
      <c r="K41" s="48"/>
      <c r="L41" s="48"/>
      <c r="M41" s="48"/>
      <c r="N41" s="48"/>
      <c r="O41" s="48"/>
      <c r="P41" s="48"/>
    </row>
    <row r="42" spans="1:16" ht="30" customHeight="1">
      <c r="A42" s="48"/>
      <c r="B42" s="48"/>
      <c r="C42" s="48"/>
      <c r="D42" s="48"/>
      <c r="E42" s="48"/>
      <c r="F42" s="48"/>
      <c r="G42" s="48"/>
      <c r="H42" s="48"/>
      <c r="I42" s="48"/>
      <c r="J42" s="48"/>
      <c r="K42" s="48"/>
      <c r="L42" s="48"/>
      <c r="M42" s="48"/>
      <c r="N42" s="48"/>
      <c r="O42" s="48"/>
      <c r="P42" s="48"/>
    </row>
    <row r="43" spans="1:16" ht="30" customHeight="1">
      <c r="A43" s="48"/>
      <c r="B43" s="48"/>
      <c r="C43" s="48"/>
      <c r="D43" s="48"/>
      <c r="E43" s="48"/>
      <c r="F43" s="48"/>
      <c r="G43" s="48"/>
      <c r="H43" s="48"/>
      <c r="I43" s="48"/>
      <c r="J43" s="48"/>
      <c r="K43" s="48"/>
      <c r="L43" s="48"/>
      <c r="M43" s="48"/>
      <c r="N43" s="48"/>
      <c r="O43" s="48"/>
      <c r="P43" s="48"/>
    </row>
    <row r="44" spans="1:16" ht="30" customHeight="1">
      <c r="A44" s="48"/>
      <c r="B44" s="48"/>
      <c r="C44" s="48"/>
      <c r="D44" s="48"/>
      <c r="E44" s="48"/>
      <c r="F44" s="48"/>
      <c r="G44" s="48"/>
      <c r="H44" s="48"/>
      <c r="I44" s="48"/>
      <c r="J44" s="48"/>
      <c r="K44" s="48"/>
      <c r="L44" s="48"/>
      <c r="M44" s="48"/>
      <c r="N44" s="48"/>
      <c r="O44" s="48"/>
      <c r="P44" s="48"/>
    </row>
    <row r="45" spans="1:16" ht="30" customHeight="1">
      <c r="A45" s="48"/>
      <c r="B45" s="48"/>
      <c r="C45" s="48"/>
      <c r="D45" s="48"/>
      <c r="E45" s="48"/>
      <c r="F45" s="48"/>
      <c r="G45" s="48"/>
      <c r="H45" s="48"/>
      <c r="I45" s="48"/>
      <c r="J45" s="48"/>
      <c r="K45" s="48"/>
      <c r="L45" s="48"/>
      <c r="M45" s="48"/>
      <c r="N45" s="48"/>
      <c r="O45" s="48"/>
      <c r="P45" s="48"/>
    </row>
    <row r="46" spans="1:16" ht="30" customHeight="1">
      <c r="A46" s="48"/>
      <c r="B46" s="48"/>
      <c r="C46" s="48"/>
      <c r="D46" s="48"/>
      <c r="E46" s="48"/>
      <c r="F46" s="48"/>
      <c r="G46" s="48"/>
      <c r="H46" s="48"/>
      <c r="I46" s="48"/>
      <c r="J46" s="48"/>
      <c r="K46" s="48"/>
      <c r="L46" s="48"/>
      <c r="M46" s="48"/>
      <c r="N46" s="48"/>
      <c r="O46" s="48"/>
      <c r="P46" s="48"/>
    </row>
    <row r="47" spans="1:16" ht="30" customHeight="1">
      <c r="A47" s="48"/>
      <c r="B47" s="48"/>
      <c r="C47" s="48"/>
      <c r="D47" s="48"/>
      <c r="E47" s="48"/>
      <c r="F47" s="48"/>
      <c r="G47" s="48"/>
      <c r="H47" s="48"/>
      <c r="I47" s="48"/>
      <c r="J47" s="48"/>
      <c r="K47" s="48"/>
      <c r="L47" s="48"/>
      <c r="M47" s="48"/>
      <c r="N47" s="48"/>
      <c r="O47" s="48"/>
      <c r="P47" s="48"/>
    </row>
    <row r="48" spans="1:16" ht="30" customHeight="1">
      <c r="A48" s="48"/>
      <c r="B48" s="48"/>
      <c r="C48" s="48"/>
      <c r="D48" s="48"/>
      <c r="E48" s="48"/>
      <c r="F48" s="48"/>
      <c r="G48" s="48"/>
      <c r="H48" s="48"/>
      <c r="I48" s="48"/>
      <c r="J48" s="48"/>
      <c r="K48" s="48"/>
      <c r="L48" s="48"/>
      <c r="M48" s="48"/>
      <c r="N48" s="48"/>
      <c r="O48" s="48"/>
      <c r="P48" s="48"/>
    </row>
    <row r="49" spans="1:16" ht="30" customHeight="1">
      <c r="A49" s="48"/>
      <c r="B49" s="48"/>
      <c r="C49" s="48"/>
      <c r="D49" s="48"/>
      <c r="E49" s="48"/>
      <c r="F49" s="48"/>
      <c r="G49" s="48"/>
      <c r="H49" s="48"/>
      <c r="I49" s="48"/>
      <c r="J49" s="48"/>
      <c r="K49" s="48"/>
      <c r="L49" s="48"/>
      <c r="M49" s="48"/>
      <c r="N49" s="48"/>
      <c r="O49" s="48"/>
      <c r="P49" s="48"/>
    </row>
    <row r="50" spans="1:16" ht="30" customHeight="1">
      <c r="A50" s="48"/>
      <c r="B50" s="48"/>
      <c r="C50" s="48"/>
      <c r="D50" s="48"/>
      <c r="E50" s="48"/>
      <c r="F50" s="48"/>
      <c r="G50" s="48"/>
      <c r="H50" s="48"/>
      <c r="I50" s="48"/>
      <c r="J50" s="48"/>
      <c r="K50" s="48"/>
      <c r="L50" s="48"/>
      <c r="M50" s="48"/>
      <c r="N50" s="48"/>
      <c r="O50" s="48"/>
      <c r="P50" s="48"/>
    </row>
    <row r="51" spans="1:16" ht="30" customHeight="1">
      <c r="A51" s="48"/>
      <c r="B51" s="48"/>
      <c r="C51" s="48"/>
      <c r="D51" s="48"/>
      <c r="E51" s="48"/>
      <c r="F51" s="48"/>
      <c r="G51" s="48"/>
      <c r="H51" s="48"/>
      <c r="I51" s="48"/>
      <c r="J51" s="48"/>
      <c r="K51" s="48"/>
      <c r="L51" s="48"/>
      <c r="M51" s="48"/>
      <c r="N51" s="48"/>
      <c r="O51" s="48"/>
      <c r="P51" s="48"/>
    </row>
    <row r="52" spans="1:16" ht="30" customHeight="1">
      <c r="A52" s="48"/>
      <c r="B52" s="48"/>
      <c r="C52" s="48"/>
      <c r="D52" s="48"/>
      <c r="E52" s="48"/>
      <c r="F52" s="48"/>
      <c r="G52" s="48"/>
      <c r="H52" s="48"/>
      <c r="I52" s="48"/>
      <c r="J52" s="48"/>
      <c r="K52" s="48"/>
      <c r="L52" s="48"/>
      <c r="M52" s="48"/>
      <c r="N52" s="48"/>
      <c r="O52" s="48"/>
      <c r="P52" s="48"/>
    </row>
    <row r="53" spans="1:16" ht="30" customHeight="1">
      <c r="A53" s="48"/>
      <c r="B53" s="48"/>
      <c r="C53" s="48"/>
      <c r="D53" s="48"/>
      <c r="E53" s="48"/>
      <c r="F53" s="48"/>
      <c r="G53" s="48"/>
      <c r="H53" s="48"/>
      <c r="I53" s="48"/>
      <c r="J53" s="48"/>
      <c r="K53" s="48"/>
      <c r="L53" s="48"/>
      <c r="M53" s="48"/>
      <c r="N53" s="48"/>
      <c r="O53" s="48"/>
      <c r="P53" s="48"/>
    </row>
    <row r="54" spans="1:16" ht="30" customHeight="1">
      <c r="A54" s="48"/>
      <c r="B54" s="48"/>
      <c r="C54" s="48"/>
      <c r="D54" s="48"/>
      <c r="E54" s="48"/>
      <c r="F54" s="48"/>
      <c r="G54" s="48"/>
      <c r="H54" s="48"/>
      <c r="I54" s="48"/>
      <c r="J54" s="48"/>
      <c r="K54" s="48"/>
      <c r="L54" s="48"/>
      <c r="M54" s="48"/>
      <c r="N54" s="48"/>
      <c r="O54" s="48"/>
      <c r="P54" s="48"/>
    </row>
    <row r="55" spans="1:16" ht="30" customHeight="1">
      <c r="A55" s="48"/>
      <c r="B55" s="48"/>
      <c r="C55" s="48"/>
      <c r="D55" s="48"/>
      <c r="E55" s="48"/>
      <c r="F55" s="48"/>
      <c r="G55" s="48"/>
      <c r="H55" s="48"/>
      <c r="I55" s="48"/>
      <c r="J55" s="48"/>
      <c r="K55" s="48"/>
      <c r="L55" s="48"/>
      <c r="M55" s="48"/>
      <c r="N55" s="48"/>
      <c r="O55" s="48"/>
      <c r="P55" s="48"/>
    </row>
    <row r="56" spans="1:16" ht="30" customHeight="1">
      <c r="A56" s="48"/>
      <c r="B56" s="48"/>
      <c r="C56" s="48"/>
      <c r="D56" s="48"/>
      <c r="E56" s="48"/>
      <c r="F56" s="48"/>
      <c r="G56" s="48"/>
      <c r="H56" s="48"/>
      <c r="I56" s="48"/>
      <c r="J56" s="48"/>
      <c r="K56" s="48"/>
      <c r="L56" s="48"/>
      <c r="M56" s="48"/>
      <c r="N56" s="48"/>
      <c r="O56" s="48"/>
      <c r="P56" s="48"/>
    </row>
    <row r="57" spans="1:16" ht="30" customHeight="1">
      <c r="A57" s="48"/>
      <c r="B57" s="48"/>
      <c r="C57" s="48"/>
      <c r="D57" s="48"/>
      <c r="E57" s="48"/>
      <c r="F57" s="48"/>
      <c r="G57" s="48"/>
      <c r="H57" s="48"/>
      <c r="I57" s="48"/>
      <c r="J57" s="48"/>
      <c r="K57" s="48"/>
      <c r="L57" s="48"/>
      <c r="M57" s="48"/>
      <c r="N57" s="48"/>
      <c r="O57" s="48"/>
      <c r="P57" s="48"/>
    </row>
    <row r="58" spans="1:16" ht="30" customHeight="1">
      <c r="A58" s="48"/>
      <c r="B58" s="48"/>
      <c r="C58" s="48"/>
      <c r="D58" s="48"/>
      <c r="E58" s="48"/>
      <c r="F58" s="48"/>
      <c r="G58" s="48"/>
      <c r="H58" s="48"/>
      <c r="I58" s="48"/>
      <c r="J58" s="48"/>
      <c r="K58" s="48"/>
      <c r="L58" s="48"/>
      <c r="M58" s="48"/>
      <c r="N58" s="48"/>
      <c r="O58" s="48"/>
      <c r="P58" s="48"/>
    </row>
    <row r="59" spans="1:16" ht="30" customHeight="1">
      <c r="A59" s="48"/>
      <c r="B59" s="48"/>
      <c r="C59" s="48"/>
      <c r="D59" s="48"/>
      <c r="E59" s="48"/>
      <c r="F59" s="48"/>
      <c r="G59" s="48"/>
      <c r="H59" s="48"/>
      <c r="I59" s="48"/>
      <c r="J59" s="48"/>
      <c r="K59" s="48"/>
      <c r="L59" s="48"/>
      <c r="M59" s="48"/>
      <c r="N59" s="48"/>
      <c r="O59" s="48"/>
      <c r="P59" s="48"/>
    </row>
    <row r="60" spans="1:16" ht="30" customHeight="1">
      <c r="A60" s="48"/>
      <c r="B60" s="48"/>
      <c r="C60" s="48"/>
      <c r="D60" s="48"/>
      <c r="E60" s="48"/>
      <c r="F60" s="48"/>
      <c r="G60" s="48"/>
      <c r="H60" s="48"/>
      <c r="I60" s="48"/>
      <c r="J60" s="48"/>
      <c r="K60" s="48"/>
      <c r="L60" s="48"/>
      <c r="M60" s="48"/>
      <c r="N60" s="48"/>
      <c r="O60" s="48"/>
      <c r="P60" s="48"/>
    </row>
    <row r="61" spans="1:16" ht="30" customHeight="1">
      <c r="A61" s="48"/>
      <c r="B61" s="48"/>
      <c r="C61" s="48"/>
      <c r="D61" s="48"/>
      <c r="E61" s="48"/>
      <c r="F61" s="48"/>
      <c r="G61" s="48"/>
      <c r="H61" s="48"/>
      <c r="I61" s="48"/>
      <c r="J61" s="48"/>
      <c r="K61" s="48"/>
      <c r="L61" s="48"/>
      <c r="M61" s="48"/>
      <c r="N61" s="48"/>
      <c r="O61" s="48"/>
      <c r="P61" s="48"/>
    </row>
    <row r="62" spans="1:16" ht="30" customHeight="1">
      <c r="A62" s="48"/>
      <c r="B62" s="48"/>
      <c r="C62" s="48"/>
      <c r="D62" s="48"/>
      <c r="E62" s="48"/>
      <c r="F62" s="48"/>
      <c r="G62" s="48"/>
      <c r="H62" s="48"/>
      <c r="I62" s="48"/>
      <c r="J62" s="48"/>
      <c r="K62" s="48"/>
      <c r="L62" s="48"/>
      <c r="M62" s="48"/>
      <c r="N62" s="48"/>
      <c r="O62" s="48"/>
      <c r="P62" s="48"/>
    </row>
    <row r="63" spans="1:16" ht="30" customHeight="1">
      <c r="A63" s="48"/>
      <c r="B63" s="48"/>
      <c r="C63" s="48"/>
      <c r="D63" s="48"/>
      <c r="E63" s="48"/>
      <c r="F63" s="48"/>
      <c r="G63" s="48"/>
      <c r="H63" s="48"/>
      <c r="I63" s="48"/>
      <c r="J63" s="48"/>
      <c r="K63" s="48"/>
      <c r="L63" s="48"/>
      <c r="M63" s="48"/>
      <c r="N63" s="48"/>
      <c r="O63" s="48"/>
      <c r="P63" s="48"/>
    </row>
    <row r="64" spans="1:16" ht="30" customHeight="1">
      <c r="A64" s="48"/>
      <c r="B64" s="48"/>
      <c r="C64" s="48"/>
      <c r="D64" s="48"/>
      <c r="E64" s="48"/>
      <c r="F64" s="48"/>
      <c r="G64" s="48"/>
      <c r="H64" s="48"/>
      <c r="I64" s="48"/>
      <c r="J64" s="48"/>
      <c r="K64" s="48"/>
      <c r="L64" s="48"/>
      <c r="M64" s="48"/>
      <c r="N64" s="48"/>
      <c r="O64" s="48"/>
      <c r="P64" s="48"/>
    </row>
    <row r="65" spans="1:16" ht="30" customHeight="1">
      <c r="A65" s="48"/>
      <c r="B65" s="48"/>
      <c r="C65" s="48"/>
      <c r="D65" s="48"/>
      <c r="E65" s="48"/>
      <c r="F65" s="48"/>
      <c r="G65" s="48"/>
      <c r="H65" s="48"/>
      <c r="I65" s="48"/>
      <c r="J65" s="48"/>
      <c r="K65" s="48"/>
      <c r="L65" s="48"/>
      <c r="M65" s="48"/>
      <c r="N65" s="48"/>
      <c r="O65" s="48"/>
      <c r="P65" s="48"/>
    </row>
    <row r="66" spans="1:16" ht="30" customHeight="1">
      <c r="A66" s="48"/>
      <c r="B66" s="48"/>
      <c r="C66" s="48"/>
      <c r="D66" s="48"/>
      <c r="E66" s="48"/>
      <c r="F66" s="48"/>
      <c r="G66" s="48"/>
      <c r="H66" s="48"/>
      <c r="I66" s="48"/>
      <c r="J66" s="48"/>
      <c r="K66" s="48"/>
      <c r="L66" s="48"/>
      <c r="M66" s="48"/>
      <c r="N66" s="48"/>
      <c r="O66" s="48"/>
      <c r="P66" s="48"/>
    </row>
    <row r="67" spans="1:16" ht="30" customHeight="1">
      <c r="A67" s="48"/>
      <c r="B67" s="48"/>
      <c r="C67" s="48"/>
      <c r="D67" s="48"/>
      <c r="E67" s="48"/>
      <c r="F67" s="48"/>
      <c r="G67" s="48"/>
      <c r="H67" s="48"/>
      <c r="I67" s="48"/>
      <c r="J67" s="48"/>
      <c r="K67" s="48"/>
      <c r="L67" s="48"/>
      <c r="M67" s="48"/>
      <c r="N67" s="48"/>
      <c r="O67" s="48"/>
      <c r="P67" s="48"/>
    </row>
    <row r="68" spans="1:16" ht="30" customHeight="1">
      <c r="A68" s="48"/>
      <c r="B68" s="48"/>
      <c r="C68" s="48"/>
      <c r="D68" s="48"/>
      <c r="E68" s="48"/>
      <c r="F68" s="48"/>
      <c r="G68" s="48"/>
      <c r="H68" s="48"/>
      <c r="I68" s="48"/>
      <c r="J68" s="48"/>
      <c r="K68" s="48"/>
      <c r="L68" s="48"/>
      <c r="M68" s="48"/>
      <c r="N68" s="48"/>
      <c r="O68" s="48"/>
      <c r="P68" s="48"/>
    </row>
    <row r="69" spans="1:16" ht="30" customHeight="1">
      <c r="A69" s="48"/>
      <c r="B69" s="48"/>
      <c r="C69" s="48"/>
      <c r="D69" s="48"/>
      <c r="E69" s="48"/>
      <c r="F69" s="48"/>
      <c r="G69" s="48"/>
      <c r="H69" s="48"/>
      <c r="I69" s="48"/>
      <c r="J69" s="48"/>
      <c r="K69" s="48"/>
      <c r="L69" s="48"/>
      <c r="M69" s="48"/>
      <c r="N69" s="48"/>
      <c r="O69" s="48"/>
      <c r="P69" s="48"/>
    </row>
    <row r="70" spans="1:16" ht="30" customHeight="1">
      <c r="A70" s="48"/>
      <c r="B70" s="48"/>
      <c r="C70" s="48"/>
      <c r="D70" s="48"/>
      <c r="E70" s="48"/>
      <c r="F70" s="48"/>
      <c r="G70" s="48"/>
      <c r="H70" s="48"/>
      <c r="I70" s="48"/>
      <c r="J70" s="48"/>
      <c r="K70" s="48"/>
      <c r="L70" s="48"/>
      <c r="M70" s="48"/>
      <c r="N70" s="48"/>
      <c r="O70" s="48"/>
      <c r="P70" s="48"/>
    </row>
    <row r="71" spans="1:16" ht="30" customHeight="1">
      <c r="A71" s="48"/>
      <c r="B71" s="48"/>
      <c r="C71" s="48"/>
      <c r="D71" s="48"/>
      <c r="E71" s="48"/>
      <c r="F71" s="48"/>
      <c r="G71" s="48"/>
      <c r="H71" s="48"/>
      <c r="I71" s="48"/>
      <c r="J71" s="48"/>
      <c r="K71" s="48"/>
      <c r="L71" s="48"/>
      <c r="M71" s="48"/>
      <c r="N71" s="48"/>
      <c r="O71" s="48"/>
      <c r="P71" s="48"/>
    </row>
    <row r="72" spans="1:16" ht="30" customHeight="1">
      <c r="A72" s="48"/>
      <c r="B72" s="48"/>
      <c r="C72" s="48"/>
      <c r="D72" s="48"/>
      <c r="E72" s="48"/>
      <c r="F72" s="48"/>
      <c r="G72" s="48"/>
      <c r="H72" s="48"/>
      <c r="I72" s="48"/>
      <c r="J72" s="48"/>
      <c r="K72" s="48"/>
      <c r="L72" s="48"/>
      <c r="M72" s="48"/>
      <c r="N72" s="48"/>
      <c r="O72" s="48"/>
      <c r="P72" s="48"/>
    </row>
    <row r="73" spans="1:16" ht="30" customHeight="1">
      <c r="A73" s="48"/>
      <c r="B73" s="48"/>
      <c r="C73" s="48"/>
      <c r="D73" s="48"/>
      <c r="E73" s="48"/>
      <c r="F73" s="48"/>
      <c r="G73" s="48"/>
      <c r="H73" s="48"/>
      <c r="I73" s="48"/>
      <c r="J73" s="48"/>
      <c r="K73" s="48"/>
      <c r="L73" s="48"/>
      <c r="M73" s="48"/>
      <c r="N73" s="48"/>
      <c r="O73" s="48"/>
      <c r="P73" s="48"/>
    </row>
    <row r="74" spans="1:16" ht="30" customHeight="1">
      <c r="A74" s="48"/>
      <c r="B74" s="48"/>
      <c r="C74" s="48"/>
      <c r="D74" s="48"/>
      <c r="E74" s="48"/>
      <c r="F74" s="48"/>
      <c r="G74" s="48"/>
      <c r="H74" s="48"/>
      <c r="I74" s="48"/>
      <c r="J74" s="48"/>
      <c r="K74" s="48"/>
      <c r="L74" s="48"/>
      <c r="M74" s="48"/>
      <c r="N74" s="48"/>
      <c r="O74" s="48"/>
      <c r="P74" s="48"/>
    </row>
    <row r="75" spans="1:16" ht="30" customHeight="1">
      <c r="A75" s="48"/>
      <c r="B75" s="48"/>
      <c r="C75" s="48"/>
      <c r="D75" s="48"/>
      <c r="E75" s="48"/>
      <c r="F75" s="48"/>
      <c r="G75" s="48"/>
      <c r="H75" s="48"/>
      <c r="I75" s="48"/>
      <c r="J75" s="48"/>
      <c r="K75" s="48"/>
      <c r="L75" s="48"/>
      <c r="M75" s="48"/>
      <c r="N75" s="48"/>
      <c r="O75" s="48"/>
      <c r="P75" s="48"/>
    </row>
    <row r="76" spans="1:16" ht="30" customHeight="1">
      <c r="A76" s="48"/>
      <c r="B76" s="48"/>
      <c r="C76" s="48"/>
      <c r="D76" s="48"/>
      <c r="E76" s="48"/>
      <c r="F76" s="48"/>
      <c r="G76" s="48"/>
      <c r="H76" s="48"/>
      <c r="I76" s="48"/>
      <c r="J76" s="48"/>
      <c r="K76" s="48"/>
      <c r="L76" s="48"/>
      <c r="M76" s="48"/>
      <c r="N76" s="48"/>
      <c r="O76" s="48"/>
      <c r="P76" s="48"/>
    </row>
    <row r="77" spans="1:16" ht="30" customHeight="1">
      <c r="A77" s="48"/>
      <c r="B77" s="48"/>
      <c r="C77" s="48"/>
      <c r="D77" s="48"/>
      <c r="E77" s="48"/>
      <c r="F77" s="48"/>
      <c r="G77" s="48"/>
      <c r="H77" s="48"/>
      <c r="I77" s="48"/>
      <c r="J77" s="48"/>
      <c r="K77" s="48"/>
      <c r="L77" s="48"/>
      <c r="M77" s="48"/>
      <c r="N77" s="48"/>
      <c r="O77" s="48"/>
      <c r="P77" s="48"/>
    </row>
    <row r="78" spans="1:16" ht="30" customHeight="1">
      <c r="A78" s="48"/>
      <c r="B78" s="48"/>
      <c r="C78" s="48"/>
      <c r="D78" s="48"/>
      <c r="E78" s="48"/>
      <c r="F78" s="48"/>
      <c r="G78" s="48"/>
      <c r="H78" s="48"/>
      <c r="I78" s="48"/>
      <c r="J78" s="48"/>
      <c r="K78" s="48"/>
      <c r="L78" s="48"/>
      <c r="M78" s="48"/>
      <c r="N78" s="48"/>
      <c r="O78" s="48"/>
      <c r="P78" s="48"/>
    </row>
    <row r="79" spans="1:16" ht="30" customHeight="1">
      <c r="A79" s="48"/>
      <c r="B79" s="48"/>
      <c r="C79" s="48"/>
      <c r="D79" s="48"/>
      <c r="E79" s="48"/>
      <c r="F79" s="48"/>
      <c r="G79" s="48"/>
      <c r="H79" s="48"/>
      <c r="I79" s="48"/>
      <c r="J79" s="48"/>
      <c r="K79" s="48"/>
      <c r="L79" s="48"/>
      <c r="M79" s="48"/>
      <c r="N79" s="48"/>
      <c r="O79" s="48"/>
      <c r="P79" s="48"/>
    </row>
    <row r="80" spans="1:16" ht="30" customHeight="1">
      <c r="A80" s="48"/>
      <c r="B80" s="48"/>
      <c r="C80" s="48"/>
      <c r="D80" s="48"/>
      <c r="E80" s="48"/>
      <c r="F80" s="48"/>
      <c r="G80" s="48"/>
      <c r="H80" s="48"/>
      <c r="I80" s="48"/>
      <c r="J80" s="48"/>
      <c r="K80" s="48"/>
      <c r="L80" s="48"/>
      <c r="M80" s="48"/>
      <c r="N80" s="48"/>
      <c r="O80" s="48"/>
      <c r="P80" s="48"/>
    </row>
    <row r="81" spans="1:16" ht="30" customHeight="1">
      <c r="A81" s="48"/>
      <c r="B81" s="48"/>
      <c r="C81" s="48"/>
      <c r="D81" s="48"/>
      <c r="E81" s="48"/>
      <c r="F81" s="48"/>
      <c r="G81" s="48"/>
      <c r="H81" s="48"/>
      <c r="I81" s="48"/>
      <c r="J81" s="48"/>
      <c r="K81" s="48"/>
      <c r="L81" s="48"/>
      <c r="M81" s="48"/>
      <c r="N81" s="48"/>
      <c r="O81" s="48"/>
      <c r="P81" s="48"/>
    </row>
    <row r="82" spans="1:16" ht="30" customHeight="1">
      <c r="A82" s="48"/>
      <c r="B82" s="48"/>
      <c r="C82" s="48"/>
      <c r="D82" s="48"/>
      <c r="E82" s="48"/>
      <c r="F82" s="48"/>
      <c r="G82" s="48"/>
      <c r="H82" s="48"/>
      <c r="I82" s="48"/>
      <c r="J82" s="48"/>
      <c r="K82" s="48"/>
      <c r="L82" s="48"/>
      <c r="M82" s="48"/>
      <c r="N82" s="48"/>
      <c r="O82" s="48"/>
      <c r="P82" s="48"/>
    </row>
    <row r="83" spans="1:16" ht="30" customHeight="1">
      <c r="A83" s="48"/>
      <c r="B83" s="48"/>
      <c r="C83" s="48"/>
      <c r="D83" s="48"/>
      <c r="E83" s="48"/>
      <c r="F83" s="48"/>
      <c r="G83" s="48"/>
      <c r="H83" s="48"/>
      <c r="I83" s="48"/>
      <c r="J83" s="48"/>
      <c r="K83" s="48"/>
      <c r="L83" s="48"/>
      <c r="M83" s="48"/>
      <c r="N83" s="48"/>
      <c r="O83" s="48"/>
      <c r="P83" s="48"/>
    </row>
    <row r="84" spans="1:16" ht="30" customHeight="1">
      <c r="A84" s="48"/>
      <c r="B84" s="48"/>
      <c r="C84" s="48"/>
      <c r="D84" s="48"/>
      <c r="E84" s="48"/>
      <c r="F84" s="48"/>
      <c r="G84" s="48"/>
      <c r="H84" s="48"/>
      <c r="I84" s="48"/>
      <c r="J84" s="48"/>
      <c r="K84" s="48"/>
      <c r="L84" s="48"/>
      <c r="M84" s="48"/>
      <c r="N84" s="48"/>
      <c r="O84" s="48"/>
      <c r="P84" s="48"/>
    </row>
    <row r="85" spans="1:16" ht="30" customHeight="1">
      <c r="A85" s="48"/>
      <c r="B85" s="48"/>
      <c r="C85" s="48"/>
      <c r="D85" s="48"/>
      <c r="E85" s="48"/>
      <c r="F85" s="48"/>
      <c r="G85" s="48"/>
      <c r="H85" s="48"/>
      <c r="I85" s="48"/>
      <c r="J85" s="48"/>
      <c r="K85" s="48"/>
      <c r="L85" s="48"/>
      <c r="M85" s="48"/>
      <c r="N85" s="48"/>
      <c r="O85" s="48"/>
      <c r="P85" s="48"/>
    </row>
    <row r="86" spans="1:16" ht="30" customHeight="1">
      <c r="A86" s="48"/>
      <c r="B86" s="48"/>
      <c r="C86" s="48"/>
      <c r="D86" s="48"/>
      <c r="E86" s="48"/>
      <c r="F86" s="48"/>
      <c r="G86" s="48"/>
      <c r="H86" s="48"/>
      <c r="I86" s="48"/>
      <c r="J86" s="48"/>
      <c r="K86" s="48"/>
      <c r="L86" s="48"/>
      <c r="M86" s="48"/>
      <c r="N86" s="48"/>
      <c r="O86" s="48"/>
      <c r="P86" s="48"/>
    </row>
    <row r="87" spans="1:16" ht="30" customHeight="1">
      <c r="A87" s="48"/>
      <c r="B87" s="48"/>
      <c r="C87" s="48"/>
      <c r="D87" s="48"/>
      <c r="E87" s="48"/>
      <c r="F87" s="48"/>
      <c r="G87" s="48"/>
      <c r="H87" s="48"/>
      <c r="I87" s="48"/>
      <c r="J87" s="48"/>
      <c r="K87" s="48"/>
      <c r="L87" s="48"/>
      <c r="M87" s="48"/>
      <c r="N87" s="48"/>
      <c r="O87" s="48"/>
      <c r="P87" s="48"/>
    </row>
    <row r="88" spans="1:16" ht="30" customHeight="1">
      <c r="A88" s="48"/>
      <c r="B88" s="48"/>
      <c r="C88" s="48"/>
      <c r="D88" s="48"/>
      <c r="E88" s="48"/>
      <c r="F88" s="48"/>
      <c r="G88" s="48"/>
      <c r="H88" s="48"/>
      <c r="I88" s="48"/>
      <c r="J88" s="48"/>
      <c r="K88" s="48"/>
      <c r="L88" s="48"/>
      <c r="M88" s="48"/>
      <c r="N88" s="48"/>
      <c r="O88" s="48"/>
      <c r="P88" s="48"/>
    </row>
    <row r="89" spans="1:16" ht="30" customHeight="1">
      <c r="A89" s="48"/>
      <c r="B89" s="48"/>
      <c r="C89" s="48"/>
      <c r="D89" s="48"/>
      <c r="E89" s="48"/>
      <c r="F89" s="48"/>
      <c r="G89" s="48"/>
      <c r="H89" s="48"/>
      <c r="I89" s="48"/>
      <c r="J89" s="48"/>
      <c r="K89" s="48"/>
      <c r="L89" s="48"/>
      <c r="M89" s="48"/>
      <c r="N89" s="48"/>
      <c r="O89" s="48"/>
      <c r="P89" s="48"/>
    </row>
    <row r="90" spans="1:16" ht="30" customHeight="1">
      <c r="A90" s="48"/>
      <c r="B90" s="48"/>
      <c r="C90" s="48"/>
      <c r="D90" s="48"/>
      <c r="E90" s="48"/>
      <c r="F90" s="48"/>
      <c r="G90" s="48"/>
      <c r="H90" s="48"/>
      <c r="I90" s="48"/>
      <c r="J90" s="48"/>
      <c r="K90" s="48"/>
      <c r="L90" s="48"/>
      <c r="M90" s="48"/>
      <c r="N90" s="48"/>
      <c r="O90" s="48"/>
      <c r="P90" s="48"/>
    </row>
    <row r="91" spans="1:16" ht="30" customHeight="1">
      <c r="A91" s="48"/>
      <c r="B91" s="48"/>
      <c r="C91" s="48"/>
      <c r="D91" s="48"/>
      <c r="E91" s="48"/>
      <c r="F91" s="48"/>
      <c r="G91" s="48"/>
      <c r="H91" s="48"/>
      <c r="I91" s="48"/>
      <c r="J91" s="48"/>
      <c r="K91" s="48"/>
      <c r="L91" s="48"/>
      <c r="M91" s="48"/>
      <c r="N91" s="48"/>
      <c r="O91" s="48"/>
      <c r="P91" s="48"/>
    </row>
    <row r="92" spans="1:16" ht="30" customHeight="1">
      <c r="A92" s="48"/>
      <c r="B92" s="48"/>
      <c r="C92" s="48"/>
      <c r="D92" s="48"/>
      <c r="E92" s="48"/>
      <c r="F92" s="48"/>
      <c r="G92" s="48"/>
      <c r="H92" s="48"/>
      <c r="I92" s="48"/>
      <c r="J92" s="48"/>
      <c r="K92" s="48"/>
      <c r="L92" s="48"/>
      <c r="M92" s="48"/>
      <c r="N92" s="48"/>
      <c r="O92" s="48"/>
      <c r="P92" s="48"/>
    </row>
    <row r="93" spans="1:16" ht="30" customHeight="1">
      <c r="A93" s="48"/>
      <c r="B93" s="48"/>
      <c r="C93" s="48"/>
      <c r="D93" s="48"/>
      <c r="E93" s="48"/>
      <c r="F93" s="48"/>
      <c r="G93" s="48"/>
      <c r="H93" s="48"/>
      <c r="I93" s="48"/>
      <c r="J93" s="48"/>
      <c r="K93" s="48"/>
      <c r="L93" s="48"/>
      <c r="M93" s="48"/>
      <c r="N93" s="48"/>
      <c r="O93" s="48"/>
      <c r="P93" s="48"/>
    </row>
    <row r="94" spans="1:16" ht="30" customHeight="1">
      <c r="A94" s="48"/>
      <c r="B94" s="48"/>
      <c r="C94" s="48"/>
      <c r="D94" s="48"/>
      <c r="E94" s="48"/>
      <c r="F94" s="48"/>
      <c r="G94" s="48"/>
      <c r="H94" s="48"/>
      <c r="I94" s="48"/>
      <c r="J94" s="48"/>
      <c r="K94" s="48"/>
      <c r="L94" s="48"/>
      <c r="M94" s="48"/>
      <c r="N94" s="48"/>
      <c r="O94" s="48"/>
      <c r="P94" s="48"/>
    </row>
    <row r="95" spans="1:16" ht="30" customHeight="1">
      <c r="A95" s="48"/>
      <c r="B95" s="48"/>
      <c r="C95" s="48"/>
      <c r="D95" s="48"/>
      <c r="E95" s="48"/>
      <c r="F95" s="48"/>
      <c r="G95" s="48"/>
      <c r="H95" s="48"/>
      <c r="I95" s="48"/>
      <c r="J95" s="48"/>
      <c r="K95" s="48"/>
      <c r="L95" s="48"/>
      <c r="M95" s="48"/>
      <c r="N95" s="48"/>
      <c r="O95" s="48"/>
      <c r="P95" s="48"/>
    </row>
    <row r="96" spans="1:16" ht="30" customHeight="1">
      <c r="A96" s="48"/>
      <c r="B96" s="48"/>
      <c r="C96" s="48"/>
      <c r="D96" s="48"/>
      <c r="E96" s="48"/>
      <c r="F96" s="48"/>
      <c r="G96" s="48"/>
      <c r="H96" s="48"/>
      <c r="I96" s="48"/>
      <c r="J96" s="48"/>
      <c r="K96" s="48"/>
      <c r="L96" s="48"/>
      <c r="M96" s="48"/>
      <c r="N96" s="48"/>
      <c r="O96" s="48"/>
      <c r="P96" s="48"/>
    </row>
    <row r="97" spans="1:16" ht="30" customHeight="1">
      <c r="A97" s="48"/>
      <c r="B97" s="48"/>
      <c r="C97" s="48"/>
      <c r="D97" s="48"/>
      <c r="E97" s="48"/>
      <c r="F97" s="48"/>
      <c r="G97" s="48"/>
      <c r="H97" s="48"/>
      <c r="I97" s="48"/>
      <c r="J97" s="48"/>
      <c r="K97" s="48"/>
      <c r="L97" s="48"/>
      <c r="M97" s="48"/>
      <c r="N97" s="48"/>
      <c r="O97" s="48"/>
      <c r="P97" s="48"/>
    </row>
    <row r="98" spans="1:16" ht="30" customHeight="1">
      <c r="A98" s="48"/>
      <c r="B98" s="48"/>
      <c r="C98" s="48"/>
      <c r="D98" s="48"/>
      <c r="E98" s="48"/>
      <c r="F98" s="48"/>
      <c r="G98" s="48"/>
      <c r="H98" s="48"/>
      <c r="I98" s="48"/>
      <c r="J98" s="48"/>
      <c r="K98" s="48"/>
      <c r="L98" s="48"/>
      <c r="M98" s="48"/>
      <c r="N98" s="48"/>
      <c r="O98" s="48"/>
      <c r="P98" s="48"/>
    </row>
    <row r="99" spans="1:16" ht="30" customHeight="1">
      <c r="A99" s="48"/>
      <c r="B99" s="48"/>
      <c r="C99" s="48"/>
      <c r="D99" s="48"/>
      <c r="E99" s="48"/>
      <c r="F99" s="48"/>
      <c r="G99" s="48"/>
      <c r="H99" s="48"/>
      <c r="I99" s="48"/>
      <c r="J99" s="48"/>
      <c r="K99" s="48"/>
      <c r="L99" s="48"/>
      <c r="M99" s="48"/>
      <c r="N99" s="48"/>
      <c r="O99" s="48"/>
      <c r="P99" s="48"/>
    </row>
    <row r="100" spans="1:16" ht="30" customHeight="1">
      <c r="A100" s="48"/>
      <c r="B100" s="48"/>
      <c r="C100" s="48"/>
      <c r="D100" s="48"/>
      <c r="E100" s="48"/>
      <c r="F100" s="48"/>
      <c r="G100" s="48"/>
      <c r="H100" s="48"/>
      <c r="I100" s="48"/>
      <c r="J100" s="48"/>
      <c r="K100" s="48"/>
      <c r="L100" s="48"/>
      <c r="M100" s="48"/>
      <c r="N100" s="48"/>
      <c r="O100" s="48"/>
      <c r="P100" s="48"/>
    </row>
    <row r="101" spans="1:16" ht="30" customHeight="1">
      <c r="A101" s="48"/>
      <c r="B101" s="48"/>
      <c r="C101" s="48"/>
      <c r="D101" s="48"/>
      <c r="E101" s="48"/>
      <c r="F101" s="48"/>
      <c r="G101" s="48"/>
      <c r="H101" s="48"/>
      <c r="I101" s="48"/>
      <c r="J101" s="48"/>
      <c r="K101" s="48"/>
      <c r="L101" s="48"/>
      <c r="M101" s="48"/>
      <c r="N101" s="48"/>
      <c r="O101" s="48"/>
      <c r="P101" s="48"/>
    </row>
    <row r="102" spans="1:16" ht="30" customHeight="1">
      <c r="A102" s="48"/>
      <c r="B102" s="48"/>
      <c r="C102" s="48"/>
      <c r="D102" s="48"/>
      <c r="E102" s="48"/>
      <c r="F102" s="48"/>
      <c r="G102" s="48"/>
      <c r="H102" s="48"/>
      <c r="I102" s="48"/>
      <c r="J102" s="48"/>
      <c r="K102" s="48"/>
      <c r="L102" s="48"/>
      <c r="M102" s="48"/>
      <c r="N102" s="48"/>
      <c r="O102" s="48"/>
      <c r="P102" s="48"/>
    </row>
    <row r="103" spans="1:16" ht="30" customHeight="1">
      <c r="A103" s="48"/>
      <c r="B103" s="48"/>
      <c r="C103" s="48"/>
      <c r="D103" s="48"/>
      <c r="E103" s="48"/>
      <c r="F103" s="48"/>
      <c r="G103" s="48"/>
      <c r="H103" s="48"/>
      <c r="I103" s="48"/>
      <c r="J103" s="48"/>
      <c r="K103" s="48"/>
      <c r="L103" s="48"/>
      <c r="M103" s="48"/>
      <c r="N103" s="48"/>
      <c r="O103" s="48"/>
      <c r="P103" s="48"/>
    </row>
    <row r="104" spans="1:16" ht="30" customHeight="1">
      <c r="A104" s="48"/>
      <c r="B104" s="48"/>
      <c r="C104" s="48"/>
      <c r="D104" s="48"/>
      <c r="E104" s="48"/>
      <c r="F104" s="48"/>
      <c r="G104" s="48"/>
      <c r="H104" s="48"/>
      <c r="I104" s="48"/>
      <c r="J104" s="48"/>
      <c r="K104" s="48"/>
      <c r="L104" s="48"/>
      <c r="M104" s="48"/>
      <c r="N104" s="48"/>
      <c r="O104" s="48"/>
      <c r="P104" s="48"/>
    </row>
    <row r="105" spans="1:16" ht="30" customHeight="1">
      <c r="A105" s="48"/>
      <c r="B105" s="48"/>
      <c r="C105" s="48"/>
      <c r="D105" s="48"/>
      <c r="E105" s="48"/>
      <c r="F105" s="48"/>
      <c r="G105" s="48"/>
      <c r="H105" s="48"/>
      <c r="I105" s="48"/>
      <c r="J105" s="48"/>
      <c r="K105" s="48"/>
      <c r="L105" s="48"/>
      <c r="M105" s="48"/>
      <c r="N105" s="48"/>
      <c r="O105" s="48"/>
      <c r="P105" s="48"/>
    </row>
    <row r="106" spans="1:16" ht="30" customHeight="1">
      <c r="A106" s="48"/>
      <c r="B106" s="48"/>
      <c r="C106" s="48"/>
      <c r="D106" s="48"/>
      <c r="E106" s="48"/>
      <c r="F106" s="48"/>
      <c r="G106" s="48"/>
      <c r="H106" s="48"/>
      <c r="I106" s="48"/>
      <c r="J106" s="48"/>
      <c r="K106" s="48"/>
      <c r="L106" s="48"/>
      <c r="M106" s="48"/>
      <c r="N106" s="48"/>
      <c r="O106" s="48"/>
      <c r="P106" s="48"/>
    </row>
    <row r="107" spans="1:16" ht="30" customHeight="1">
      <c r="A107" s="48"/>
      <c r="B107" s="48"/>
      <c r="C107" s="48"/>
      <c r="D107" s="48"/>
      <c r="E107" s="48"/>
      <c r="F107" s="48"/>
      <c r="G107" s="48"/>
      <c r="H107" s="48"/>
      <c r="I107" s="48"/>
      <c r="J107" s="48"/>
      <c r="K107" s="48"/>
      <c r="L107" s="48"/>
      <c r="M107" s="48"/>
      <c r="N107" s="48"/>
      <c r="O107" s="48"/>
      <c r="P107" s="48"/>
    </row>
    <row r="108" spans="1:16" ht="30" customHeight="1">
      <c r="A108" s="48"/>
      <c r="B108" s="48"/>
      <c r="C108" s="48"/>
      <c r="D108" s="48"/>
      <c r="E108" s="48"/>
      <c r="F108" s="48"/>
      <c r="G108" s="48"/>
      <c r="H108" s="48"/>
      <c r="I108" s="48"/>
      <c r="J108" s="48"/>
      <c r="K108" s="48"/>
      <c r="L108" s="48"/>
      <c r="M108" s="48"/>
      <c r="N108" s="48"/>
      <c r="O108" s="48"/>
      <c r="P108" s="48"/>
    </row>
    <row r="109" spans="1:16" ht="30" customHeight="1">
      <c r="A109" s="48"/>
      <c r="B109" s="48"/>
      <c r="C109" s="48"/>
      <c r="D109" s="48"/>
      <c r="E109" s="48"/>
      <c r="F109" s="48"/>
      <c r="G109" s="48"/>
      <c r="H109" s="48"/>
      <c r="I109" s="48"/>
      <c r="J109" s="48"/>
      <c r="K109" s="48"/>
      <c r="L109" s="48"/>
      <c r="M109" s="48"/>
      <c r="N109" s="48"/>
      <c r="O109" s="48"/>
      <c r="P109" s="48"/>
    </row>
    <row r="110" spans="1:16" ht="30" customHeight="1">
      <c r="A110" s="48"/>
      <c r="B110" s="48"/>
      <c r="C110" s="48"/>
      <c r="D110" s="48"/>
      <c r="E110" s="48"/>
      <c r="F110" s="48"/>
      <c r="G110" s="48"/>
      <c r="H110" s="48"/>
      <c r="I110" s="48"/>
      <c r="J110" s="48"/>
      <c r="K110" s="48"/>
      <c r="L110" s="48"/>
      <c r="M110" s="48"/>
      <c r="N110" s="48"/>
      <c r="O110" s="48"/>
      <c r="P110" s="48"/>
    </row>
    <row r="111" spans="1:16" ht="30" customHeight="1">
      <c r="A111" s="48"/>
      <c r="B111" s="48"/>
      <c r="C111" s="48"/>
      <c r="D111" s="48"/>
      <c r="E111" s="48"/>
      <c r="F111" s="48"/>
      <c r="G111" s="48"/>
      <c r="H111" s="48"/>
      <c r="I111" s="48"/>
      <c r="J111" s="48"/>
      <c r="K111" s="48"/>
      <c r="L111" s="48"/>
      <c r="M111" s="48"/>
      <c r="N111" s="48"/>
      <c r="O111" s="48"/>
      <c r="P111" s="48"/>
    </row>
    <row r="112" spans="1:16" ht="30" customHeight="1">
      <c r="A112" s="48"/>
      <c r="B112" s="48"/>
      <c r="C112" s="48"/>
      <c r="D112" s="48"/>
      <c r="E112" s="48"/>
      <c r="F112" s="48"/>
      <c r="G112" s="48"/>
      <c r="H112" s="48"/>
      <c r="I112" s="48"/>
      <c r="J112" s="48"/>
      <c r="K112" s="48"/>
      <c r="L112" s="48"/>
      <c r="M112" s="48"/>
      <c r="N112" s="48"/>
      <c r="O112" s="48"/>
      <c r="P112" s="48"/>
    </row>
    <row r="113" spans="1:16" ht="30" customHeight="1">
      <c r="A113" s="48"/>
      <c r="B113" s="48"/>
      <c r="C113" s="48"/>
      <c r="D113" s="48"/>
      <c r="E113" s="48"/>
      <c r="F113" s="48"/>
      <c r="G113" s="48"/>
      <c r="H113" s="48"/>
      <c r="I113" s="48"/>
      <c r="J113" s="48"/>
      <c r="K113" s="48"/>
      <c r="L113" s="48"/>
      <c r="M113" s="48"/>
      <c r="N113" s="48"/>
      <c r="O113" s="48"/>
      <c r="P113" s="48"/>
    </row>
    <row r="114" spans="1:16" ht="30" customHeight="1">
      <c r="A114" s="48"/>
      <c r="B114" s="48"/>
      <c r="C114" s="48"/>
      <c r="D114" s="48"/>
      <c r="E114" s="48"/>
      <c r="F114" s="48"/>
      <c r="G114" s="48"/>
      <c r="H114" s="48"/>
      <c r="I114" s="48"/>
      <c r="J114" s="48"/>
      <c r="K114" s="48"/>
      <c r="L114" s="48"/>
      <c r="M114" s="48"/>
      <c r="N114" s="48"/>
      <c r="O114" s="48"/>
      <c r="P114" s="48"/>
    </row>
    <row r="115" spans="1:16" ht="30" customHeight="1">
      <c r="A115" s="48"/>
      <c r="B115" s="48"/>
      <c r="C115" s="48"/>
      <c r="D115" s="48"/>
      <c r="E115" s="48"/>
      <c r="F115" s="48"/>
      <c r="G115" s="48"/>
      <c r="H115" s="48"/>
      <c r="I115" s="48"/>
      <c r="J115" s="48"/>
      <c r="K115" s="48"/>
      <c r="L115" s="48"/>
      <c r="M115" s="48"/>
      <c r="N115" s="48"/>
      <c r="O115" s="48"/>
      <c r="P115" s="48"/>
    </row>
    <row r="116" spans="1:16" ht="30" customHeight="1">
      <c r="A116" s="48"/>
      <c r="B116" s="48"/>
      <c r="C116" s="48"/>
      <c r="D116" s="48"/>
      <c r="E116" s="48"/>
      <c r="F116" s="48"/>
      <c r="G116" s="48"/>
      <c r="H116" s="48"/>
      <c r="I116" s="48"/>
      <c r="J116" s="48"/>
      <c r="K116" s="48"/>
      <c r="L116" s="48"/>
      <c r="M116" s="48"/>
      <c r="N116" s="48"/>
      <c r="O116" s="48"/>
      <c r="P116" s="48"/>
    </row>
    <row r="117" spans="1:16" ht="30" customHeight="1">
      <c r="A117" s="48"/>
      <c r="B117" s="48"/>
      <c r="C117" s="48"/>
      <c r="D117" s="48"/>
      <c r="E117" s="48"/>
      <c r="F117" s="48"/>
      <c r="G117" s="48"/>
      <c r="H117" s="48"/>
      <c r="I117" s="48"/>
      <c r="J117" s="48"/>
      <c r="K117" s="48"/>
      <c r="L117" s="48"/>
      <c r="M117" s="48"/>
      <c r="N117" s="48"/>
      <c r="O117" s="48"/>
      <c r="P117" s="48"/>
    </row>
    <row r="118" spans="1:16" ht="30" customHeight="1">
      <c r="A118" s="48"/>
      <c r="B118" s="48"/>
      <c r="C118" s="48"/>
      <c r="D118" s="48"/>
      <c r="E118" s="48"/>
      <c r="F118" s="48"/>
      <c r="G118" s="48"/>
      <c r="H118" s="48"/>
      <c r="I118" s="48"/>
      <c r="J118" s="48"/>
      <c r="K118" s="48"/>
      <c r="L118" s="48"/>
      <c r="M118" s="48"/>
      <c r="N118" s="48"/>
      <c r="O118" s="48"/>
      <c r="P118" s="48"/>
    </row>
    <row r="119" spans="1:16" ht="30" customHeight="1">
      <c r="A119" s="48"/>
      <c r="B119" s="48"/>
      <c r="C119" s="48"/>
      <c r="D119" s="48"/>
      <c r="E119" s="48"/>
      <c r="F119" s="48"/>
      <c r="G119" s="48"/>
      <c r="H119" s="48"/>
      <c r="I119" s="48"/>
      <c r="J119" s="48"/>
      <c r="K119" s="48"/>
      <c r="L119" s="48"/>
      <c r="M119" s="48"/>
      <c r="N119" s="48"/>
      <c r="O119" s="48"/>
      <c r="P119" s="48"/>
    </row>
    <row r="120" spans="1:16" ht="30" customHeight="1">
      <c r="A120" s="48"/>
      <c r="B120" s="48"/>
      <c r="C120" s="48"/>
      <c r="D120" s="48"/>
      <c r="E120" s="48"/>
      <c r="F120" s="48"/>
      <c r="G120" s="48"/>
      <c r="H120" s="48"/>
      <c r="I120" s="48"/>
      <c r="J120" s="48"/>
      <c r="K120" s="48"/>
      <c r="L120" s="48"/>
      <c r="M120" s="48"/>
      <c r="N120" s="48"/>
      <c r="O120" s="48"/>
      <c r="P120" s="48"/>
    </row>
    <row r="121" spans="1:16" ht="30" customHeight="1">
      <c r="A121" s="48"/>
      <c r="B121" s="48"/>
      <c r="C121" s="48"/>
      <c r="D121" s="48"/>
      <c r="E121" s="48"/>
      <c r="F121" s="48"/>
      <c r="G121" s="48"/>
      <c r="H121" s="48"/>
      <c r="I121" s="48"/>
      <c r="J121" s="48"/>
      <c r="K121" s="48"/>
      <c r="L121" s="48"/>
      <c r="M121" s="48"/>
      <c r="N121" s="48"/>
      <c r="O121" s="48"/>
      <c r="P121" s="48"/>
    </row>
  </sheetData>
  <mergeCells count="3">
    <mergeCell ref="A4:P4"/>
    <mergeCell ref="A3:P3"/>
    <mergeCell ref="A1:P1"/>
  </mergeCells>
  <dataValidations count="2">
    <dataValidation type="list" allowBlank="1" sqref="M7:M121" xr:uid="{00000000-0002-0000-1200-000000000000}">
      <formula1>"Not Started,In Progress,Awaiting Information,Complete,N/A,On Hold,Gap / Action Required,Approved,Rejected,Superseded"</formula1>
    </dataValidation>
    <dataValidation type="list" allowBlank="1" sqref="F8:F13 H17:H26" xr:uid="{00000000-0002-0000-1200-000001000000}">
      <formula1>"Not Started,In Progress,Needs Review,Complete,Not Applicable,Blocked"</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0B050"/>
  </sheetPr>
  <dimension ref="A1:H24"/>
  <sheetViews>
    <sheetView showGridLines="0" workbookViewId="0"/>
  </sheetViews>
  <sheetFormatPr defaultRowHeight="15"/>
  <cols>
    <col min="1" max="1" width="34" customWidth="1"/>
    <col min="2" max="2" width="42" customWidth="1"/>
    <col min="3" max="3" width="24" customWidth="1"/>
    <col min="4" max="4" width="18" customWidth="1"/>
    <col min="5" max="5" width="30" customWidth="1"/>
    <col min="6" max="6" width="22" customWidth="1"/>
    <col min="7" max="7" width="30" customWidth="1"/>
    <col min="8" max="8" width="34" customWidth="1"/>
  </cols>
  <sheetData>
    <row r="1" spans="1:8" s="48" customFormat="1">
      <c r="A1" s="179" t="s">
        <v>2352</v>
      </c>
      <c r="B1" s="179"/>
      <c r="C1" s="179"/>
      <c r="D1" s="179"/>
      <c r="E1" s="179"/>
      <c r="F1" s="179"/>
      <c r="G1" s="179"/>
      <c r="H1" s="179"/>
    </row>
    <row r="2" spans="1:8" ht="24" customHeight="1">
      <c r="A2" s="56" t="s">
        <v>0</v>
      </c>
      <c r="B2" s="56"/>
      <c r="C2" s="56"/>
      <c r="D2" s="56"/>
      <c r="E2" s="56"/>
      <c r="F2" s="56"/>
      <c r="G2" s="56"/>
      <c r="H2" s="56"/>
    </row>
    <row r="3" spans="1:8" ht="30" customHeight="1">
      <c r="A3" s="45" t="s">
        <v>2468</v>
      </c>
      <c r="B3" s="45"/>
      <c r="C3" s="45"/>
      <c r="D3" s="45"/>
      <c r="E3" s="45"/>
      <c r="F3" s="45"/>
      <c r="G3" s="45"/>
      <c r="H3" s="45"/>
    </row>
    <row r="4" spans="1:8" ht="30" customHeight="1">
      <c r="A4" s="44" t="s">
        <v>2469</v>
      </c>
      <c r="B4" s="44"/>
      <c r="C4" s="44"/>
      <c r="D4" s="44"/>
      <c r="E4" s="44"/>
      <c r="F4" s="44"/>
      <c r="G4" s="44"/>
      <c r="H4" s="44"/>
    </row>
    <row r="5" spans="1:8">
      <c r="A5" s="46"/>
      <c r="B5" s="46"/>
      <c r="C5" s="46"/>
      <c r="D5" s="46"/>
      <c r="E5" s="46"/>
      <c r="F5" s="46"/>
      <c r="G5" s="46"/>
      <c r="H5" s="46"/>
    </row>
    <row r="6" spans="1:8" ht="21.95" customHeight="1">
      <c r="A6" s="57" t="s">
        <v>2470</v>
      </c>
      <c r="B6" s="57"/>
      <c r="C6" s="57"/>
      <c r="D6" s="57"/>
      <c r="E6" s="57"/>
      <c r="F6" s="57"/>
      <c r="G6" s="57"/>
      <c r="H6" s="57"/>
    </row>
    <row r="7" spans="1:8" ht="33.950000000000003" customHeight="1">
      <c r="A7" s="36" t="s">
        <v>2471</v>
      </c>
      <c r="B7" s="36" t="s">
        <v>2472</v>
      </c>
      <c r="C7" s="36" t="s">
        <v>144</v>
      </c>
      <c r="D7" s="36" t="s">
        <v>145</v>
      </c>
      <c r="E7" s="36" t="s">
        <v>2473</v>
      </c>
      <c r="F7" s="36" t="s">
        <v>1960</v>
      </c>
      <c r="G7" s="36" t="s">
        <v>578</v>
      </c>
      <c r="H7" s="36" t="s">
        <v>70</v>
      </c>
    </row>
    <row r="8" spans="1:8">
      <c r="A8" s="37" t="s">
        <v>2474</v>
      </c>
      <c r="B8" s="37" t="s">
        <v>2475</v>
      </c>
      <c r="C8" s="37" t="s">
        <v>176</v>
      </c>
      <c r="D8" s="37" t="s">
        <v>152</v>
      </c>
      <c r="E8" s="37"/>
      <c r="F8" s="37" t="s">
        <v>978</v>
      </c>
      <c r="G8" s="37"/>
      <c r="H8" s="37" t="s">
        <v>2476</v>
      </c>
    </row>
    <row r="9" spans="1:8">
      <c r="A9" s="37" t="s">
        <v>2477</v>
      </c>
      <c r="B9" s="37" t="s">
        <v>2478</v>
      </c>
      <c r="C9" s="37" t="s">
        <v>176</v>
      </c>
      <c r="D9" s="37" t="s">
        <v>152</v>
      </c>
      <c r="E9" s="37"/>
      <c r="F9" s="37" t="s">
        <v>978</v>
      </c>
      <c r="G9" s="37"/>
      <c r="H9" s="37" t="s">
        <v>2479</v>
      </c>
    </row>
    <row r="10" spans="1:8">
      <c r="A10" s="37" t="s">
        <v>2480</v>
      </c>
      <c r="B10" s="37" t="s">
        <v>2481</v>
      </c>
      <c r="C10" s="37" t="s">
        <v>176</v>
      </c>
      <c r="D10" s="37" t="s">
        <v>152</v>
      </c>
      <c r="E10" s="37"/>
      <c r="F10" s="37" t="s">
        <v>978</v>
      </c>
      <c r="G10" s="37"/>
      <c r="H10" s="37" t="s">
        <v>2482</v>
      </c>
    </row>
    <row r="11" spans="1:8">
      <c r="A11" s="37" t="s">
        <v>2483</v>
      </c>
      <c r="B11" s="37" t="s">
        <v>2484</v>
      </c>
      <c r="C11" s="37" t="s">
        <v>2485</v>
      </c>
      <c r="D11" s="37" t="s">
        <v>152</v>
      </c>
      <c r="E11" s="37"/>
      <c r="F11" s="37" t="s">
        <v>978</v>
      </c>
      <c r="G11" s="37"/>
      <c r="H11" s="37" t="s">
        <v>2486</v>
      </c>
    </row>
    <row r="12" spans="1:8">
      <c r="A12" s="37" t="s">
        <v>2487</v>
      </c>
      <c r="B12" s="37" t="s">
        <v>2488</v>
      </c>
      <c r="C12" s="37" t="s">
        <v>2489</v>
      </c>
      <c r="D12" s="37" t="s">
        <v>152</v>
      </c>
      <c r="E12" s="37"/>
      <c r="F12" s="37" t="s">
        <v>978</v>
      </c>
      <c r="G12" s="37"/>
      <c r="H12" s="37" t="s">
        <v>2490</v>
      </c>
    </row>
    <row r="13" spans="1:8">
      <c r="A13" s="37" t="s">
        <v>2008</v>
      </c>
      <c r="B13" s="37" t="s">
        <v>2491</v>
      </c>
      <c r="C13" s="37" t="s">
        <v>186</v>
      </c>
      <c r="D13" s="37" t="s">
        <v>152</v>
      </c>
      <c r="E13" s="37"/>
      <c r="F13" s="37" t="s">
        <v>547</v>
      </c>
      <c r="G13" s="37"/>
      <c r="H13" s="37" t="s">
        <v>2492</v>
      </c>
    </row>
    <row r="14" spans="1:8">
      <c r="A14" s="37" t="s">
        <v>2493</v>
      </c>
      <c r="B14" s="37" t="s">
        <v>2494</v>
      </c>
      <c r="C14" s="37" t="s">
        <v>605</v>
      </c>
      <c r="D14" s="37" t="s">
        <v>152</v>
      </c>
      <c r="E14" s="37"/>
      <c r="F14" s="37" t="s">
        <v>981</v>
      </c>
      <c r="G14" s="37"/>
      <c r="H14" s="37" t="s">
        <v>2495</v>
      </c>
    </row>
    <row r="15" spans="1:8">
      <c r="A15" s="37" t="s">
        <v>2496</v>
      </c>
      <c r="B15" s="37" t="s">
        <v>2497</v>
      </c>
      <c r="C15" s="37" t="s">
        <v>211</v>
      </c>
      <c r="D15" s="37" t="s">
        <v>152</v>
      </c>
      <c r="E15" s="37"/>
      <c r="F15" s="37" t="s">
        <v>981</v>
      </c>
      <c r="G15" s="37"/>
      <c r="H15" s="37" t="s">
        <v>2498</v>
      </c>
    </row>
    <row r="16" spans="1:8">
      <c r="A16" s="37" t="s">
        <v>2499</v>
      </c>
      <c r="B16" s="37" t="s">
        <v>2500</v>
      </c>
      <c r="C16" s="37" t="s">
        <v>180</v>
      </c>
      <c r="D16" s="37" t="s">
        <v>152</v>
      </c>
      <c r="E16" s="37"/>
      <c r="F16" s="37" t="s">
        <v>702</v>
      </c>
      <c r="G16" s="37"/>
      <c r="H16" s="37" t="s">
        <v>2501</v>
      </c>
    </row>
    <row r="17" spans="1:8">
      <c r="A17" s="37" t="s">
        <v>2502</v>
      </c>
      <c r="B17" s="37" t="s">
        <v>2503</v>
      </c>
      <c r="C17" s="37" t="s">
        <v>555</v>
      </c>
      <c r="D17" s="37" t="s">
        <v>152</v>
      </c>
      <c r="E17" s="37"/>
      <c r="F17" s="37" t="s">
        <v>544</v>
      </c>
      <c r="G17" s="37"/>
      <c r="H17" s="37" t="s">
        <v>2504</v>
      </c>
    </row>
    <row r="18" spans="1:8">
      <c r="A18" s="37" t="s">
        <v>2505</v>
      </c>
      <c r="B18" s="37" t="s">
        <v>2506</v>
      </c>
      <c r="C18" s="37" t="s">
        <v>736</v>
      </c>
      <c r="D18" s="37" t="s">
        <v>152</v>
      </c>
      <c r="E18" s="37"/>
      <c r="F18" s="37" t="s">
        <v>709</v>
      </c>
      <c r="G18" s="37"/>
      <c r="H18" s="37" t="s">
        <v>2507</v>
      </c>
    </row>
    <row r="19" spans="1:8">
      <c r="A19" s="37" t="s">
        <v>2508</v>
      </c>
      <c r="B19" s="37" t="s">
        <v>2509</v>
      </c>
      <c r="C19" s="37" t="s">
        <v>211</v>
      </c>
      <c r="D19" s="37" t="s">
        <v>152</v>
      </c>
      <c r="E19" s="37"/>
      <c r="F19" s="37" t="s">
        <v>705</v>
      </c>
      <c r="G19" s="37"/>
      <c r="H19" s="37" t="s">
        <v>2510</v>
      </c>
    </row>
    <row r="20" spans="1:8">
      <c r="A20" s="37" t="s">
        <v>2511</v>
      </c>
      <c r="B20" s="37" t="s">
        <v>2512</v>
      </c>
      <c r="C20" s="37" t="s">
        <v>204</v>
      </c>
      <c r="D20" s="37" t="s">
        <v>152</v>
      </c>
      <c r="E20" s="37"/>
      <c r="F20" s="37" t="s">
        <v>550</v>
      </c>
      <c r="G20" s="37"/>
      <c r="H20" s="37" t="s">
        <v>2513</v>
      </c>
    </row>
    <row r="21" spans="1:8">
      <c r="A21" s="37" t="s">
        <v>2514</v>
      </c>
      <c r="B21" s="37" t="s">
        <v>2515</v>
      </c>
      <c r="C21" s="37" t="s">
        <v>1113</v>
      </c>
      <c r="D21" s="37" t="s">
        <v>152</v>
      </c>
      <c r="E21" s="37"/>
      <c r="F21" s="37" t="s">
        <v>2516</v>
      </c>
      <c r="G21" s="37"/>
      <c r="H21" s="37" t="s">
        <v>2517</v>
      </c>
    </row>
    <row r="22" spans="1:8">
      <c r="A22" s="37" t="s">
        <v>2518</v>
      </c>
      <c r="B22" s="37" t="s">
        <v>2519</v>
      </c>
      <c r="C22" s="37" t="s">
        <v>277</v>
      </c>
      <c r="D22" s="37" t="s">
        <v>152</v>
      </c>
      <c r="E22" s="37"/>
      <c r="F22" s="37" t="s">
        <v>984</v>
      </c>
      <c r="G22" s="37"/>
      <c r="H22" s="37" t="s">
        <v>2520</v>
      </c>
    </row>
    <row r="23" spans="1:8">
      <c r="A23" s="46"/>
      <c r="B23" s="46"/>
      <c r="C23" s="46"/>
      <c r="D23" s="46"/>
      <c r="E23" s="46"/>
      <c r="F23" s="46"/>
      <c r="G23" s="46"/>
      <c r="H23" s="46"/>
    </row>
    <row r="24" spans="1:8">
      <c r="A24" s="48"/>
      <c r="B24" s="48"/>
      <c r="C24" s="48"/>
      <c r="D24" s="48"/>
      <c r="E24" s="48"/>
      <c r="F24" s="48"/>
      <c r="G24" s="48"/>
      <c r="H24" s="48"/>
    </row>
  </sheetData>
  <mergeCells count="1">
    <mergeCell ref="A1:H1"/>
  </mergeCells>
  <dataValidations count="2">
    <dataValidation type="list" sqref="D6:D23" xr:uid="{00000000-0002-0000-2400-000000000000}">
      <formula1>"Not Started,In Progress,Complete,Missing,N/A,Needs Regulatory Review"</formula1>
    </dataValidation>
    <dataValidation type="list" allowBlank="1" sqref="D8:D22" xr:uid="{00000000-0002-0000-2400-000001000000}">
      <formula1>"Not Started,In Progress,Needs Review,Complete,Not Applicable,Blocked"</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sheetPr>
  <dimension ref="A1:M121"/>
  <sheetViews>
    <sheetView showGridLines="0" workbookViewId="0"/>
  </sheetViews>
  <sheetFormatPr defaultRowHeight="15"/>
  <cols>
    <col min="1" max="1" width="12" customWidth="1"/>
    <col min="2" max="2" width="28" customWidth="1"/>
    <col min="3" max="3" width="44" customWidth="1"/>
    <col min="4" max="4" width="24" customWidth="1"/>
    <col min="5" max="5" width="18" customWidth="1"/>
    <col min="6" max="6" width="30" customWidth="1"/>
    <col min="7" max="7" width="14" customWidth="1"/>
    <col min="8" max="8" width="20" customWidth="1"/>
    <col min="9" max="9" width="18" customWidth="1"/>
    <col min="10" max="10" width="34" customWidth="1"/>
    <col min="11" max="11" width="16" customWidth="1"/>
    <col min="12" max="12" width="12" customWidth="1"/>
    <col min="13" max="13" width="38" customWidth="1"/>
  </cols>
  <sheetData>
    <row r="1" spans="1:13" s="48" customFormat="1">
      <c r="A1" s="179" t="s">
        <v>2352</v>
      </c>
      <c r="B1" s="179"/>
      <c r="C1" s="179"/>
      <c r="D1" s="179"/>
      <c r="E1" s="179"/>
      <c r="F1" s="179"/>
      <c r="G1" s="179"/>
      <c r="H1" s="179"/>
      <c r="I1" s="179"/>
      <c r="J1" s="179"/>
      <c r="K1" s="179"/>
      <c r="L1" s="179"/>
      <c r="M1" s="179"/>
    </row>
    <row r="2" spans="1:13" ht="24" customHeight="1">
      <c r="A2" s="56" t="s">
        <v>0</v>
      </c>
      <c r="B2" s="56"/>
      <c r="C2" s="56"/>
      <c r="D2" s="56"/>
      <c r="E2" s="56"/>
      <c r="F2" s="56"/>
      <c r="G2" s="56"/>
      <c r="H2" s="56"/>
      <c r="I2" s="56"/>
      <c r="J2" s="56"/>
      <c r="K2" s="48"/>
      <c r="L2" s="48"/>
      <c r="M2" s="48"/>
    </row>
    <row r="3" spans="1:13" ht="30" customHeight="1">
      <c r="A3" s="168" t="s">
        <v>2521</v>
      </c>
      <c r="B3" s="193"/>
      <c r="C3" s="193"/>
      <c r="D3" s="193"/>
      <c r="E3" s="193"/>
      <c r="F3" s="193"/>
      <c r="G3" s="193"/>
      <c r="H3" s="193"/>
      <c r="I3" s="193"/>
      <c r="J3" s="193"/>
      <c r="K3" s="193"/>
      <c r="L3" s="193"/>
      <c r="M3" s="193"/>
    </row>
    <row r="4" spans="1:13" ht="30" customHeight="1">
      <c r="A4" s="167" t="s">
        <v>2522</v>
      </c>
      <c r="B4" s="193"/>
      <c r="C4" s="193"/>
      <c r="D4" s="193"/>
      <c r="E4" s="193"/>
      <c r="F4" s="193"/>
      <c r="G4" s="193"/>
      <c r="H4" s="193"/>
      <c r="I4" s="193"/>
      <c r="J4" s="193"/>
      <c r="K4" s="193"/>
      <c r="L4" s="193"/>
      <c r="M4" s="193"/>
    </row>
    <row r="5" spans="1:13">
      <c r="A5" s="46"/>
      <c r="B5" s="46"/>
      <c r="C5" s="46"/>
      <c r="D5" s="46"/>
      <c r="E5" s="46"/>
      <c r="F5" s="46"/>
      <c r="G5" s="46"/>
      <c r="H5" s="46"/>
      <c r="I5" s="46"/>
      <c r="J5" s="46"/>
      <c r="K5" s="48"/>
      <c r="L5" s="48"/>
      <c r="M5" s="48"/>
    </row>
    <row r="6" spans="1:13" ht="21.95" customHeight="1">
      <c r="A6" s="57" t="s">
        <v>2523</v>
      </c>
      <c r="B6" s="57"/>
      <c r="C6" s="57"/>
      <c r="D6" s="57"/>
      <c r="E6" s="57"/>
      <c r="F6" s="57"/>
      <c r="G6" s="57"/>
      <c r="H6" s="57"/>
      <c r="I6" s="57"/>
      <c r="J6" s="57"/>
      <c r="K6" s="48"/>
      <c r="L6" s="48"/>
      <c r="M6" s="48"/>
    </row>
    <row r="7" spans="1:13" ht="33.950000000000003" customHeight="1">
      <c r="A7" s="36" t="s">
        <v>2524</v>
      </c>
      <c r="B7" s="36" t="s">
        <v>2525</v>
      </c>
      <c r="C7" s="36" t="s">
        <v>2526</v>
      </c>
      <c r="D7" s="36" t="s">
        <v>144</v>
      </c>
      <c r="E7" s="36" t="s">
        <v>145</v>
      </c>
      <c r="F7" s="36" t="s">
        <v>578</v>
      </c>
      <c r="G7" s="36" t="s">
        <v>143</v>
      </c>
      <c r="H7" s="36" t="s">
        <v>2527</v>
      </c>
      <c r="I7" s="36" t="s">
        <v>2528</v>
      </c>
      <c r="J7" s="36" t="s">
        <v>70</v>
      </c>
      <c r="K7" s="48"/>
      <c r="L7" s="48"/>
      <c r="M7" s="48"/>
    </row>
    <row r="8" spans="1:13" ht="30" customHeight="1">
      <c r="A8" s="37" t="s">
        <v>2529</v>
      </c>
      <c r="B8" s="37" t="s">
        <v>2004</v>
      </c>
      <c r="C8" s="37" t="s">
        <v>2530</v>
      </c>
      <c r="D8" s="37" t="s">
        <v>176</v>
      </c>
      <c r="E8" s="37" t="s">
        <v>152</v>
      </c>
      <c r="F8" s="37"/>
      <c r="G8" s="37" t="s">
        <v>249</v>
      </c>
      <c r="H8" s="42"/>
      <c r="I8" s="42"/>
      <c r="J8" s="37"/>
      <c r="K8" s="48"/>
      <c r="L8" s="48"/>
      <c r="M8" s="48"/>
    </row>
    <row r="9" spans="1:13" ht="30" customHeight="1">
      <c r="A9" s="37" t="s">
        <v>2531</v>
      </c>
      <c r="B9" s="37" t="s">
        <v>2532</v>
      </c>
      <c r="C9" s="37" t="s">
        <v>2533</v>
      </c>
      <c r="D9" s="37" t="s">
        <v>197</v>
      </c>
      <c r="E9" s="37" t="s">
        <v>152</v>
      </c>
      <c r="F9" s="37"/>
      <c r="G9" s="37" t="s">
        <v>2534</v>
      </c>
      <c r="H9" s="42"/>
      <c r="I9" s="42"/>
      <c r="J9" s="37"/>
      <c r="K9" s="48"/>
      <c r="L9" s="48"/>
      <c r="M9" s="48"/>
    </row>
    <row r="10" spans="1:13" ht="30" customHeight="1">
      <c r="A10" s="37" t="s">
        <v>2535</v>
      </c>
      <c r="B10" s="37" t="s">
        <v>2017</v>
      </c>
      <c r="C10" s="37" t="s">
        <v>2536</v>
      </c>
      <c r="D10" s="37" t="s">
        <v>180</v>
      </c>
      <c r="E10" s="37" t="s">
        <v>152</v>
      </c>
      <c r="F10" s="37"/>
      <c r="G10" s="37" t="s">
        <v>192</v>
      </c>
      <c r="H10" s="42"/>
      <c r="I10" s="42"/>
      <c r="J10" s="37"/>
      <c r="K10" s="48"/>
      <c r="L10" s="48"/>
      <c r="M10" s="48"/>
    </row>
    <row r="11" spans="1:13" ht="30" customHeight="1">
      <c r="A11" s="37" t="s">
        <v>2537</v>
      </c>
      <c r="B11" s="37" t="s">
        <v>2538</v>
      </c>
      <c r="C11" s="37" t="s">
        <v>2539</v>
      </c>
      <c r="D11" s="37" t="s">
        <v>555</v>
      </c>
      <c r="E11" s="37" t="s">
        <v>152</v>
      </c>
      <c r="F11" s="37"/>
      <c r="G11" s="37" t="s">
        <v>2540</v>
      </c>
      <c r="H11" s="42"/>
      <c r="I11" s="42"/>
      <c r="J11" s="37"/>
      <c r="K11" s="48"/>
      <c r="L11" s="48"/>
      <c r="M11" s="48"/>
    </row>
    <row r="12" spans="1:13" ht="30" customHeight="1">
      <c r="A12" s="37" t="s">
        <v>2541</v>
      </c>
      <c r="B12" s="37" t="s">
        <v>2542</v>
      </c>
      <c r="C12" s="37" t="s">
        <v>2543</v>
      </c>
      <c r="D12" s="37" t="s">
        <v>270</v>
      </c>
      <c r="E12" s="37" t="s">
        <v>152</v>
      </c>
      <c r="F12" s="37"/>
      <c r="G12" s="37" t="s">
        <v>269</v>
      </c>
      <c r="H12" s="42"/>
      <c r="I12" s="42"/>
      <c r="J12" s="37"/>
      <c r="K12" s="48"/>
      <c r="L12" s="48"/>
      <c r="M12" s="48"/>
    </row>
    <row r="13" spans="1:13" ht="30" customHeight="1">
      <c r="A13" s="37" t="s">
        <v>2544</v>
      </c>
      <c r="B13" s="37" t="s">
        <v>2545</v>
      </c>
      <c r="C13" s="37" t="s">
        <v>2546</v>
      </c>
      <c r="D13" s="37" t="s">
        <v>211</v>
      </c>
      <c r="E13" s="37" t="s">
        <v>152</v>
      </c>
      <c r="F13" s="37"/>
      <c r="G13" s="37" t="s">
        <v>2547</v>
      </c>
      <c r="H13" s="42"/>
      <c r="I13" s="42"/>
      <c r="J13" s="37"/>
      <c r="K13" s="48"/>
      <c r="L13" s="48"/>
      <c r="M13" s="48"/>
    </row>
    <row r="14" spans="1:13" ht="30" customHeight="1">
      <c r="A14" s="37" t="s">
        <v>2548</v>
      </c>
      <c r="B14" s="37" t="s">
        <v>2549</v>
      </c>
      <c r="C14" s="37" t="s">
        <v>2550</v>
      </c>
      <c r="D14" s="37" t="s">
        <v>211</v>
      </c>
      <c r="E14" s="37" t="s">
        <v>152</v>
      </c>
      <c r="F14" s="37"/>
      <c r="G14" s="37" t="s">
        <v>238</v>
      </c>
      <c r="H14" s="42"/>
      <c r="I14" s="42"/>
      <c r="J14" s="37"/>
      <c r="K14" s="48"/>
      <c r="L14" s="48"/>
      <c r="M14" s="48"/>
    </row>
    <row r="15" spans="1:13" ht="30" customHeight="1">
      <c r="A15" s="37" t="s">
        <v>2551</v>
      </c>
      <c r="B15" s="37" t="s">
        <v>2552</v>
      </c>
      <c r="C15" s="37" t="s">
        <v>2553</v>
      </c>
      <c r="D15" s="37" t="s">
        <v>204</v>
      </c>
      <c r="E15" s="37" t="s">
        <v>152</v>
      </c>
      <c r="F15" s="37"/>
      <c r="G15" s="37" t="s">
        <v>2554</v>
      </c>
      <c r="H15" s="42"/>
      <c r="I15" s="42"/>
      <c r="J15" s="37"/>
      <c r="K15" s="48"/>
      <c r="L15" s="48"/>
      <c r="M15" s="48"/>
    </row>
    <row r="16" spans="1:13" ht="30" customHeight="1">
      <c r="A16" s="37" t="s">
        <v>2555</v>
      </c>
      <c r="B16" s="37" t="s">
        <v>2556</v>
      </c>
      <c r="C16" s="37" t="s">
        <v>2557</v>
      </c>
      <c r="D16" s="37" t="s">
        <v>837</v>
      </c>
      <c r="E16" s="37" t="s">
        <v>152</v>
      </c>
      <c r="F16" s="37"/>
      <c r="G16" s="37" t="s">
        <v>227</v>
      </c>
      <c r="H16" s="42"/>
      <c r="I16" s="42"/>
      <c r="J16" s="37"/>
      <c r="K16" s="48"/>
      <c r="L16" s="48"/>
      <c r="M16" s="48"/>
    </row>
    <row r="17" spans="1:13" ht="30" customHeight="1">
      <c r="A17" s="37" t="s">
        <v>2558</v>
      </c>
      <c r="B17" s="37" t="s">
        <v>2064</v>
      </c>
      <c r="C17" s="37" t="s">
        <v>2559</v>
      </c>
      <c r="D17" s="37" t="s">
        <v>277</v>
      </c>
      <c r="E17" s="37" t="s">
        <v>152</v>
      </c>
      <c r="F17" s="37"/>
      <c r="G17" s="37" t="s">
        <v>276</v>
      </c>
      <c r="H17" s="42"/>
      <c r="I17" s="42"/>
      <c r="J17" s="37"/>
      <c r="K17" s="48"/>
      <c r="L17" s="48"/>
      <c r="M17" s="48"/>
    </row>
    <row r="18" spans="1:13" ht="30" customHeight="1">
      <c r="A18" s="46"/>
      <c r="B18" s="46"/>
      <c r="C18" s="46"/>
      <c r="D18" s="46"/>
      <c r="E18" s="46"/>
      <c r="F18" s="46"/>
      <c r="G18" s="46"/>
      <c r="H18" s="46"/>
      <c r="I18" s="46"/>
      <c r="J18" s="46"/>
      <c r="K18" s="48"/>
      <c r="L18" s="48"/>
      <c r="M18" s="48"/>
    </row>
    <row r="19" spans="1:13" ht="30" customHeight="1">
      <c r="A19" s="48"/>
      <c r="B19" s="48"/>
      <c r="C19" s="48"/>
      <c r="D19" s="48"/>
      <c r="E19" s="48"/>
      <c r="F19" s="48"/>
      <c r="G19" s="48"/>
      <c r="H19" s="48"/>
      <c r="I19" s="48"/>
      <c r="J19" s="48"/>
      <c r="K19" s="48"/>
      <c r="L19" s="48"/>
      <c r="M19" s="48"/>
    </row>
    <row r="20" spans="1:13" ht="30" customHeight="1">
      <c r="A20" s="48"/>
      <c r="B20" s="48"/>
      <c r="C20" s="48"/>
      <c r="D20" s="48"/>
      <c r="E20" s="48"/>
      <c r="F20" s="48"/>
      <c r="G20" s="48"/>
      <c r="H20" s="48"/>
      <c r="I20" s="48"/>
      <c r="J20" s="48"/>
      <c r="K20" s="48"/>
      <c r="L20" s="48"/>
      <c r="M20" s="48"/>
    </row>
    <row r="21" spans="1:13" ht="30" customHeight="1">
      <c r="A21" s="48"/>
      <c r="B21" s="48"/>
      <c r="C21" s="48"/>
      <c r="D21" s="48"/>
      <c r="E21" s="48"/>
      <c r="F21" s="48"/>
      <c r="G21" s="48"/>
      <c r="H21" s="48"/>
      <c r="I21" s="48"/>
      <c r="J21" s="48"/>
      <c r="K21" s="48"/>
      <c r="L21" s="48"/>
      <c r="M21" s="48"/>
    </row>
    <row r="22" spans="1:13" ht="30" customHeight="1">
      <c r="A22" s="48"/>
      <c r="B22" s="48"/>
      <c r="C22" s="48"/>
      <c r="D22" s="48"/>
      <c r="E22" s="48"/>
      <c r="F22" s="48"/>
      <c r="G22" s="48"/>
      <c r="H22" s="48"/>
      <c r="I22" s="48"/>
      <c r="J22" s="48"/>
      <c r="K22" s="48"/>
      <c r="L22" s="48"/>
      <c r="M22" s="48"/>
    </row>
    <row r="23" spans="1:13" ht="30" customHeight="1">
      <c r="A23" s="48"/>
      <c r="B23" s="48"/>
      <c r="C23" s="48"/>
      <c r="D23" s="48"/>
      <c r="E23" s="48"/>
      <c r="F23" s="48"/>
      <c r="G23" s="48"/>
      <c r="H23" s="48"/>
      <c r="I23" s="48"/>
      <c r="J23" s="48"/>
      <c r="K23" s="48"/>
      <c r="L23" s="48"/>
      <c r="M23" s="48"/>
    </row>
    <row r="24" spans="1:13" ht="30" customHeight="1">
      <c r="A24" s="48"/>
      <c r="B24" s="48"/>
      <c r="C24" s="48"/>
      <c r="D24" s="48"/>
      <c r="E24" s="48"/>
      <c r="F24" s="48"/>
      <c r="G24" s="48"/>
      <c r="H24" s="48"/>
      <c r="I24" s="48"/>
      <c r="J24" s="48"/>
      <c r="K24" s="48"/>
      <c r="L24" s="48"/>
      <c r="M24" s="48"/>
    </row>
    <row r="25" spans="1:13" ht="30" customHeight="1">
      <c r="A25" s="48"/>
      <c r="B25" s="48"/>
      <c r="C25" s="48"/>
      <c r="D25" s="48"/>
      <c r="E25" s="48"/>
      <c r="F25" s="48"/>
      <c r="G25" s="48"/>
      <c r="H25" s="48"/>
      <c r="I25" s="48"/>
      <c r="J25" s="48"/>
      <c r="K25" s="48"/>
      <c r="L25" s="48"/>
      <c r="M25" s="48"/>
    </row>
    <row r="26" spans="1:13" ht="30" customHeight="1">
      <c r="A26" s="48"/>
      <c r="B26" s="48"/>
      <c r="C26" s="48"/>
      <c r="D26" s="48"/>
      <c r="E26" s="48"/>
      <c r="F26" s="48"/>
      <c r="G26" s="48"/>
      <c r="H26" s="48"/>
      <c r="I26" s="48"/>
      <c r="J26" s="48"/>
      <c r="K26" s="48"/>
      <c r="L26" s="48"/>
      <c r="M26" s="48"/>
    </row>
    <row r="27" spans="1:13" ht="30" customHeight="1">
      <c r="A27" s="48"/>
      <c r="B27" s="48"/>
      <c r="C27" s="48"/>
      <c r="D27" s="48"/>
      <c r="E27" s="48"/>
      <c r="F27" s="48"/>
      <c r="G27" s="48"/>
      <c r="H27" s="48"/>
      <c r="I27" s="48"/>
      <c r="J27" s="48"/>
      <c r="K27" s="48"/>
      <c r="L27" s="48"/>
      <c r="M27" s="48"/>
    </row>
    <row r="28" spans="1:13" ht="30" customHeight="1">
      <c r="A28" s="48"/>
      <c r="B28" s="48"/>
      <c r="C28" s="48"/>
      <c r="D28" s="48"/>
      <c r="E28" s="48"/>
      <c r="F28" s="48"/>
      <c r="G28" s="48"/>
      <c r="H28" s="48"/>
      <c r="I28" s="48"/>
      <c r="J28" s="48"/>
      <c r="K28" s="48"/>
      <c r="L28" s="48"/>
      <c r="M28" s="48"/>
    </row>
    <row r="29" spans="1:13" ht="30" customHeight="1">
      <c r="A29" s="48"/>
      <c r="B29" s="48"/>
      <c r="C29" s="48"/>
      <c r="D29" s="48"/>
      <c r="E29" s="48"/>
      <c r="F29" s="48"/>
      <c r="G29" s="48"/>
      <c r="H29" s="48"/>
      <c r="I29" s="48"/>
      <c r="J29" s="48"/>
      <c r="K29" s="48"/>
      <c r="L29" s="48"/>
      <c r="M29" s="48"/>
    </row>
    <row r="30" spans="1:13" ht="30" customHeight="1">
      <c r="A30" s="48"/>
      <c r="B30" s="48"/>
      <c r="C30" s="48"/>
      <c r="D30" s="48"/>
      <c r="E30" s="48"/>
      <c r="F30" s="48"/>
      <c r="G30" s="48"/>
      <c r="H30" s="48"/>
      <c r="I30" s="48"/>
      <c r="J30" s="48"/>
      <c r="K30" s="48"/>
      <c r="L30" s="48"/>
      <c r="M30" s="48"/>
    </row>
    <row r="31" spans="1:13" ht="30" customHeight="1">
      <c r="A31" s="48"/>
      <c r="B31" s="48"/>
      <c r="C31" s="48"/>
      <c r="D31" s="48"/>
      <c r="E31" s="48"/>
      <c r="F31" s="48"/>
      <c r="G31" s="48"/>
      <c r="H31" s="48"/>
      <c r="I31" s="48"/>
      <c r="J31" s="48"/>
      <c r="K31" s="48"/>
      <c r="L31" s="48"/>
      <c r="M31" s="48"/>
    </row>
    <row r="32" spans="1:13" ht="30" customHeight="1">
      <c r="A32" s="48"/>
      <c r="B32" s="48"/>
      <c r="C32" s="48"/>
      <c r="D32" s="48"/>
      <c r="E32" s="48"/>
      <c r="F32" s="48"/>
      <c r="G32" s="48"/>
      <c r="H32" s="48"/>
      <c r="I32" s="48"/>
      <c r="J32" s="48"/>
      <c r="K32" s="48"/>
      <c r="L32" s="48"/>
      <c r="M32" s="48"/>
    </row>
    <row r="33" spans="1:13" ht="30" customHeight="1">
      <c r="A33" s="48"/>
      <c r="B33" s="48"/>
      <c r="C33" s="48"/>
      <c r="D33" s="48"/>
      <c r="E33" s="48"/>
      <c r="F33" s="48"/>
      <c r="G33" s="48"/>
      <c r="H33" s="48"/>
      <c r="I33" s="48"/>
      <c r="J33" s="48"/>
      <c r="K33" s="48"/>
      <c r="L33" s="48"/>
      <c r="M33" s="48"/>
    </row>
    <row r="34" spans="1:13" ht="30" customHeight="1">
      <c r="A34" s="48"/>
      <c r="B34" s="48"/>
      <c r="C34" s="48"/>
      <c r="D34" s="48"/>
      <c r="E34" s="48"/>
      <c r="F34" s="48"/>
      <c r="G34" s="48"/>
      <c r="H34" s="48"/>
      <c r="I34" s="48"/>
      <c r="J34" s="48"/>
      <c r="K34" s="48"/>
      <c r="L34" s="48"/>
      <c r="M34" s="48"/>
    </row>
    <row r="35" spans="1:13" ht="30" customHeight="1">
      <c r="A35" s="48"/>
      <c r="B35" s="48"/>
      <c r="C35" s="48"/>
      <c r="D35" s="48"/>
      <c r="E35" s="48"/>
      <c r="F35" s="48"/>
      <c r="G35" s="48"/>
      <c r="H35" s="48"/>
      <c r="I35" s="48"/>
      <c r="J35" s="48"/>
      <c r="K35" s="48"/>
      <c r="L35" s="48"/>
      <c r="M35" s="48"/>
    </row>
    <row r="36" spans="1:13" ht="30" customHeight="1">
      <c r="A36" s="48"/>
      <c r="B36" s="48"/>
      <c r="C36" s="48"/>
      <c r="D36" s="48"/>
      <c r="E36" s="48"/>
      <c r="F36" s="48"/>
      <c r="G36" s="48"/>
      <c r="H36" s="48"/>
      <c r="I36" s="48"/>
      <c r="J36" s="48"/>
      <c r="K36" s="48"/>
      <c r="L36" s="48"/>
      <c r="M36" s="48"/>
    </row>
    <row r="37" spans="1:13" ht="30" customHeight="1">
      <c r="A37" s="48"/>
      <c r="B37" s="48"/>
      <c r="C37" s="48"/>
      <c r="D37" s="48"/>
      <c r="E37" s="48"/>
      <c r="F37" s="48"/>
      <c r="G37" s="48"/>
      <c r="H37" s="48"/>
      <c r="I37" s="48"/>
      <c r="J37" s="48"/>
      <c r="K37" s="48"/>
      <c r="L37" s="48"/>
      <c r="M37" s="48"/>
    </row>
    <row r="38" spans="1:13" ht="30" customHeight="1">
      <c r="A38" s="48"/>
      <c r="B38" s="48"/>
      <c r="C38" s="48"/>
      <c r="D38" s="48"/>
      <c r="E38" s="48"/>
      <c r="F38" s="48"/>
      <c r="G38" s="48"/>
      <c r="H38" s="48"/>
      <c r="I38" s="48"/>
      <c r="J38" s="48"/>
      <c r="K38" s="48"/>
      <c r="L38" s="48"/>
      <c r="M38" s="48"/>
    </row>
    <row r="39" spans="1:13" ht="30" customHeight="1">
      <c r="A39" s="48"/>
      <c r="B39" s="48"/>
      <c r="C39" s="48"/>
      <c r="D39" s="48"/>
      <c r="E39" s="48"/>
      <c r="F39" s="48"/>
      <c r="G39" s="48"/>
      <c r="H39" s="48"/>
      <c r="I39" s="48"/>
      <c r="J39" s="48"/>
      <c r="K39" s="48"/>
      <c r="L39" s="48"/>
      <c r="M39" s="48"/>
    </row>
    <row r="40" spans="1:13" ht="30" customHeight="1">
      <c r="A40" s="48"/>
      <c r="B40" s="48"/>
      <c r="C40" s="48"/>
      <c r="D40" s="48"/>
      <c r="E40" s="48"/>
      <c r="F40" s="48"/>
      <c r="G40" s="48"/>
      <c r="H40" s="48"/>
      <c r="I40" s="48"/>
      <c r="J40" s="48"/>
      <c r="K40" s="48"/>
      <c r="L40" s="48"/>
      <c r="M40" s="48"/>
    </row>
    <row r="41" spans="1:13" ht="30" customHeight="1">
      <c r="A41" s="48"/>
      <c r="B41" s="48"/>
      <c r="C41" s="48"/>
      <c r="D41" s="48"/>
      <c r="E41" s="48"/>
      <c r="F41" s="48"/>
      <c r="G41" s="48"/>
      <c r="H41" s="48"/>
      <c r="I41" s="48"/>
      <c r="J41" s="48"/>
      <c r="K41" s="48"/>
      <c r="L41" s="48"/>
      <c r="M41" s="48"/>
    </row>
    <row r="42" spans="1:13" ht="30" customHeight="1">
      <c r="A42" s="48"/>
      <c r="B42" s="48"/>
      <c r="C42" s="48"/>
      <c r="D42" s="48"/>
      <c r="E42" s="48"/>
      <c r="F42" s="48"/>
      <c r="G42" s="48"/>
      <c r="H42" s="48"/>
      <c r="I42" s="48"/>
      <c r="J42" s="48"/>
      <c r="K42" s="48"/>
      <c r="L42" s="48"/>
      <c r="M42" s="48"/>
    </row>
    <row r="43" spans="1:13" ht="30" customHeight="1">
      <c r="A43" s="48"/>
      <c r="B43" s="48"/>
      <c r="C43" s="48"/>
      <c r="D43" s="48"/>
      <c r="E43" s="48"/>
      <c r="F43" s="48"/>
      <c r="G43" s="48"/>
      <c r="H43" s="48"/>
      <c r="I43" s="48"/>
      <c r="J43" s="48"/>
      <c r="K43" s="48"/>
      <c r="L43" s="48"/>
      <c r="M43" s="48"/>
    </row>
    <row r="44" spans="1:13" ht="30" customHeight="1">
      <c r="A44" s="48"/>
      <c r="B44" s="48"/>
      <c r="C44" s="48"/>
      <c r="D44" s="48"/>
      <c r="E44" s="48"/>
      <c r="F44" s="48"/>
      <c r="G44" s="48"/>
      <c r="H44" s="48"/>
      <c r="I44" s="48"/>
      <c r="J44" s="48"/>
      <c r="K44" s="48"/>
      <c r="L44" s="48"/>
      <c r="M44" s="48"/>
    </row>
    <row r="45" spans="1:13" ht="30" customHeight="1">
      <c r="A45" s="48"/>
      <c r="B45" s="48"/>
      <c r="C45" s="48"/>
      <c r="D45" s="48"/>
      <c r="E45" s="48"/>
      <c r="F45" s="48"/>
      <c r="G45" s="48"/>
      <c r="H45" s="48"/>
      <c r="I45" s="48"/>
      <c r="J45" s="48"/>
      <c r="K45" s="48"/>
      <c r="L45" s="48"/>
      <c r="M45" s="48"/>
    </row>
    <row r="46" spans="1:13" ht="30" customHeight="1">
      <c r="A46" s="48"/>
      <c r="B46" s="48"/>
      <c r="C46" s="48"/>
      <c r="D46" s="48"/>
      <c r="E46" s="48"/>
      <c r="F46" s="48"/>
      <c r="G46" s="48"/>
      <c r="H46" s="48"/>
      <c r="I46" s="48"/>
      <c r="J46" s="48"/>
      <c r="K46" s="48"/>
      <c r="L46" s="48"/>
      <c r="M46" s="48"/>
    </row>
    <row r="47" spans="1:13" ht="30" customHeight="1">
      <c r="A47" s="48"/>
      <c r="B47" s="48"/>
      <c r="C47" s="48"/>
      <c r="D47" s="48"/>
      <c r="E47" s="48"/>
      <c r="F47" s="48"/>
      <c r="G47" s="48"/>
      <c r="H47" s="48"/>
      <c r="I47" s="48"/>
      <c r="J47" s="48"/>
      <c r="K47" s="48"/>
      <c r="L47" s="48"/>
      <c r="M47" s="48"/>
    </row>
    <row r="48" spans="1:13" ht="30" customHeight="1">
      <c r="A48" s="48"/>
      <c r="B48" s="48"/>
      <c r="C48" s="48"/>
      <c r="D48" s="48"/>
      <c r="E48" s="48"/>
      <c r="F48" s="48"/>
      <c r="G48" s="48"/>
      <c r="H48" s="48"/>
      <c r="I48" s="48"/>
      <c r="J48" s="48"/>
      <c r="K48" s="48"/>
      <c r="L48" s="48"/>
      <c r="M48" s="48"/>
    </row>
    <row r="49" spans="1:13" ht="30" customHeight="1">
      <c r="A49" s="48"/>
      <c r="B49" s="48"/>
      <c r="C49" s="48"/>
      <c r="D49" s="48"/>
      <c r="E49" s="48"/>
      <c r="F49" s="48"/>
      <c r="G49" s="48"/>
      <c r="H49" s="48"/>
      <c r="I49" s="48"/>
      <c r="J49" s="48"/>
      <c r="K49" s="48"/>
      <c r="L49" s="48"/>
      <c r="M49" s="48"/>
    </row>
    <row r="50" spans="1:13" ht="30" customHeight="1">
      <c r="A50" s="48"/>
      <c r="B50" s="48"/>
      <c r="C50" s="48"/>
      <c r="D50" s="48"/>
      <c r="E50" s="48"/>
      <c r="F50" s="48"/>
      <c r="G50" s="48"/>
      <c r="H50" s="48"/>
      <c r="I50" s="48"/>
      <c r="J50" s="48"/>
      <c r="K50" s="48"/>
      <c r="L50" s="48"/>
      <c r="M50" s="48"/>
    </row>
    <row r="51" spans="1:13" ht="30" customHeight="1">
      <c r="A51" s="48"/>
      <c r="B51" s="48"/>
      <c r="C51" s="48"/>
      <c r="D51" s="48"/>
      <c r="E51" s="48"/>
      <c r="F51" s="48"/>
      <c r="G51" s="48"/>
      <c r="H51" s="48"/>
      <c r="I51" s="48"/>
      <c r="J51" s="48"/>
      <c r="K51" s="48"/>
      <c r="L51" s="48"/>
      <c r="M51" s="48"/>
    </row>
    <row r="52" spans="1:13" ht="30" customHeight="1">
      <c r="A52" s="48"/>
      <c r="B52" s="48"/>
      <c r="C52" s="48"/>
      <c r="D52" s="48"/>
      <c r="E52" s="48"/>
      <c r="F52" s="48"/>
      <c r="G52" s="48"/>
      <c r="H52" s="48"/>
      <c r="I52" s="48"/>
      <c r="J52" s="48"/>
      <c r="K52" s="48"/>
      <c r="L52" s="48"/>
      <c r="M52" s="48"/>
    </row>
    <row r="53" spans="1:13" ht="30" customHeight="1">
      <c r="A53" s="48"/>
      <c r="B53" s="48"/>
      <c r="C53" s="48"/>
      <c r="D53" s="48"/>
      <c r="E53" s="48"/>
      <c r="F53" s="48"/>
      <c r="G53" s="48"/>
      <c r="H53" s="48"/>
      <c r="I53" s="48"/>
      <c r="J53" s="48"/>
      <c r="K53" s="48"/>
      <c r="L53" s="48"/>
      <c r="M53" s="48"/>
    </row>
    <row r="54" spans="1:13" ht="30" customHeight="1">
      <c r="A54" s="48"/>
      <c r="B54" s="48"/>
      <c r="C54" s="48"/>
      <c r="D54" s="48"/>
      <c r="E54" s="48"/>
      <c r="F54" s="48"/>
      <c r="G54" s="48"/>
      <c r="H54" s="48"/>
      <c r="I54" s="48"/>
      <c r="J54" s="48"/>
      <c r="K54" s="48"/>
      <c r="L54" s="48"/>
      <c r="M54" s="48"/>
    </row>
    <row r="55" spans="1:13" ht="30" customHeight="1">
      <c r="A55" s="48"/>
      <c r="B55" s="48"/>
      <c r="C55" s="48"/>
      <c r="D55" s="48"/>
      <c r="E55" s="48"/>
      <c r="F55" s="48"/>
      <c r="G55" s="48"/>
      <c r="H55" s="48"/>
      <c r="I55" s="48"/>
      <c r="J55" s="48"/>
      <c r="K55" s="48"/>
      <c r="L55" s="48"/>
      <c r="M55" s="48"/>
    </row>
    <row r="56" spans="1:13" ht="30" customHeight="1">
      <c r="A56" s="48"/>
      <c r="B56" s="48"/>
      <c r="C56" s="48"/>
      <c r="D56" s="48"/>
      <c r="E56" s="48"/>
      <c r="F56" s="48"/>
      <c r="G56" s="48"/>
      <c r="H56" s="48"/>
      <c r="I56" s="48"/>
      <c r="J56" s="48"/>
      <c r="K56" s="48"/>
      <c r="L56" s="48"/>
      <c r="M56" s="48"/>
    </row>
    <row r="57" spans="1:13" ht="30" customHeight="1">
      <c r="A57" s="48"/>
      <c r="B57" s="48"/>
      <c r="C57" s="48"/>
      <c r="D57" s="48"/>
      <c r="E57" s="48"/>
      <c r="F57" s="48"/>
      <c r="G57" s="48"/>
      <c r="H57" s="48"/>
      <c r="I57" s="48"/>
      <c r="J57" s="48"/>
      <c r="K57" s="48"/>
      <c r="L57" s="48"/>
      <c r="M57" s="48"/>
    </row>
    <row r="58" spans="1:13" ht="30" customHeight="1">
      <c r="A58" s="48"/>
      <c r="B58" s="48"/>
      <c r="C58" s="48"/>
      <c r="D58" s="48"/>
      <c r="E58" s="48"/>
      <c r="F58" s="48"/>
      <c r="G58" s="48"/>
      <c r="H58" s="48"/>
      <c r="I58" s="48"/>
      <c r="J58" s="48"/>
      <c r="K58" s="48"/>
      <c r="L58" s="48"/>
      <c r="M58" s="48"/>
    </row>
    <row r="59" spans="1:13" ht="30" customHeight="1">
      <c r="A59" s="48"/>
      <c r="B59" s="48"/>
      <c r="C59" s="48"/>
      <c r="D59" s="48"/>
      <c r="E59" s="48"/>
      <c r="F59" s="48"/>
      <c r="G59" s="48"/>
      <c r="H59" s="48"/>
      <c r="I59" s="48"/>
      <c r="J59" s="48"/>
      <c r="K59" s="48"/>
      <c r="L59" s="48"/>
      <c r="M59" s="48"/>
    </row>
    <row r="60" spans="1:13" ht="30" customHeight="1">
      <c r="A60" s="48"/>
      <c r="B60" s="48"/>
      <c r="C60" s="48"/>
      <c r="D60" s="48"/>
      <c r="E60" s="48"/>
      <c r="F60" s="48"/>
      <c r="G60" s="48"/>
      <c r="H60" s="48"/>
      <c r="I60" s="48"/>
      <c r="J60" s="48"/>
      <c r="K60" s="48"/>
      <c r="L60" s="48"/>
      <c r="M60" s="48"/>
    </row>
    <row r="61" spans="1:13" ht="30" customHeight="1">
      <c r="A61" s="48"/>
      <c r="B61" s="48"/>
      <c r="C61" s="48"/>
      <c r="D61" s="48"/>
      <c r="E61" s="48"/>
      <c r="F61" s="48"/>
      <c r="G61" s="48"/>
      <c r="H61" s="48"/>
      <c r="I61" s="48"/>
      <c r="J61" s="48"/>
      <c r="K61" s="48"/>
      <c r="L61" s="48"/>
      <c r="M61" s="48"/>
    </row>
    <row r="62" spans="1:13" ht="30" customHeight="1">
      <c r="A62" s="48"/>
      <c r="B62" s="48"/>
      <c r="C62" s="48"/>
      <c r="D62" s="48"/>
      <c r="E62" s="48"/>
      <c r="F62" s="48"/>
      <c r="G62" s="48"/>
      <c r="H62" s="48"/>
      <c r="I62" s="48"/>
      <c r="J62" s="48"/>
      <c r="K62" s="48"/>
      <c r="L62" s="48"/>
      <c r="M62" s="48"/>
    </row>
    <row r="63" spans="1:13" ht="30" customHeight="1">
      <c r="A63" s="48"/>
      <c r="B63" s="48"/>
      <c r="C63" s="48"/>
      <c r="D63" s="48"/>
      <c r="E63" s="48"/>
      <c r="F63" s="48"/>
      <c r="G63" s="48"/>
      <c r="H63" s="48"/>
      <c r="I63" s="48"/>
      <c r="J63" s="48"/>
      <c r="K63" s="48"/>
      <c r="L63" s="48"/>
      <c r="M63" s="48"/>
    </row>
    <row r="64" spans="1:13" ht="30" customHeight="1">
      <c r="A64" s="48"/>
      <c r="B64" s="48"/>
      <c r="C64" s="48"/>
      <c r="D64" s="48"/>
      <c r="E64" s="48"/>
      <c r="F64" s="48"/>
      <c r="G64" s="48"/>
      <c r="H64" s="48"/>
      <c r="I64" s="48"/>
      <c r="J64" s="48"/>
      <c r="K64" s="48"/>
      <c r="L64" s="48"/>
      <c r="M64" s="48"/>
    </row>
    <row r="65" spans="1:13" ht="30" customHeight="1">
      <c r="A65" s="48"/>
      <c r="B65" s="48"/>
      <c r="C65" s="48"/>
      <c r="D65" s="48"/>
      <c r="E65" s="48"/>
      <c r="F65" s="48"/>
      <c r="G65" s="48"/>
      <c r="H65" s="48"/>
      <c r="I65" s="48"/>
      <c r="J65" s="48"/>
      <c r="K65" s="48"/>
      <c r="L65" s="48"/>
      <c r="M65" s="48"/>
    </row>
    <row r="66" spans="1:13" ht="30" customHeight="1">
      <c r="A66" s="48"/>
      <c r="B66" s="48"/>
      <c r="C66" s="48"/>
      <c r="D66" s="48"/>
      <c r="E66" s="48"/>
      <c r="F66" s="48"/>
      <c r="G66" s="48"/>
      <c r="H66" s="48"/>
      <c r="I66" s="48"/>
      <c r="J66" s="48"/>
      <c r="K66" s="48"/>
      <c r="L66" s="48"/>
      <c r="M66" s="48"/>
    </row>
    <row r="67" spans="1:13" ht="30" customHeight="1">
      <c r="A67" s="48"/>
      <c r="B67" s="48"/>
      <c r="C67" s="48"/>
      <c r="D67" s="48"/>
      <c r="E67" s="48"/>
      <c r="F67" s="48"/>
      <c r="G67" s="48"/>
      <c r="H67" s="48"/>
      <c r="I67" s="48"/>
      <c r="J67" s="48"/>
      <c r="K67" s="48"/>
      <c r="L67" s="48"/>
      <c r="M67" s="48"/>
    </row>
    <row r="68" spans="1:13" ht="30" customHeight="1">
      <c r="A68" s="48"/>
      <c r="B68" s="48"/>
      <c r="C68" s="48"/>
      <c r="D68" s="48"/>
      <c r="E68" s="48"/>
      <c r="F68" s="48"/>
      <c r="G68" s="48"/>
      <c r="H68" s="48"/>
      <c r="I68" s="48"/>
      <c r="J68" s="48"/>
      <c r="K68" s="48"/>
      <c r="L68" s="48"/>
      <c r="M68" s="48"/>
    </row>
    <row r="69" spans="1:13" ht="30" customHeight="1">
      <c r="A69" s="48"/>
      <c r="B69" s="48"/>
      <c r="C69" s="48"/>
      <c r="D69" s="48"/>
      <c r="E69" s="48"/>
      <c r="F69" s="48"/>
      <c r="G69" s="48"/>
      <c r="H69" s="48"/>
      <c r="I69" s="48"/>
      <c r="J69" s="48"/>
      <c r="K69" s="48"/>
      <c r="L69" s="48"/>
      <c r="M69" s="48"/>
    </row>
    <row r="70" spans="1:13" ht="30" customHeight="1">
      <c r="A70" s="48"/>
      <c r="B70" s="48"/>
      <c r="C70" s="48"/>
      <c r="D70" s="48"/>
      <c r="E70" s="48"/>
      <c r="F70" s="48"/>
      <c r="G70" s="48"/>
      <c r="H70" s="48"/>
      <c r="I70" s="48"/>
      <c r="J70" s="48"/>
      <c r="K70" s="48"/>
      <c r="L70" s="48"/>
      <c r="M70" s="48"/>
    </row>
    <row r="71" spans="1:13" ht="30" customHeight="1">
      <c r="A71" s="48"/>
      <c r="B71" s="48"/>
      <c r="C71" s="48"/>
      <c r="D71" s="48"/>
      <c r="E71" s="48"/>
      <c r="F71" s="48"/>
      <c r="G71" s="48"/>
      <c r="H71" s="48"/>
      <c r="I71" s="48"/>
      <c r="J71" s="48"/>
      <c r="K71" s="48"/>
      <c r="L71" s="48"/>
      <c r="M71" s="48"/>
    </row>
    <row r="72" spans="1:13" ht="30" customHeight="1">
      <c r="A72" s="48"/>
      <c r="B72" s="48"/>
      <c r="C72" s="48"/>
      <c r="D72" s="48"/>
      <c r="E72" s="48"/>
      <c r="F72" s="48"/>
      <c r="G72" s="48"/>
      <c r="H72" s="48"/>
      <c r="I72" s="48"/>
      <c r="J72" s="48"/>
      <c r="K72" s="48"/>
      <c r="L72" s="48"/>
      <c r="M72" s="48"/>
    </row>
    <row r="73" spans="1:13" ht="30" customHeight="1">
      <c r="A73" s="48"/>
      <c r="B73" s="48"/>
      <c r="C73" s="48"/>
      <c r="D73" s="48"/>
      <c r="E73" s="48"/>
      <c r="F73" s="48"/>
      <c r="G73" s="48"/>
      <c r="H73" s="48"/>
      <c r="I73" s="48"/>
      <c r="J73" s="48"/>
      <c r="K73" s="48"/>
      <c r="L73" s="48"/>
      <c r="M73" s="48"/>
    </row>
    <row r="74" spans="1:13" ht="30" customHeight="1">
      <c r="A74" s="48"/>
      <c r="B74" s="48"/>
      <c r="C74" s="48"/>
      <c r="D74" s="48"/>
      <c r="E74" s="48"/>
      <c r="F74" s="48"/>
      <c r="G74" s="48"/>
      <c r="H74" s="48"/>
      <c r="I74" s="48"/>
      <c r="J74" s="48"/>
      <c r="K74" s="48"/>
      <c r="L74" s="48"/>
      <c r="M74" s="48"/>
    </row>
    <row r="75" spans="1:13" ht="30" customHeight="1">
      <c r="A75" s="48"/>
      <c r="B75" s="48"/>
      <c r="C75" s="48"/>
      <c r="D75" s="48"/>
      <c r="E75" s="48"/>
      <c r="F75" s="48"/>
      <c r="G75" s="48"/>
      <c r="H75" s="48"/>
      <c r="I75" s="48"/>
      <c r="J75" s="48"/>
      <c r="K75" s="48"/>
      <c r="L75" s="48"/>
      <c r="M75" s="48"/>
    </row>
    <row r="76" spans="1:13" ht="30" customHeight="1">
      <c r="A76" s="48"/>
      <c r="B76" s="48"/>
      <c r="C76" s="48"/>
      <c r="D76" s="48"/>
      <c r="E76" s="48"/>
      <c r="F76" s="48"/>
      <c r="G76" s="48"/>
      <c r="H76" s="48"/>
      <c r="I76" s="48"/>
      <c r="J76" s="48"/>
      <c r="K76" s="48"/>
      <c r="L76" s="48"/>
      <c r="M76" s="48"/>
    </row>
    <row r="77" spans="1:13" ht="30" customHeight="1">
      <c r="A77" s="48"/>
      <c r="B77" s="48"/>
      <c r="C77" s="48"/>
      <c r="D77" s="48"/>
      <c r="E77" s="48"/>
      <c r="F77" s="48"/>
      <c r="G77" s="48"/>
      <c r="H77" s="48"/>
      <c r="I77" s="48"/>
      <c r="J77" s="48"/>
      <c r="K77" s="48"/>
      <c r="L77" s="48"/>
      <c r="M77" s="48"/>
    </row>
    <row r="78" spans="1:13" ht="30" customHeight="1">
      <c r="A78" s="48"/>
      <c r="B78" s="48"/>
      <c r="C78" s="48"/>
      <c r="D78" s="48"/>
      <c r="E78" s="48"/>
      <c r="F78" s="48"/>
      <c r="G78" s="48"/>
      <c r="H78" s="48"/>
      <c r="I78" s="48"/>
      <c r="J78" s="48"/>
      <c r="K78" s="48"/>
      <c r="L78" s="48"/>
      <c r="M78" s="48"/>
    </row>
    <row r="79" spans="1:13" ht="30" customHeight="1">
      <c r="A79" s="48"/>
      <c r="B79" s="48"/>
      <c r="C79" s="48"/>
      <c r="D79" s="48"/>
      <c r="E79" s="48"/>
      <c r="F79" s="48"/>
      <c r="G79" s="48"/>
      <c r="H79" s="48"/>
      <c r="I79" s="48"/>
      <c r="J79" s="48"/>
      <c r="K79" s="48"/>
      <c r="L79" s="48"/>
      <c r="M79" s="48"/>
    </row>
    <row r="80" spans="1:13" ht="30" customHeight="1">
      <c r="A80" s="48"/>
      <c r="B80" s="48"/>
      <c r="C80" s="48"/>
      <c r="D80" s="48"/>
      <c r="E80" s="48"/>
      <c r="F80" s="48"/>
      <c r="G80" s="48"/>
      <c r="H80" s="48"/>
      <c r="I80" s="48"/>
      <c r="J80" s="48"/>
      <c r="K80" s="48"/>
      <c r="L80" s="48"/>
      <c r="M80" s="48"/>
    </row>
    <row r="81" spans="1:13" ht="30" customHeight="1">
      <c r="A81" s="48"/>
      <c r="B81" s="48"/>
      <c r="C81" s="48"/>
      <c r="D81" s="48"/>
      <c r="E81" s="48"/>
      <c r="F81" s="48"/>
      <c r="G81" s="48"/>
      <c r="H81" s="48"/>
      <c r="I81" s="48"/>
      <c r="J81" s="48"/>
      <c r="K81" s="48"/>
      <c r="L81" s="48"/>
      <c r="M81" s="48"/>
    </row>
    <row r="82" spans="1:13" ht="30" customHeight="1">
      <c r="A82" s="48"/>
      <c r="B82" s="48"/>
      <c r="C82" s="48"/>
      <c r="D82" s="48"/>
      <c r="E82" s="48"/>
      <c r="F82" s="48"/>
      <c r="G82" s="48"/>
      <c r="H82" s="48"/>
      <c r="I82" s="48"/>
      <c r="J82" s="48"/>
      <c r="K82" s="48"/>
      <c r="L82" s="48"/>
      <c r="M82" s="48"/>
    </row>
    <row r="83" spans="1:13" ht="30" customHeight="1">
      <c r="A83" s="48"/>
      <c r="B83" s="48"/>
      <c r="C83" s="48"/>
      <c r="D83" s="48"/>
      <c r="E83" s="48"/>
      <c r="F83" s="48"/>
      <c r="G83" s="48"/>
      <c r="H83" s="48"/>
      <c r="I83" s="48"/>
      <c r="J83" s="48"/>
      <c r="K83" s="48"/>
      <c r="L83" s="48"/>
      <c r="M83" s="48"/>
    </row>
    <row r="84" spans="1:13" ht="30" customHeight="1">
      <c r="A84" s="48"/>
      <c r="B84" s="48"/>
      <c r="C84" s="48"/>
      <c r="D84" s="48"/>
      <c r="E84" s="48"/>
      <c r="F84" s="48"/>
      <c r="G84" s="48"/>
      <c r="H84" s="48"/>
      <c r="I84" s="48"/>
      <c r="J84" s="48"/>
      <c r="K84" s="48"/>
      <c r="L84" s="48"/>
      <c r="M84" s="48"/>
    </row>
    <row r="85" spans="1:13" ht="30" customHeight="1">
      <c r="A85" s="48"/>
      <c r="B85" s="48"/>
      <c r="C85" s="48"/>
      <c r="D85" s="48"/>
      <c r="E85" s="48"/>
      <c r="F85" s="48"/>
      <c r="G85" s="48"/>
      <c r="H85" s="48"/>
      <c r="I85" s="48"/>
      <c r="J85" s="48"/>
      <c r="K85" s="48"/>
      <c r="L85" s="48"/>
      <c r="M85" s="48"/>
    </row>
    <row r="86" spans="1:13" ht="30" customHeight="1">
      <c r="A86" s="48"/>
      <c r="B86" s="48"/>
      <c r="C86" s="48"/>
      <c r="D86" s="48"/>
      <c r="E86" s="48"/>
      <c r="F86" s="48"/>
      <c r="G86" s="48"/>
      <c r="H86" s="48"/>
      <c r="I86" s="48"/>
      <c r="J86" s="48"/>
      <c r="K86" s="48"/>
      <c r="L86" s="48"/>
      <c r="M86" s="48"/>
    </row>
    <row r="87" spans="1:13" ht="30" customHeight="1">
      <c r="A87" s="48"/>
      <c r="B87" s="48"/>
      <c r="C87" s="48"/>
      <c r="D87" s="48"/>
      <c r="E87" s="48"/>
      <c r="F87" s="48"/>
      <c r="G87" s="48"/>
      <c r="H87" s="48"/>
      <c r="I87" s="48"/>
      <c r="J87" s="48"/>
      <c r="K87" s="48"/>
      <c r="L87" s="48"/>
      <c r="M87" s="48"/>
    </row>
    <row r="88" spans="1:13" ht="30" customHeight="1">
      <c r="A88" s="48"/>
      <c r="B88" s="48"/>
      <c r="C88" s="48"/>
      <c r="D88" s="48"/>
      <c r="E88" s="48"/>
      <c r="F88" s="48"/>
      <c r="G88" s="48"/>
      <c r="H88" s="48"/>
      <c r="I88" s="48"/>
      <c r="J88" s="48"/>
      <c r="K88" s="48"/>
      <c r="L88" s="48"/>
      <c r="M88" s="48"/>
    </row>
    <row r="89" spans="1:13" ht="30" customHeight="1">
      <c r="A89" s="48"/>
      <c r="B89" s="48"/>
      <c r="C89" s="48"/>
      <c r="D89" s="48"/>
      <c r="E89" s="48"/>
      <c r="F89" s="48"/>
      <c r="G89" s="48"/>
      <c r="H89" s="48"/>
      <c r="I89" s="48"/>
      <c r="J89" s="48"/>
      <c r="K89" s="48"/>
      <c r="L89" s="48"/>
      <c r="M89" s="48"/>
    </row>
    <row r="90" spans="1:13" ht="30" customHeight="1">
      <c r="A90" s="48"/>
      <c r="B90" s="48"/>
      <c r="C90" s="48"/>
      <c r="D90" s="48"/>
      <c r="E90" s="48"/>
      <c r="F90" s="48"/>
      <c r="G90" s="48"/>
      <c r="H90" s="48"/>
      <c r="I90" s="48"/>
      <c r="J90" s="48"/>
      <c r="K90" s="48"/>
      <c r="L90" s="48"/>
      <c r="M90" s="48"/>
    </row>
    <row r="91" spans="1:13" ht="30" customHeight="1">
      <c r="A91" s="48"/>
      <c r="B91" s="48"/>
      <c r="C91" s="48"/>
      <c r="D91" s="48"/>
      <c r="E91" s="48"/>
      <c r="F91" s="48"/>
      <c r="G91" s="48"/>
      <c r="H91" s="48"/>
      <c r="I91" s="48"/>
      <c r="J91" s="48"/>
      <c r="K91" s="48"/>
      <c r="L91" s="48"/>
      <c r="M91" s="48"/>
    </row>
    <row r="92" spans="1:13" ht="30" customHeight="1">
      <c r="A92" s="48"/>
      <c r="B92" s="48"/>
      <c r="C92" s="48"/>
      <c r="D92" s="48"/>
      <c r="E92" s="48"/>
      <c r="F92" s="48"/>
      <c r="G92" s="48"/>
      <c r="H92" s="48"/>
      <c r="I92" s="48"/>
      <c r="J92" s="48"/>
      <c r="K92" s="48"/>
      <c r="L92" s="48"/>
      <c r="M92" s="48"/>
    </row>
    <row r="93" spans="1:13" ht="30" customHeight="1">
      <c r="A93" s="48"/>
      <c r="B93" s="48"/>
      <c r="C93" s="48"/>
      <c r="D93" s="48"/>
      <c r="E93" s="48"/>
      <c r="F93" s="48"/>
      <c r="G93" s="48"/>
      <c r="H93" s="48"/>
      <c r="I93" s="48"/>
      <c r="J93" s="48"/>
      <c r="K93" s="48"/>
      <c r="L93" s="48"/>
      <c r="M93" s="48"/>
    </row>
    <row r="94" spans="1:13" ht="30" customHeight="1">
      <c r="A94" s="48"/>
      <c r="B94" s="48"/>
      <c r="C94" s="48"/>
      <c r="D94" s="48"/>
      <c r="E94" s="48"/>
      <c r="F94" s="48"/>
      <c r="G94" s="48"/>
      <c r="H94" s="48"/>
      <c r="I94" s="48"/>
      <c r="J94" s="48"/>
      <c r="K94" s="48"/>
      <c r="L94" s="48"/>
      <c r="M94" s="48"/>
    </row>
    <row r="95" spans="1:13" ht="30" customHeight="1">
      <c r="A95" s="48"/>
      <c r="B95" s="48"/>
      <c r="C95" s="48"/>
      <c r="D95" s="48"/>
      <c r="E95" s="48"/>
      <c r="F95" s="48"/>
      <c r="G95" s="48"/>
      <c r="H95" s="48"/>
      <c r="I95" s="48"/>
      <c r="J95" s="48"/>
      <c r="K95" s="48"/>
      <c r="L95" s="48"/>
      <c r="M95" s="48"/>
    </row>
    <row r="96" spans="1:13" ht="30" customHeight="1">
      <c r="A96" s="48"/>
      <c r="B96" s="48"/>
      <c r="C96" s="48"/>
      <c r="D96" s="48"/>
      <c r="E96" s="48"/>
      <c r="F96" s="48"/>
      <c r="G96" s="48"/>
      <c r="H96" s="48"/>
      <c r="I96" s="48"/>
      <c r="J96" s="48"/>
      <c r="K96" s="48"/>
      <c r="L96" s="48"/>
      <c r="M96" s="48"/>
    </row>
    <row r="97" spans="1:13" ht="30" customHeight="1">
      <c r="A97" s="48"/>
      <c r="B97" s="48"/>
      <c r="C97" s="48"/>
      <c r="D97" s="48"/>
      <c r="E97" s="48"/>
      <c r="F97" s="48"/>
      <c r="G97" s="48"/>
      <c r="H97" s="48"/>
      <c r="I97" s="48"/>
      <c r="J97" s="48"/>
      <c r="K97" s="48"/>
      <c r="L97" s="48"/>
      <c r="M97" s="48"/>
    </row>
    <row r="98" spans="1:13" ht="30" customHeight="1">
      <c r="A98" s="48"/>
      <c r="B98" s="48"/>
      <c r="C98" s="48"/>
      <c r="D98" s="48"/>
      <c r="E98" s="48"/>
      <c r="F98" s="48"/>
      <c r="G98" s="48"/>
      <c r="H98" s="48"/>
      <c r="I98" s="48"/>
      <c r="J98" s="48"/>
      <c r="K98" s="48"/>
      <c r="L98" s="48"/>
      <c r="M98" s="48"/>
    </row>
    <row r="99" spans="1:13" ht="30" customHeight="1">
      <c r="A99" s="48"/>
      <c r="B99" s="48"/>
      <c r="C99" s="48"/>
      <c r="D99" s="48"/>
      <c r="E99" s="48"/>
      <c r="F99" s="48"/>
      <c r="G99" s="48"/>
      <c r="H99" s="48"/>
      <c r="I99" s="48"/>
      <c r="J99" s="48"/>
      <c r="K99" s="48"/>
      <c r="L99" s="48"/>
      <c r="M99" s="48"/>
    </row>
    <row r="100" spans="1:13" ht="30" customHeight="1">
      <c r="A100" s="48"/>
      <c r="B100" s="48"/>
      <c r="C100" s="48"/>
      <c r="D100" s="48"/>
      <c r="E100" s="48"/>
      <c r="F100" s="48"/>
      <c r="G100" s="48"/>
      <c r="H100" s="48"/>
      <c r="I100" s="48"/>
      <c r="J100" s="48"/>
      <c r="K100" s="48"/>
      <c r="L100" s="48"/>
      <c r="M100" s="48"/>
    </row>
    <row r="101" spans="1:13" ht="30" customHeight="1">
      <c r="A101" s="48"/>
      <c r="B101" s="48"/>
      <c r="C101" s="48"/>
      <c r="D101" s="48"/>
      <c r="E101" s="48"/>
      <c r="F101" s="48"/>
      <c r="G101" s="48"/>
      <c r="H101" s="48"/>
      <c r="I101" s="48"/>
      <c r="J101" s="48"/>
      <c r="K101" s="48"/>
      <c r="L101" s="48"/>
      <c r="M101" s="48"/>
    </row>
    <row r="102" spans="1:13" ht="30" customHeight="1">
      <c r="A102" s="48"/>
      <c r="B102" s="48"/>
      <c r="C102" s="48"/>
      <c r="D102" s="48"/>
      <c r="E102" s="48"/>
      <c r="F102" s="48"/>
      <c r="G102" s="48"/>
      <c r="H102" s="48"/>
      <c r="I102" s="48"/>
      <c r="J102" s="48"/>
      <c r="K102" s="48"/>
      <c r="L102" s="48"/>
      <c r="M102" s="48"/>
    </row>
    <row r="103" spans="1:13" ht="30" customHeight="1">
      <c r="A103" s="48"/>
      <c r="B103" s="48"/>
      <c r="C103" s="48"/>
      <c r="D103" s="48"/>
      <c r="E103" s="48"/>
      <c r="F103" s="48"/>
      <c r="G103" s="48"/>
      <c r="H103" s="48"/>
      <c r="I103" s="48"/>
      <c r="J103" s="48"/>
      <c r="K103" s="48"/>
      <c r="L103" s="48"/>
      <c r="M103" s="48"/>
    </row>
    <row r="104" spans="1:13" ht="30" customHeight="1">
      <c r="A104" s="48"/>
      <c r="B104" s="48"/>
      <c r="C104" s="48"/>
      <c r="D104" s="48"/>
      <c r="E104" s="48"/>
      <c r="F104" s="48"/>
      <c r="G104" s="48"/>
      <c r="H104" s="48"/>
      <c r="I104" s="48"/>
      <c r="J104" s="48"/>
      <c r="K104" s="48"/>
      <c r="L104" s="48"/>
      <c r="M104" s="48"/>
    </row>
    <row r="105" spans="1:13" ht="30" customHeight="1">
      <c r="A105" s="48"/>
      <c r="B105" s="48"/>
      <c r="C105" s="48"/>
      <c r="D105" s="48"/>
      <c r="E105" s="48"/>
      <c r="F105" s="48"/>
      <c r="G105" s="48"/>
      <c r="H105" s="48"/>
      <c r="I105" s="48"/>
      <c r="J105" s="48"/>
      <c r="K105" s="48"/>
      <c r="L105" s="48"/>
      <c r="M105" s="48"/>
    </row>
    <row r="106" spans="1:13" ht="30" customHeight="1">
      <c r="A106" s="48"/>
      <c r="B106" s="48"/>
      <c r="C106" s="48"/>
      <c r="D106" s="48"/>
      <c r="E106" s="48"/>
      <c r="F106" s="48"/>
      <c r="G106" s="48"/>
      <c r="H106" s="48"/>
      <c r="I106" s="48"/>
      <c r="J106" s="48"/>
      <c r="K106" s="48"/>
      <c r="L106" s="48"/>
      <c r="M106" s="48"/>
    </row>
    <row r="107" spans="1:13" ht="30" customHeight="1">
      <c r="A107" s="48"/>
      <c r="B107" s="48"/>
      <c r="C107" s="48"/>
      <c r="D107" s="48"/>
      <c r="E107" s="48"/>
      <c r="F107" s="48"/>
      <c r="G107" s="48"/>
      <c r="H107" s="48"/>
      <c r="I107" s="48"/>
      <c r="J107" s="48"/>
      <c r="K107" s="48"/>
      <c r="L107" s="48"/>
      <c r="M107" s="48"/>
    </row>
    <row r="108" spans="1:13" ht="30" customHeight="1">
      <c r="A108" s="48"/>
      <c r="B108" s="48"/>
      <c r="C108" s="48"/>
      <c r="D108" s="48"/>
      <c r="E108" s="48"/>
      <c r="F108" s="48"/>
      <c r="G108" s="48"/>
      <c r="H108" s="48"/>
      <c r="I108" s="48"/>
      <c r="J108" s="48"/>
      <c r="K108" s="48"/>
      <c r="L108" s="48"/>
      <c r="M108" s="48"/>
    </row>
    <row r="109" spans="1:13" ht="30" customHeight="1">
      <c r="A109" s="48"/>
      <c r="B109" s="48"/>
      <c r="C109" s="48"/>
      <c r="D109" s="48"/>
      <c r="E109" s="48"/>
      <c r="F109" s="48"/>
      <c r="G109" s="48"/>
      <c r="H109" s="48"/>
      <c r="I109" s="48"/>
      <c r="J109" s="48"/>
      <c r="K109" s="48"/>
      <c r="L109" s="48"/>
      <c r="M109" s="48"/>
    </row>
    <row r="110" spans="1:13" ht="30" customHeight="1">
      <c r="A110" s="48"/>
      <c r="B110" s="48"/>
      <c r="C110" s="48"/>
      <c r="D110" s="48"/>
      <c r="E110" s="48"/>
      <c r="F110" s="48"/>
      <c r="G110" s="48"/>
      <c r="H110" s="48"/>
      <c r="I110" s="48"/>
      <c r="J110" s="48"/>
      <c r="K110" s="48"/>
      <c r="L110" s="48"/>
      <c r="M110" s="48"/>
    </row>
    <row r="111" spans="1:13" ht="30" customHeight="1">
      <c r="A111" s="48"/>
      <c r="B111" s="48"/>
      <c r="C111" s="48"/>
      <c r="D111" s="48"/>
      <c r="E111" s="48"/>
      <c r="F111" s="48"/>
      <c r="G111" s="48"/>
      <c r="H111" s="48"/>
      <c r="I111" s="48"/>
      <c r="J111" s="48"/>
      <c r="K111" s="48"/>
      <c r="L111" s="48"/>
      <c r="M111" s="48"/>
    </row>
    <row r="112" spans="1:13" ht="30" customHeight="1">
      <c r="A112" s="48"/>
      <c r="B112" s="48"/>
      <c r="C112" s="48"/>
      <c r="D112" s="48"/>
      <c r="E112" s="48"/>
      <c r="F112" s="48"/>
      <c r="G112" s="48"/>
      <c r="H112" s="48"/>
      <c r="I112" s="48"/>
      <c r="J112" s="48"/>
      <c r="K112" s="48"/>
      <c r="L112" s="48"/>
      <c r="M112" s="48"/>
    </row>
    <row r="113" spans="1:13" ht="30" customHeight="1">
      <c r="A113" s="48"/>
      <c r="B113" s="48"/>
      <c r="C113" s="48"/>
      <c r="D113" s="48"/>
      <c r="E113" s="48"/>
      <c r="F113" s="48"/>
      <c r="G113" s="48"/>
      <c r="H113" s="48"/>
      <c r="I113" s="48"/>
      <c r="J113" s="48"/>
      <c r="K113" s="48"/>
      <c r="L113" s="48"/>
      <c r="M113" s="48"/>
    </row>
    <row r="114" spans="1:13" ht="30" customHeight="1">
      <c r="A114" s="48"/>
      <c r="B114" s="48"/>
      <c r="C114" s="48"/>
      <c r="D114" s="48"/>
      <c r="E114" s="48"/>
      <c r="F114" s="48"/>
      <c r="G114" s="48"/>
      <c r="H114" s="48"/>
      <c r="I114" s="48"/>
      <c r="J114" s="48"/>
      <c r="K114" s="48"/>
      <c r="L114" s="48"/>
      <c r="M114" s="48"/>
    </row>
    <row r="115" spans="1:13" ht="30" customHeight="1">
      <c r="A115" s="48"/>
      <c r="B115" s="48"/>
      <c r="C115" s="48"/>
      <c r="D115" s="48"/>
      <c r="E115" s="48"/>
      <c r="F115" s="48"/>
      <c r="G115" s="48"/>
      <c r="H115" s="48"/>
      <c r="I115" s="48"/>
      <c r="J115" s="48"/>
      <c r="K115" s="48"/>
      <c r="L115" s="48"/>
      <c r="M115" s="48"/>
    </row>
    <row r="116" spans="1:13" ht="30" customHeight="1">
      <c r="A116" s="48"/>
      <c r="B116" s="48"/>
      <c r="C116" s="48"/>
      <c r="D116" s="48"/>
      <c r="E116" s="48"/>
      <c r="F116" s="48"/>
      <c r="G116" s="48"/>
      <c r="H116" s="48"/>
      <c r="I116" s="48"/>
      <c r="J116" s="48"/>
      <c r="K116" s="48"/>
      <c r="L116" s="48"/>
      <c r="M116" s="48"/>
    </row>
    <row r="117" spans="1:13" ht="30" customHeight="1">
      <c r="A117" s="48"/>
      <c r="B117" s="48"/>
      <c r="C117" s="48"/>
      <c r="D117" s="48"/>
      <c r="E117" s="48"/>
      <c r="F117" s="48"/>
      <c r="G117" s="48"/>
      <c r="H117" s="48"/>
      <c r="I117" s="48"/>
      <c r="J117" s="48"/>
      <c r="K117" s="48"/>
      <c r="L117" s="48"/>
      <c r="M117" s="48"/>
    </row>
    <row r="118" spans="1:13" ht="30" customHeight="1">
      <c r="A118" s="48"/>
      <c r="B118" s="48"/>
      <c r="C118" s="48"/>
      <c r="D118" s="48"/>
      <c r="E118" s="48"/>
      <c r="F118" s="48"/>
      <c r="G118" s="48"/>
      <c r="H118" s="48"/>
      <c r="I118" s="48"/>
      <c r="J118" s="48"/>
      <c r="K118" s="48"/>
      <c r="L118" s="48"/>
      <c r="M118" s="48"/>
    </row>
    <row r="119" spans="1:13" ht="30" customHeight="1">
      <c r="A119" s="48"/>
      <c r="B119" s="48"/>
      <c r="C119" s="48"/>
      <c r="D119" s="48"/>
      <c r="E119" s="48"/>
      <c r="F119" s="48"/>
      <c r="G119" s="48"/>
      <c r="H119" s="48"/>
      <c r="I119" s="48"/>
      <c r="J119" s="48"/>
      <c r="K119" s="48"/>
      <c r="L119" s="48"/>
      <c r="M119" s="48"/>
    </row>
    <row r="120" spans="1:13" ht="30" customHeight="1">
      <c r="A120" s="48"/>
      <c r="B120" s="48"/>
      <c r="C120" s="48"/>
      <c r="D120" s="48"/>
      <c r="E120" s="48"/>
      <c r="F120" s="48"/>
      <c r="G120" s="48"/>
      <c r="H120" s="48"/>
      <c r="I120" s="48"/>
      <c r="J120" s="48"/>
      <c r="K120" s="48"/>
      <c r="L120" s="48"/>
      <c r="M120" s="48"/>
    </row>
    <row r="121" spans="1:13" ht="30" customHeight="1">
      <c r="A121" s="48"/>
      <c r="B121" s="48"/>
      <c r="C121" s="48"/>
      <c r="D121" s="48"/>
      <c r="E121" s="48"/>
      <c r="F121" s="48"/>
      <c r="G121" s="48"/>
      <c r="H121" s="48"/>
      <c r="I121" s="48"/>
      <c r="J121" s="48"/>
      <c r="K121" s="48"/>
      <c r="L121" s="48"/>
      <c r="M121" s="48"/>
    </row>
  </sheetData>
  <mergeCells count="3">
    <mergeCell ref="A4:M4"/>
    <mergeCell ref="A3:M3"/>
    <mergeCell ref="A1:M1"/>
  </mergeCells>
  <dataValidations count="3">
    <dataValidation type="list" allowBlank="1" sqref="I7:I121" xr:uid="{00000000-0002-0000-2500-000000000000}">
      <formula1>"Not Started,In Progress,Awaiting Information,Complete,N/A,On Hold,Gap / Action Required,Approved,Rejected,Superseded"</formula1>
    </dataValidation>
    <dataValidation type="list" sqref="I41:I47" xr:uid="{00000000-0002-0000-2500-000001000000}">
      <formula1>"Not Started,In Progress,Complete,Attached to PIF,Gap / Action Required,N/A,Superseded"</formula1>
    </dataValidation>
    <dataValidation type="list" allowBlank="1" sqref="E8:E17 I8:I17" xr:uid="{00000000-0002-0000-2500-000002000000}">
      <formula1>"Not Started,In Progress,Needs Review,Complete,Not Applicable,Blocked"</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00B050"/>
  </sheetPr>
  <dimension ref="A1:R26"/>
  <sheetViews>
    <sheetView showGridLines="0" workbookViewId="0"/>
  </sheetViews>
  <sheetFormatPr defaultRowHeight="15"/>
  <cols>
    <col min="1" max="2" width="18" customWidth="1"/>
    <col min="3" max="3" width="24" customWidth="1"/>
    <col min="4" max="4" width="30" customWidth="1"/>
    <col min="5" max="5" width="28" customWidth="1"/>
    <col min="6" max="7" width="30" customWidth="1"/>
    <col min="8" max="9" width="18" customWidth="1"/>
    <col min="10" max="10" width="20" customWidth="1"/>
    <col min="11" max="11" width="34" customWidth="1"/>
    <col min="13" max="14" width="18" customWidth="1"/>
    <col min="15" max="16" width="22" customWidth="1"/>
    <col min="17" max="17" width="34" customWidth="1"/>
    <col min="18" max="18" width="18" customWidth="1"/>
  </cols>
  <sheetData>
    <row r="1" spans="1:18" s="48" customFormat="1">
      <c r="A1" s="179" t="s">
        <v>2352</v>
      </c>
      <c r="B1" s="179"/>
      <c r="C1" s="179"/>
      <c r="D1" s="179"/>
      <c r="E1" s="179"/>
      <c r="F1" s="179"/>
      <c r="G1" s="179"/>
      <c r="H1" s="179"/>
      <c r="I1" s="179"/>
      <c r="J1" s="179"/>
      <c r="K1" s="179"/>
      <c r="L1" s="179"/>
      <c r="M1" s="179"/>
      <c r="N1" s="179"/>
      <c r="O1" s="179"/>
      <c r="P1" s="179"/>
      <c r="Q1" s="179"/>
      <c r="R1" s="179"/>
    </row>
    <row r="2" spans="1:18" ht="24" customHeight="1">
      <c r="A2" s="56" t="s">
        <v>0</v>
      </c>
      <c r="B2" s="56"/>
      <c r="C2" s="56"/>
      <c r="D2" s="56"/>
      <c r="E2" s="56"/>
      <c r="F2" s="56"/>
      <c r="G2" s="56"/>
      <c r="H2" s="56"/>
      <c r="I2" s="56"/>
      <c r="J2" s="56"/>
      <c r="K2" s="56"/>
      <c r="L2" s="48"/>
      <c r="M2" s="48"/>
      <c r="N2" s="48"/>
      <c r="O2" s="48"/>
      <c r="P2" s="48"/>
      <c r="Q2" s="48"/>
      <c r="R2" s="48"/>
    </row>
    <row r="3" spans="1:18" ht="30" customHeight="1">
      <c r="A3" s="168" t="s">
        <v>2560</v>
      </c>
      <c r="B3" s="193"/>
      <c r="C3" s="193"/>
      <c r="D3" s="193"/>
      <c r="E3" s="193"/>
      <c r="F3" s="193"/>
      <c r="G3" s="193"/>
      <c r="H3" s="193"/>
      <c r="I3" s="193"/>
      <c r="J3" s="193"/>
      <c r="K3" s="193"/>
      <c r="L3" s="193"/>
      <c r="M3" s="193"/>
      <c r="N3" s="193"/>
      <c r="O3" s="193"/>
      <c r="P3" s="193"/>
      <c r="Q3" s="193"/>
      <c r="R3" s="193"/>
    </row>
    <row r="4" spans="1:18" ht="30" customHeight="1">
      <c r="A4" s="44" t="s">
        <v>2561</v>
      </c>
      <c r="B4" s="44"/>
      <c r="C4" s="44"/>
      <c r="D4" s="44"/>
      <c r="E4" s="44"/>
      <c r="F4" s="44"/>
      <c r="G4" s="44"/>
      <c r="H4" s="44"/>
      <c r="I4" s="44"/>
      <c r="J4" s="44"/>
      <c r="K4" s="44"/>
      <c r="L4" s="48"/>
      <c r="M4" s="48"/>
      <c r="N4" s="48"/>
      <c r="O4" s="48"/>
      <c r="P4" s="48"/>
      <c r="Q4" s="48"/>
      <c r="R4" s="48"/>
    </row>
    <row r="5" spans="1:18" ht="27.95" customHeight="1">
      <c r="A5" s="180"/>
      <c r="B5" s="193"/>
      <c r="C5" s="193"/>
      <c r="D5" s="193"/>
      <c r="E5" s="193"/>
      <c r="F5" s="193"/>
      <c r="G5" s="193"/>
      <c r="H5" s="193"/>
      <c r="I5" s="193"/>
      <c r="J5" s="193"/>
      <c r="K5" s="193"/>
      <c r="L5" s="193"/>
      <c r="M5" s="193"/>
      <c r="N5" s="193"/>
      <c r="O5" s="193"/>
      <c r="P5" s="193"/>
      <c r="Q5" s="193"/>
      <c r="R5" s="193"/>
    </row>
    <row r="6" spans="1:18" ht="21.95" customHeight="1">
      <c r="A6" s="57" t="s">
        <v>2562</v>
      </c>
      <c r="B6" s="57"/>
      <c r="C6" s="57"/>
      <c r="D6" s="57"/>
      <c r="E6" s="57"/>
      <c r="F6" s="57"/>
      <c r="G6" s="57"/>
      <c r="H6" s="57"/>
      <c r="I6" s="57"/>
      <c r="J6" s="57"/>
      <c r="K6" s="57"/>
      <c r="L6" s="48"/>
      <c r="M6" s="48"/>
      <c r="N6" s="48"/>
      <c r="O6" s="48"/>
      <c r="P6" s="48"/>
      <c r="Q6" s="48"/>
      <c r="R6" s="48"/>
    </row>
    <row r="7" spans="1:18" ht="33.950000000000003" customHeight="1">
      <c r="A7" s="36" t="s">
        <v>1757</v>
      </c>
      <c r="B7" s="36" t="s">
        <v>1892</v>
      </c>
      <c r="C7" s="36" t="s">
        <v>2525</v>
      </c>
      <c r="D7" s="36" t="s">
        <v>2563</v>
      </c>
      <c r="E7" s="36" t="s">
        <v>2564</v>
      </c>
      <c r="F7" s="36" t="s">
        <v>2565</v>
      </c>
      <c r="G7" s="36" t="s">
        <v>2566</v>
      </c>
      <c r="H7" s="36" t="s">
        <v>2567</v>
      </c>
      <c r="I7" s="36" t="s">
        <v>145</v>
      </c>
      <c r="J7" s="36" t="s">
        <v>144</v>
      </c>
      <c r="K7" s="36" t="s">
        <v>70</v>
      </c>
      <c r="L7" s="48"/>
      <c r="M7" s="48"/>
      <c r="N7" s="48"/>
      <c r="O7" s="48"/>
      <c r="P7" s="48"/>
      <c r="Q7" s="48"/>
      <c r="R7" s="48"/>
    </row>
    <row r="8" spans="1:18">
      <c r="A8" s="37"/>
      <c r="B8" s="37"/>
      <c r="C8" s="37"/>
      <c r="D8" s="37"/>
      <c r="E8" s="37"/>
      <c r="F8" s="37"/>
      <c r="G8" s="37"/>
      <c r="H8" s="42"/>
      <c r="I8" s="37" t="s">
        <v>152</v>
      </c>
      <c r="J8" s="37"/>
      <c r="K8" s="37"/>
      <c r="L8" s="48"/>
      <c r="M8" s="48"/>
      <c r="N8" s="48"/>
      <c r="O8" s="48"/>
      <c r="P8" s="48"/>
      <c r="Q8" s="48"/>
      <c r="R8" s="48"/>
    </row>
    <row r="9" spans="1:18">
      <c r="A9" s="37"/>
      <c r="B9" s="37"/>
      <c r="C9" s="37"/>
      <c r="D9" s="37"/>
      <c r="E9" s="37"/>
      <c r="F9" s="37"/>
      <c r="G9" s="37"/>
      <c r="H9" s="42"/>
      <c r="I9" s="37" t="s">
        <v>152</v>
      </c>
      <c r="J9" s="37"/>
      <c r="K9" s="37"/>
      <c r="L9" s="48"/>
      <c r="M9" s="48"/>
      <c r="N9" s="48"/>
      <c r="O9" s="48"/>
      <c r="P9" s="48"/>
      <c r="Q9" s="48"/>
      <c r="R9" s="48"/>
    </row>
    <row r="10" spans="1:18">
      <c r="A10" s="37"/>
      <c r="B10" s="37"/>
      <c r="C10" s="37"/>
      <c r="D10" s="37"/>
      <c r="E10" s="37"/>
      <c r="F10" s="37"/>
      <c r="G10" s="37"/>
      <c r="H10" s="42"/>
      <c r="I10" s="37" t="s">
        <v>152</v>
      </c>
      <c r="J10" s="37"/>
      <c r="K10" s="37"/>
      <c r="L10" s="48"/>
      <c r="M10" s="48"/>
      <c r="N10" s="48"/>
      <c r="O10" s="48"/>
      <c r="P10" s="48"/>
      <c r="Q10" s="48"/>
      <c r="R10" s="48"/>
    </row>
    <row r="11" spans="1:18">
      <c r="A11" s="37"/>
      <c r="B11" s="37"/>
      <c r="C11" s="37"/>
      <c r="D11" s="37"/>
      <c r="E11" s="37"/>
      <c r="F11" s="37"/>
      <c r="G11" s="37"/>
      <c r="H11" s="42"/>
      <c r="I11" s="37" t="s">
        <v>152</v>
      </c>
      <c r="J11" s="37"/>
      <c r="K11" s="37"/>
      <c r="L11" s="48"/>
      <c r="M11" s="48"/>
      <c r="N11" s="48"/>
      <c r="O11" s="48"/>
      <c r="P11" s="48"/>
      <c r="Q11" s="48"/>
      <c r="R11" s="48"/>
    </row>
    <row r="12" spans="1:18">
      <c r="A12" s="37"/>
      <c r="B12" s="37"/>
      <c r="C12" s="37"/>
      <c r="D12" s="37"/>
      <c r="E12" s="37"/>
      <c r="F12" s="37"/>
      <c r="G12" s="37"/>
      <c r="H12" s="42"/>
      <c r="I12" s="37" t="s">
        <v>152</v>
      </c>
      <c r="J12" s="37"/>
      <c r="K12" s="37"/>
      <c r="L12" s="48"/>
      <c r="M12" s="48"/>
      <c r="N12" s="48"/>
      <c r="O12" s="48"/>
      <c r="P12" s="48"/>
      <c r="Q12" s="48"/>
      <c r="R12" s="48"/>
    </row>
    <row r="13" spans="1:18">
      <c r="A13" s="37"/>
      <c r="B13" s="37"/>
      <c r="C13" s="37"/>
      <c r="D13" s="37"/>
      <c r="E13" s="37"/>
      <c r="F13" s="37"/>
      <c r="G13" s="37"/>
      <c r="H13" s="42"/>
      <c r="I13" s="37" t="s">
        <v>152</v>
      </c>
      <c r="J13" s="37"/>
      <c r="K13" s="37"/>
      <c r="L13" s="48"/>
      <c r="M13" s="48"/>
      <c r="N13" s="48"/>
      <c r="O13" s="48"/>
      <c r="P13" s="48"/>
      <c r="Q13" s="48"/>
      <c r="R13" s="48"/>
    </row>
    <row r="14" spans="1:18">
      <c r="A14" s="37"/>
      <c r="B14" s="37"/>
      <c r="C14" s="37"/>
      <c r="D14" s="37"/>
      <c r="E14" s="37"/>
      <c r="F14" s="37"/>
      <c r="G14" s="37"/>
      <c r="H14" s="42"/>
      <c r="I14" s="37" t="s">
        <v>152</v>
      </c>
      <c r="J14" s="37"/>
      <c r="K14" s="37"/>
      <c r="L14" s="48"/>
      <c r="M14" s="48"/>
      <c r="N14" s="48"/>
      <c r="O14" s="48"/>
      <c r="P14" s="48"/>
      <c r="Q14" s="48"/>
      <c r="R14" s="48"/>
    </row>
    <row r="15" spans="1:18">
      <c r="A15" s="37"/>
      <c r="B15" s="37"/>
      <c r="C15" s="37"/>
      <c r="D15" s="37"/>
      <c r="E15" s="37"/>
      <c r="F15" s="37"/>
      <c r="G15" s="37"/>
      <c r="H15" s="42"/>
      <c r="I15" s="37" t="s">
        <v>152</v>
      </c>
      <c r="J15" s="37"/>
      <c r="K15" s="37"/>
      <c r="L15" s="48"/>
      <c r="M15" s="48"/>
      <c r="N15" s="48"/>
      <c r="O15" s="48"/>
      <c r="P15" s="48"/>
      <c r="Q15" s="48"/>
      <c r="R15" s="48"/>
    </row>
    <row r="16" spans="1:18">
      <c r="A16" s="37"/>
      <c r="B16" s="37"/>
      <c r="C16" s="37"/>
      <c r="D16" s="37"/>
      <c r="E16" s="37"/>
      <c r="F16" s="37"/>
      <c r="G16" s="37"/>
      <c r="H16" s="42"/>
      <c r="I16" s="37" t="s">
        <v>152</v>
      </c>
      <c r="J16" s="37"/>
      <c r="K16" s="37"/>
      <c r="L16" s="48"/>
      <c r="M16" s="48"/>
      <c r="N16" s="48"/>
      <c r="O16" s="48"/>
      <c r="P16" s="48"/>
      <c r="Q16" s="48"/>
      <c r="R16" s="48"/>
    </row>
    <row r="17" spans="1:18">
      <c r="A17" s="37"/>
      <c r="B17" s="37"/>
      <c r="C17" s="37"/>
      <c r="D17" s="37"/>
      <c r="E17" s="37"/>
      <c r="F17" s="37"/>
      <c r="G17" s="37"/>
      <c r="H17" s="42"/>
      <c r="I17" s="37" t="s">
        <v>152</v>
      </c>
      <c r="J17" s="37"/>
      <c r="K17" s="37"/>
      <c r="L17" s="48"/>
      <c r="M17" s="48"/>
      <c r="N17" s="48"/>
      <c r="O17" s="48"/>
      <c r="P17" s="48"/>
      <c r="Q17" s="48"/>
      <c r="R17" s="48"/>
    </row>
    <row r="18" spans="1:18">
      <c r="A18" s="37"/>
      <c r="B18" s="37"/>
      <c r="C18" s="37"/>
      <c r="D18" s="37"/>
      <c r="E18" s="37"/>
      <c r="F18" s="37"/>
      <c r="G18" s="37"/>
      <c r="H18" s="42"/>
      <c r="I18" s="37" t="s">
        <v>152</v>
      </c>
      <c r="J18" s="37"/>
      <c r="K18" s="37"/>
      <c r="L18" s="48"/>
      <c r="M18" s="48"/>
      <c r="N18" s="48"/>
      <c r="O18" s="48"/>
      <c r="P18" s="48"/>
      <c r="Q18" s="48"/>
      <c r="R18" s="48"/>
    </row>
    <row r="19" spans="1:18">
      <c r="A19" s="37"/>
      <c r="B19" s="37"/>
      <c r="C19" s="37"/>
      <c r="D19" s="37"/>
      <c r="E19" s="37"/>
      <c r="F19" s="37"/>
      <c r="G19" s="37"/>
      <c r="H19" s="42"/>
      <c r="I19" s="37" t="s">
        <v>152</v>
      </c>
      <c r="J19" s="37"/>
      <c r="K19" s="37"/>
      <c r="L19" s="48"/>
      <c r="M19" s="48"/>
      <c r="N19" s="48"/>
      <c r="O19" s="48"/>
      <c r="P19" s="48"/>
      <c r="Q19" s="48"/>
      <c r="R19" s="48"/>
    </row>
    <row r="20" spans="1:18">
      <c r="A20" s="37"/>
      <c r="B20" s="37"/>
      <c r="C20" s="37"/>
      <c r="D20" s="37"/>
      <c r="E20" s="37"/>
      <c r="F20" s="37"/>
      <c r="G20" s="37"/>
      <c r="H20" s="42"/>
      <c r="I20" s="37" t="s">
        <v>152</v>
      </c>
      <c r="J20" s="37"/>
      <c r="K20" s="37"/>
      <c r="L20" s="48"/>
      <c r="M20" s="48"/>
      <c r="N20" s="48"/>
      <c r="O20" s="48"/>
      <c r="P20" s="48"/>
      <c r="Q20" s="48"/>
      <c r="R20" s="48"/>
    </row>
    <row r="21" spans="1:18">
      <c r="A21" s="37"/>
      <c r="B21" s="37"/>
      <c r="C21" s="37"/>
      <c r="D21" s="37"/>
      <c r="E21" s="37"/>
      <c r="F21" s="37"/>
      <c r="G21" s="37"/>
      <c r="H21" s="42"/>
      <c r="I21" s="37" t="s">
        <v>152</v>
      </c>
      <c r="J21" s="37"/>
      <c r="K21" s="37"/>
      <c r="L21" s="48"/>
      <c r="M21" s="48"/>
      <c r="N21" s="48"/>
      <c r="O21" s="48"/>
      <c r="P21" s="48"/>
      <c r="Q21" s="48"/>
      <c r="R21" s="48"/>
    </row>
    <row r="22" spans="1:18">
      <c r="A22" s="37"/>
      <c r="B22" s="37"/>
      <c r="C22" s="37"/>
      <c r="D22" s="37"/>
      <c r="E22" s="37"/>
      <c r="F22" s="37"/>
      <c r="G22" s="37"/>
      <c r="H22" s="42"/>
      <c r="I22" s="37" t="s">
        <v>152</v>
      </c>
      <c r="J22" s="37"/>
      <c r="K22" s="37"/>
      <c r="L22" s="48"/>
      <c r="M22" s="48"/>
      <c r="N22" s="48"/>
      <c r="O22" s="48"/>
      <c r="P22" s="48"/>
      <c r="Q22" s="48"/>
      <c r="R22" s="48"/>
    </row>
    <row r="23" spans="1:18">
      <c r="A23" s="37"/>
      <c r="B23" s="37"/>
      <c r="C23" s="37"/>
      <c r="D23" s="37"/>
      <c r="E23" s="37"/>
      <c r="F23" s="37"/>
      <c r="G23" s="37"/>
      <c r="H23" s="42"/>
      <c r="I23" s="37" t="s">
        <v>152</v>
      </c>
      <c r="J23" s="37"/>
      <c r="K23" s="37"/>
      <c r="L23" s="48"/>
      <c r="M23" s="48"/>
      <c r="N23" s="48"/>
      <c r="O23" s="48"/>
      <c r="P23" s="48"/>
      <c r="Q23" s="48"/>
      <c r="R23" s="48"/>
    </row>
    <row r="24" spans="1:18">
      <c r="A24" s="37"/>
      <c r="B24" s="37"/>
      <c r="C24" s="37"/>
      <c r="D24" s="37"/>
      <c r="E24" s="37"/>
      <c r="F24" s="37"/>
      <c r="G24" s="37"/>
      <c r="H24" s="42"/>
      <c r="I24" s="37" t="s">
        <v>152</v>
      </c>
      <c r="J24" s="37"/>
      <c r="K24" s="37"/>
      <c r="L24" s="48"/>
      <c r="M24" s="48"/>
      <c r="N24" s="48"/>
      <c r="O24" s="48"/>
      <c r="P24" s="48"/>
      <c r="Q24" s="48"/>
      <c r="R24" s="48"/>
    </row>
    <row r="25" spans="1:18">
      <c r="A25" s="37"/>
      <c r="B25" s="37"/>
      <c r="C25" s="37"/>
      <c r="D25" s="37"/>
      <c r="E25" s="37"/>
      <c r="F25" s="37"/>
      <c r="G25" s="37"/>
      <c r="H25" s="42"/>
      <c r="I25" s="37" t="s">
        <v>152</v>
      </c>
      <c r="J25" s="37"/>
      <c r="K25" s="37"/>
      <c r="L25" s="48"/>
      <c r="M25" s="48"/>
      <c r="N25" s="48"/>
      <c r="O25" s="48"/>
      <c r="P25" s="48"/>
      <c r="Q25" s="48"/>
      <c r="R25" s="48"/>
    </row>
    <row r="26" spans="1:18">
      <c r="A26" s="46"/>
      <c r="B26" s="46"/>
      <c r="C26" s="46"/>
      <c r="D26" s="46"/>
      <c r="E26" s="46"/>
      <c r="F26" s="46"/>
      <c r="G26" s="46"/>
      <c r="H26" s="46"/>
      <c r="I26" s="46"/>
      <c r="J26" s="46"/>
      <c r="K26" s="46"/>
      <c r="L26" s="48"/>
      <c r="M26" s="48"/>
      <c r="N26" s="48"/>
      <c r="O26" s="48"/>
      <c r="P26" s="48"/>
      <c r="Q26" s="48"/>
      <c r="R26" s="48"/>
    </row>
  </sheetData>
  <mergeCells count="3">
    <mergeCell ref="A3:R3"/>
    <mergeCell ref="A5:R5"/>
    <mergeCell ref="A1:R1"/>
  </mergeCells>
  <dataValidations count="2">
    <dataValidation type="list" sqref="M7:M56" xr:uid="{00000000-0002-0000-2600-000000000000}">
      <formula1>"Not Started,In Progress,Complete,Attached to PIF,Gap / Action Required,N/A,Superseded"</formula1>
    </dataValidation>
    <dataValidation type="list" allowBlank="1" sqref="I8:I25" xr:uid="{00000000-0002-0000-2600-000001000000}">
      <formula1>"Not Started,In Progress,Needs Review,Complete,Not Applicable,Blocked"</formula1>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0B050"/>
  </sheetPr>
  <dimension ref="A1:P24"/>
  <sheetViews>
    <sheetView showGridLines="0" workbookViewId="0"/>
  </sheetViews>
  <sheetFormatPr defaultRowHeight="15"/>
  <cols>
    <col min="1" max="1" width="41.140625" customWidth="1"/>
    <col min="2" max="2" width="18" customWidth="1"/>
    <col min="3" max="3" width="36" customWidth="1"/>
    <col min="4" max="5" width="24" customWidth="1"/>
    <col min="6" max="6" width="28" customWidth="1"/>
    <col min="7" max="7" width="30" customWidth="1"/>
    <col min="8" max="8" width="34" customWidth="1"/>
    <col min="9" max="9" width="30" customWidth="1"/>
    <col min="10" max="10" width="18" customWidth="1"/>
    <col min="11" max="11" width="20" customWidth="1"/>
    <col min="12" max="12" width="34" customWidth="1"/>
    <col min="13" max="13" width="28" customWidth="1"/>
    <col min="14" max="14" width="18" customWidth="1"/>
    <col min="15" max="15" width="16" customWidth="1"/>
    <col min="16" max="16" width="34" customWidth="1"/>
  </cols>
  <sheetData>
    <row r="1" spans="1:16" s="48" customFormat="1">
      <c r="A1" s="179" t="s">
        <v>2352</v>
      </c>
      <c r="B1" s="179"/>
      <c r="C1" s="179"/>
      <c r="D1" s="179"/>
      <c r="E1" s="179"/>
      <c r="F1" s="179"/>
      <c r="G1" s="179"/>
      <c r="H1" s="179"/>
      <c r="I1" s="179"/>
      <c r="J1" s="179"/>
      <c r="K1" s="179"/>
      <c r="L1" s="179"/>
      <c r="M1" s="179"/>
      <c r="N1" s="179"/>
      <c r="O1" s="179"/>
      <c r="P1" s="179"/>
    </row>
    <row r="2" spans="1:16" ht="24" customHeight="1">
      <c r="A2" s="56" t="s">
        <v>0</v>
      </c>
      <c r="B2" s="56"/>
      <c r="C2" s="56"/>
      <c r="D2" s="56"/>
      <c r="E2" s="56"/>
      <c r="F2" s="56"/>
      <c r="G2" s="56"/>
      <c r="H2" s="56"/>
      <c r="I2" s="56"/>
      <c r="J2" s="56"/>
      <c r="K2" s="56"/>
      <c r="L2" s="56"/>
      <c r="M2" s="48"/>
      <c r="N2" s="48"/>
      <c r="O2" s="48"/>
      <c r="P2" s="48"/>
    </row>
    <row r="3" spans="1:16" ht="30" customHeight="1">
      <c r="A3" s="168" t="s">
        <v>2568</v>
      </c>
      <c r="B3" s="193"/>
      <c r="C3" s="193"/>
      <c r="D3" s="193"/>
      <c r="E3" s="193"/>
      <c r="F3" s="193"/>
      <c r="G3" s="193"/>
      <c r="H3" s="193"/>
      <c r="I3" s="193"/>
      <c r="J3" s="193"/>
      <c r="K3" s="193"/>
      <c r="L3" s="193"/>
      <c r="M3" s="193"/>
      <c r="N3" s="193"/>
      <c r="O3" s="193"/>
      <c r="P3" s="193"/>
    </row>
    <row r="4" spans="1:16" ht="30" customHeight="1">
      <c r="A4" s="44" t="s">
        <v>2569</v>
      </c>
      <c r="B4" s="44"/>
      <c r="C4" s="44"/>
      <c r="D4" s="44"/>
      <c r="E4" s="44"/>
      <c r="F4" s="44"/>
      <c r="G4" s="44"/>
      <c r="H4" s="44"/>
      <c r="I4" s="44"/>
      <c r="J4" s="44"/>
      <c r="K4" s="44"/>
      <c r="L4" s="44"/>
      <c r="M4" s="48"/>
      <c r="N4" s="48"/>
      <c r="O4" s="48"/>
      <c r="P4" s="48"/>
    </row>
    <row r="5" spans="1:16" ht="27.95" customHeight="1">
      <c r="A5" s="180"/>
      <c r="B5" s="193"/>
      <c r="C5" s="193"/>
      <c r="D5" s="193"/>
      <c r="E5" s="193"/>
      <c r="F5" s="193"/>
      <c r="G5" s="193"/>
      <c r="H5" s="193"/>
      <c r="I5" s="193"/>
      <c r="J5" s="193"/>
      <c r="K5" s="193"/>
      <c r="L5" s="193"/>
      <c r="M5" s="193"/>
      <c r="N5" s="193"/>
      <c r="O5" s="193"/>
      <c r="P5" s="193"/>
    </row>
    <row r="6" spans="1:16" ht="21.95" customHeight="1">
      <c r="A6" s="57" t="s">
        <v>2570</v>
      </c>
      <c r="B6" s="57"/>
      <c r="C6" s="57"/>
      <c r="D6" s="57"/>
      <c r="E6" s="57"/>
      <c r="F6" s="57"/>
      <c r="G6" s="57"/>
      <c r="H6" s="57"/>
      <c r="I6" s="57"/>
      <c r="J6" s="57"/>
      <c r="K6" s="57"/>
      <c r="L6" s="57"/>
      <c r="M6" s="48"/>
      <c r="N6" s="48"/>
      <c r="O6" s="48"/>
      <c r="P6" s="48"/>
    </row>
    <row r="7" spans="1:16" ht="33.950000000000003" customHeight="1">
      <c r="A7" s="36" t="s">
        <v>1757</v>
      </c>
      <c r="B7" s="36" t="s">
        <v>1892</v>
      </c>
      <c r="C7" s="36" t="s">
        <v>2571</v>
      </c>
      <c r="D7" s="36" t="s">
        <v>2572</v>
      </c>
      <c r="E7" s="36" t="s">
        <v>1646</v>
      </c>
      <c r="F7" s="36" t="s">
        <v>2252</v>
      </c>
      <c r="G7" s="36" t="s">
        <v>578</v>
      </c>
      <c r="H7" s="36" t="s">
        <v>2573</v>
      </c>
      <c r="I7" s="36" t="s">
        <v>2574</v>
      </c>
      <c r="J7" s="36" t="s">
        <v>145</v>
      </c>
      <c r="K7" s="36" t="s">
        <v>144</v>
      </c>
      <c r="L7" s="36" t="s">
        <v>70</v>
      </c>
      <c r="M7" s="48"/>
      <c r="N7" s="48"/>
      <c r="O7" s="48"/>
      <c r="P7" s="48"/>
    </row>
    <row r="8" spans="1:16">
      <c r="A8" s="37"/>
      <c r="B8" s="37"/>
      <c r="C8" s="37"/>
      <c r="D8" s="37"/>
      <c r="E8" s="37"/>
      <c r="F8" s="37"/>
      <c r="G8" s="37"/>
      <c r="H8" s="37"/>
      <c r="I8" s="37"/>
      <c r="J8" s="37" t="s">
        <v>152</v>
      </c>
      <c r="K8" s="37"/>
      <c r="L8" s="37"/>
      <c r="M8" s="48"/>
      <c r="N8" s="48"/>
      <c r="O8" s="48"/>
      <c r="P8" s="48"/>
    </row>
    <row r="9" spans="1:16">
      <c r="A9" s="37"/>
      <c r="B9" s="37"/>
      <c r="C9" s="37"/>
      <c r="D9" s="37"/>
      <c r="E9" s="37"/>
      <c r="F9" s="37"/>
      <c r="G9" s="37"/>
      <c r="H9" s="37"/>
      <c r="I9" s="37"/>
      <c r="J9" s="37" t="s">
        <v>152</v>
      </c>
      <c r="K9" s="37"/>
      <c r="L9" s="37"/>
      <c r="M9" s="48"/>
      <c r="N9" s="48"/>
      <c r="O9" s="48"/>
      <c r="P9" s="48"/>
    </row>
    <row r="10" spans="1:16">
      <c r="A10" s="37"/>
      <c r="B10" s="37"/>
      <c r="C10" s="37"/>
      <c r="D10" s="37"/>
      <c r="E10" s="37"/>
      <c r="F10" s="37"/>
      <c r="G10" s="37"/>
      <c r="H10" s="37"/>
      <c r="I10" s="37"/>
      <c r="J10" s="37" t="s">
        <v>152</v>
      </c>
      <c r="K10" s="37"/>
      <c r="L10" s="37"/>
      <c r="M10" s="48"/>
      <c r="N10" s="48"/>
      <c r="O10" s="48"/>
      <c r="P10" s="48"/>
    </row>
    <row r="11" spans="1:16">
      <c r="A11" s="37"/>
      <c r="B11" s="37"/>
      <c r="C11" s="37"/>
      <c r="D11" s="37"/>
      <c r="E11" s="37"/>
      <c r="F11" s="37"/>
      <c r="G11" s="37"/>
      <c r="H11" s="37"/>
      <c r="I11" s="37"/>
      <c r="J11" s="37" t="s">
        <v>152</v>
      </c>
      <c r="K11" s="37"/>
      <c r="L11" s="37"/>
      <c r="M11" s="48"/>
      <c r="N11" s="48"/>
      <c r="O11" s="48"/>
      <c r="P11" s="48"/>
    </row>
    <row r="12" spans="1:16">
      <c r="A12" s="37"/>
      <c r="B12" s="37"/>
      <c r="C12" s="37"/>
      <c r="D12" s="37"/>
      <c r="E12" s="37"/>
      <c r="F12" s="37"/>
      <c r="G12" s="37"/>
      <c r="H12" s="37"/>
      <c r="I12" s="37"/>
      <c r="J12" s="37" t="s">
        <v>152</v>
      </c>
      <c r="K12" s="37"/>
      <c r="L12" s="37"/>
      <c r="M12" s="48"/>
      <c r="N12" s="48"/>
      <c r="O12" s="48"/>
      <c r="P12" s="48"/>
    </row>
    <row r="13" spans="1:16">
      <c r="A13" s="37"/>
      <c r="B13" s="37"/>
      <c r="C13" s="37"/>
      <c r="D13" s="37"/>
      <c r="E13" s="37"/>
      <c r="F13" s="37"/>
      <c r="G13" s="37"/>
      <c r="H13" s="37"/>
      <c r="I13" s="37"/>
      <c r="J13" s="37" t="s">
        <v>152</v>
      </c>
      <c r="K13" s="37"/>
      <c r="L13" s="37"/>
      <c r="M13" s="48"/>
      <c r="N13" s="48"/>
      <c r="O13" s="48"/>
      <c r="P13" s="48"/>
    </row>
    <row r="14" spans="1:16">
      <c r="A14" s="37"/>
      <c r="B14" s="37"/>
      <c r="C14" s="37"/>
      <c r="D14" s="37"/>
      <c r="E14" s="37"/>
      <c r="F14" s="37"/>
      <c r="G14" s="37"/>
      <c r="H14" s="37"/>
      <c r="I14" s="37"/>
      <c r="J14" s="37" t="s">
        <v>152</v>
      </c>
      <c r="K14" s="37"/>
      <c r="L14" s="37"/>
      <c r="M14" s="48"/>
      <c r="N14" s="48"/>
      <c r="O14" s="48"/>
      <c r="P14" s="48"/>
    </row>
    <row r="15" spans="1:16">
      <c r="A15" s="37"/>
      <c r="B15" s="37"/>
      <c r="C15" s="37"/>
      <c r="D15" s="37"/>
      <c r="E15" s="37"/>
      <c r="F15" s="37"/>
      <c r="G15" s="37"/>
      <c r="H15" s="37"/>
      <c r="I15" s="37"/>
      <c r="J15" s="37" t="s">
        <v>152</v>
      </c>
      <c r="K15" s="37"/>
      <c r="L15" s="37"/>
      <c r="M15" s="48"/>
      <c r="N15" s="48"/>
      <c r="O15" s="48"/>
      <c r="P15" s="48"/>
    </row>
    <row r="16" spans="1:16">
      <c r="A16" s="37"/>
      <c r="B16" s="37"/>
      <c r="C16" s="37"/>
      <c r="D16" s="37"/>
      <c r="E16" s="37"/>
      <c r="F16" s="37"/>
      <c r="G16" s="37"/>
      <c r="H16" s="37"/>
      <c r="I16" s="37"/>
      <c r="J16" s="37" t="s">
        <v>152</v>
      </c>
      <c r="K16" s="37"/>
      <c r="L16" s="37"/>
      <c r="M16" s="48"/>
      <c r="N16" s="48"/>
      <c r="O16" s="48"/>
      <c r="P16" s="48"/>
    </row>
    <row r="17" spans="1:16">
      <c r="A17" s="37"/>
      <c r="B17" s="37"/>
      <c r="C17" s="37"/>
      <c r="D17" s="37"/>
      <c r="E17" s="37"/>
      <c r="F17" s="37"/>
      <c r="G17" s="37"/>
      <c r="H17" s="37"/>
      <c r="I17" s="37"/>
      <c r="J17" s="37" t="s">
        <v>152</v>
      </c>
      <c r="K17" s="37"/>
      <c r="L17" s="37"/>
      <c r="M17" s="48"/>
      <c r="N17" s="48"/>
      <c r="O17" s="48"/>
      <c r="P17" s="48"/>
    </row>
    <row r="18" spans="1:16">
      <c r="A18" s="37"/>
      <c r="B18" s="37"/>
      <c r="C18" s="37"/>
      <c r="D18" s="37"/>
      <c r="E18" s="37"/>
      <c r="F18" s="37"/>
      <c r="G18" s="37"/>
      <c r="H18" s="37"/>
      <c r="I18" s="37"/>
      <c r="J18" s="37" t="s">
        <v>152</v>
      </c>
      <c r="K18" s="37"/>
      <c r="L18" s="37"/>
      <c r="M18" s="48"/>
      <c r="N18" s="48"/>
      <c r="O18" s="48"/>
      <c r="P18" s="48"/>
    </row>
    <row r="19" spans="1:16">
      <c r="A19" s="37"/>
      <c r="B19" s="37"/>
      <c r="C19" s="37"/>
      <c r="D19" s="37"/>
      <c r="E19" s="37"/>
      <c r="F19" s="37"/>
      <c r="G19" s="37"/>
      <c r="H19" s="37"/>
      <c r="I19" s="37"/>
      <c r="J19" s="37" t="s">
        <v>152</v>
      </c>
      <c r="K19" s="37"/>
      <c r="L19" s="37"/>
      <c r="M19" s="48"/>
      <c r="N19" s="48"/>
      <c r="O19" s="48"/>
      <c r="P19" s="48"/>
    </row>
    <row r="20" spans="1:16">
      <c r="A20" s="37"/>
      <c r="B20" s="37"/>
      <c r="C20" s="37"/>
      <c r="D20" s="37"/>
      <c r="E20" s="37"/>
      <c r="F20" s="37"/>
      <c r="G20" s="37"/>
      <c r="H20" s="37"/>
      <c r="I20" s="37"/>
      <c r="J20" s="37" t="s">
        <v>152</v>
      </c>
      <c r="K20" s="37"/>
      <c r="L20" s="37"/>
      <c r="M20" s="48"/>
      <c r="N20" s="48"/>
      <c r="O20" s="48"/>
      <c r="P20" s="48"/>
    </row>
    <row r="21" spans="1:16">
      <c r="A21" s="37"/>
      <c r="B21" s="37"/>
      <c r="C21" s="37"/>
      <c r="D21" s="37"/>
      <c r="E21" s="37"/>
      <c r="F21" s="37"/>
      <c r="G21" s="37"/>
      <c r="H21" s="37"/>
      <c r="I21" s="37"/>
      <c r="J21" s="37" t="s">
        <v>152</v>
      </c>
      <c r="K21" s="37"/>
      <c r="L21" s="37"/>
      <c r="M21" s="48"/>
      <c r="N21" s="48"/>
      <c r="O21" s="48"/>
      <c r="P21" s="48"/>
    </row>
    <row r="22" spans="1:16">
      <c r="A22" s="37"/>
      <c r="B22" s="37"/>
      <c r="C22" s="37"/>
      <c r="D22" s="37"/>
      <c r="E22" s="37"/>
      <c r="F22" s="37"/>
      <c r="G22" s="37"/>
      <c r="H22" s="37"/>
      <c r="I22" s="37"/>
      <c r="J22" s="37" t="s">
        <v>152</v>
      </c>
      <c r="K22" s="37"/>
      <c r="L22" s="37"/>
      <c r="M22" s="48"/>
      <c r="N22" s="48"/>
      <c r="O22" s="48"/>
      <c r="P22" s="48"/>
    </row>
    <row r="23" spans="1:16">
      <c r="A23" s="37"/>
      <c r="B23" s="37"/>
      <c r="C23" s="37"/>
      <c r="D23" s="37"/>
      <c r="E23" s="37"/>
      <c r="F23" s="37"/>
      <c r="G23" s="37"/>
      <c r="H23" s="37"/>
      <c r="I23" s="37"/>
      <c r="J23" s="37" t="s">
        <v>152</v>
      </c>
      <c r="K23" s="37"/>
      <c r="L23" s="37"/>
      <c r="M23" s="48"/>
      <c r="N23" s="48"/>
      <c r="O23" s="48"/>
      <c r="P23" s="48"/>
    </row>
    <row r="24" spans="1:16">
      <c r="A24" s="46"/>
      <c r="B24" s="46"/>
      <c r="C24" s="46"/>
      <c r="D24" s="46"/>
      <c r="E24" s="46"/>
      <c r="F24" s="46"/>
      <c r="G24" s="46"/>
      <c r="H24" s="46"/>
      <c r="I24" s="46"/>
      <c r="J24" s="46"/>
      <c r="K24" s="46"/>
      <c r="L24" s="46"/>
      <c r="M24" s="48"/>
      <c r="N24" s="48"/>
      <c r="O24" s="48"/>
      <c r="P24" s="48"/>
    </row>
  </sheetData>
  <mergeCells count="3">
    <mergeCell ref="A5:P5"/>
    <mergeCell ref="A3:P3"/>
    <mergeCell ref="A1:P1"/>
  </mergeCells>
  <dataValidations count="3">
    <dataValidation type="list" sqref="L7:L56" xr:uid="{00000000-0002-0000-2700-000000000000}">
      <formula1>"Not Started,In Progress,Complete,Attached to PIF,Gap / Action Required,N/A,Superseded"</formula1>
    </dataValidation>
    <dataValidation type="list" sqref="K7:K56" xr:uid="{00000000-0002-0000-2700-000001000000}">
      <formula1>"Yes,No,N/A"</formula1>
    </dataValidation>
    <dataValidation type="list" allowBlank="1" sqref="J8:J23" xr:uid="{00000000-0002-0000-2700-000002000000}">
      <formula1>"Not Started,In Progress,Needs Review,Complete,Not Applicable,Blocked"</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B050"/>
  </sheetPr>
  <dimension ref="A1:L15"/>
  <sheetViews>
    <sheetView showGridLines="0" workbookViewId="0"/>
  </sheetViews>
  <sheetFormatPr defaultRowHeight="15"/>
  <cols>
    <col min="1" max="1" width="30" customWidth="1"/>
    <col min="2" max="2" width="44" customWidth="1"/>
    <col min="3" max="3" width="28" customWidth="1"/>
    <col min="4" max="4" width="32" customWidth="1"/>
    <col min="5" max="5" width="30" customWidth="1"/>
    <col min="6" max="6" width="16" customWidth="1"/>
    <col min="7" max="8" width="18" customWidth="1"/>
    <col min="9" max="9" width="34" customWidth="1"/>
  </cols>
  <sheetData>
    <row r="1" spans="1:12" s="48" customFormat="1">
      <c r="A1" s="179" t="s">
        <v>2352</v>
      </c>
      <c r="B1" s="179"/>
      <c r="C1" s="179"/>
      <c r="D1" s="179"/>
      <c r="E1" s="179"/>
      <c r="F1" s="179"/>
      <c r="G1" s="179"/>
      <c r="H1" s="179"/>
      <c r="I1" s="179"/>
      <c r="J1" s="179"/>
      <c r="K1" s="179"/>
      <c r="L1" s="179"/>
    </row>
    <row r="2" spans="1:12" ht="24" customHeight="1">
      <c r="A2" s="56" t="s">
        <v>0</v>
      </c>
      <c r="B2" s="56"/>
      <c r="C2" s="56"/>
      <c r="D2" s="56"/>
      <c r="E2" s="56"/>
      <c r="F2" s="56"/>
      <c r="G2" s="56"/>
      <c r="H2" s="56"/>
      <c r="I2" s="56"/>
      <c r="J2" s="48"/>
      <c r="K2" s="48"/>
      <c r="L2" s="48"/>
    </row>
    <row r="3" spans="1:12" ht="30" customHeight="1">
      <c r="A3" s="168" t="s">
        <v>2575</v>
      </c>
      <c r="B3" s="193"/>
      <c r="C3" s="193"/>
      <c r="D3" s="193"/>
      <c r="E3" s="193"/>
      <c r="F3" s="193"/>
      <c r="G3" s="193"/>
      <c r="H3" s="193"/>
      <c r="I3" s="193"/>
      <c r="J3" s="193"/>
      <c r="K3" s="193"/>
      <c r="L3" s="193"/>
    </row>
    <row r="4" spans="1:12" ht="30" customHeight="1">
      <c r="A4" s="44" t="s">
        <v>2576</v>
      </c>
      <c r="B4" s="44"/>
      <c r="C4" s="44"/>
      <c r="D4" s="44"/>
      <c r="E4" s="44"/>
      <c r="F4" s="44"/>
      <c r="G4" s="44"/>
      <c r="H4" s="44"/>
      <c r="I4" s="44"/>
      <c r="J4" s="48"/>
      <c r="K4" s="48"/>
      <c r="L4" s="48"/>
    </row>
    <row r="5" spans="1:12">
      <c r="A5" s="46"/>
      <c r="B5" s="46"/>
      <c r="C5" s="46"/>
      <c r="D5" s="46"/>
      <c r="E5" s="46"/>
      <c r="F5" s="46"/>
      <c r="G5" s="46"/>
      <c r="H5" s="46"/>
      <c r="I5" s="46"/>
      <c r="J5" s="48"/>
      <c r="K5" s="48"/>
      <c r="L5" s="48"/>
    </row>
    <row r="6" spans="1:12" ht="21.95" customHeight="1">
      <c r="A6" s="57" t="s">
        <v>2577</v>
      </c>
      <c r="B6" s="57"/>
      <c r="C6" s="57"/>
      <c r="D6" s="57"/>
      <c r="E6" s="57"/>
      <c r="F6" s="57"/>
      <c r="G6" s="57"/>
      <c r="H6" s="57"/>
      <c r="I6" s="57"/>
      <c r="J6" s="48"/>
      <c r="K6" s="48"/>
      <c r="L6" s="48"/>
    </row>
    <row r="7" spans="1:12" ht="33.950000000000003" customHeight="1">
      <c r="A7" s="36" t="s">
        <v>1994</v>
      </c>
      <c r="B7" s="36" t="s">
        <v>2578</v>
      </c>
      <c r="C7" s="36" t="s">
        <v>1809</v>
      </c>
      <c r="D7" s="36" t="s">
        <v>2579</v>
      </c>
      <c r="E7" s="36" t="s">
        <v>129</v>
      </c>
      <c r="F7" s="36" t="s">
        <v>1960</v>
      </c>
      <c r="G7" s="36" t="s">
        <v>2580</v>
      </c>
      <c r="H7" s="36" t="s">
        <v>145</v>
      </c>
      <c r="I7" s="36" t="s">
        <v>70</v>
      </c>
      <c r="J7" s="48"/>
      <c r="K7" s="48"/>
      <c r="L7" s="48"/>
    </row>
    <row r="8" spans="1:12">
      <c r="A8" s="37" t="s">
        <v>2581</v>
      </c>
      <c r="B8" s="37" t="s">
        <v>2582</v>
      </c>
      <c r="C8" s="37" t="s">
        <v>2583</v>
      </c>
      <c r="D8" s="37" t="s">
        <v>2584</v>
      </c>
      <c r="E8" s="37" t="s">
        <v>2585</v>
      </c>
      <c r="F8" s="37" t="s">
        <v>257</v>
      </c>
      <c r="G8" s="37" t="s">
        <v>2000</v>
      </c>
      <c r="H8" s="37" t="s">
        <v>152</v>
      </c>
      <c r="I8" s="37"/>
      <c r="J8" s="48"/>
      <c r="K8" s="48"/>
      <c r="L8" s="48"/>
    </row>
    <row r="9" spans="1:12">
      <c r="A9" s="37" t="s">
        <v>2586</v>
      </c>
      <c r="B9" s="37" t="s">
        <v>2587</v>
      </c>
      <c r="C9" s="37" t="s">
        <v>2588</v>
      </c>
      <c r="D9" s="37" t="s">
        <v>254</v>
      </c>
      <c r="E9" s="37" t="s">
        <v>2589</v>
      </c>
      <c r="F9" s="37" t="s">
        <v>2590</v>
      </c>
      <c r="G9" s="37" t="s">
        <v>2000</v>
      </c>
      <c r="H9" s="37" t="s">
        <v>152</v>
      </c>
      <c r="I9" s="37"/>
      <c r="J9" s="48"/>
      <c r="K9" s="48"/>
      <c r="L9" s="48"/>
    </row>
    <row r="10" spans="1:12">
      <c r="A10" s="37" t="s">
        <v>2591</v>
      </c>
      <c r="B10" s="37" t="s">
        <v>2592</v>
      </c>
      <c r="C10" s="37" t="s">
        <v>2593</v>
      </c>
      <c r="D10" s="37" t="s">
        <v>2594</v>
      </c>
      <c r="E10" s="37" t="s">
        <v>2595</v>
      </c>
      <c r="F10" s="37" t="s">
        <v>227</v>
      </c>
      <c r="G10" s="37" t="s">
        <v>2000</v>
      </c>
      <c r="H10" s="37" t="s">
        <v>152</v>
      </c>
      <c r="I10" s="37"/>
      <c r="J10" s="48"/>
      <c r="K10" s="48"/>
      <c r="L10" s="48"/>
    </row>
    <row r="11" spans="1:12">
      <c r="A11" s="37" t="s">
        <v>2596</v>
      </c>
      <c r="B11" s="37" t="s">
        <v>2597</v>
      </c>
      <c r="C11" s="37" t="s">
        <v>233</v>
      </c>
      <c r="D11" s="37" t="s">
        <v>2028</v>
      </c>
      <c r="E11" s="37" t="s">
        <v>2598</v>
      </c>
      <c r="F11" s="37" t="s">
        <v>238</v>
      </c>
      <c r="G11" s="37" t="s">
        <v>2000</v>
      </c>
      <c r="H11" s="37" t="s">
        <v>152</v>
      </c>
      <c r="I11" s="37"/>
      <c r="J11" s="48"/>
      <c r="K11" s="48"/>
      <c r="L11" s="48"/>
    </row>
    <row r="12" spans="1:12">
      <c r="A12" s="37" t="s">
        <v>2599</v>
      </c>
      <c r="B12" s="37" t="s">
        <v>2600</v>
      </c>
      <c r="C12" s="37" t="s">
        <v>2601</v>
      </c>
      <c r="D12" s="37" t="s">
        <v>260</v>
      </c>
      <c r="E12" s="37" t="s">
        <v>2602</v>
      </c>
      <c r="F12" s="37" t="s">
        <v>263</v>
      </c>
      <c r="G12" s="37" t="s">
        <v>2000</v>
      </c>
      <c r="H12" s="37" t="s">
        <v>152</v>
      </c>
      <c r="I12" s="37"/>
      <c r="J12" s="48"/>
      <c r="K12" s="48"/>
      <c r="L12" s="48"/>
    </row>
    <row r="13" spans="1:12">
      <c r="A13" s="37" t="s">
        <v>2603</v>
      </c>
      <c r="B13" s="37" t="s">
        <v>2604</v>
      </c>
      <c r="C13" s="37" t="s">
        <v>478</v>
      </c>
      <c r="D13" s="37" t="s">
        <v>2605</v>
      </c>
      <c r="E13" s="37" t="s">
        <v>2606</v>
      </c>
      <c r="F13" s="37" t="s">
        <v>257</v>
      </c>
      <c r="G13" s="37" t="s">
        <v>2000</v>
      </c>
      <c r="H13" s="37" t="s">
        <v>152</v>
      </c>
      <c r="I13" s="37"/>
      <c r="J13" s="48"/>
      <c r="K13" s="48"/>
      <c r="L13" s="48"/>
    </row>
    <row r="14" spans="1:12">
      <c r="A14" s="37" t="s">
        <v>2607</v>
      </c>
      <c r="B14" s="37" t="s">
        <v>2608</v>
      </c>
      <c r="C14" s="37" t="s">
        <v>2051</v>
      </c>
      <c r="D14" s="37" t="s">
        <v>2049</v>
      </c>
      <c r="E14" s="37" t="s">
        <v>2609</v>
      </c>
      <c r="F14" s="37" t="s">
        <v>257</v>
      </c>
      <c r="G14" s="37" t="s">
        <v>2000</v>
      </c>
      <c r="H14" s="37" t="s">
        <v>152</v>
      </c>
      <c r="I14" s="37"/>
      <c r="J14" s="48"/>
      <c r="K14" s="48"/>
      <c r="L14" s="48"/>
    </row>
    <row r="15" spans="1:12">
      <c r="A15" s="46"/>
      <c r="B15" s="46"/>
      <c r="C15" s="46"/>
      <c r="D15" s="46"/>
      <c r="E15" s="46"/>
      <c r="F15" s="46"/>
      <c r="G15" s="46"/>
      <c r="H15" s="46"/>
      <c r="I15" s="46"/>
      <c r="J15" s="48"/>
      <c r="K15" s="48"/>
      <c r="L15" s="48"/>
    </row>
  </sheetData>
  <mergeCells count="2">
    <mergeCell ref="A3:L3"/>
    <mergeCell ref="A1:L1"/>
  </mergeCells>
  <dataValidations count="2">
    <dataValidation type="list" allowBlank="1" sqref="E8:E14 H8:H14" xr:uid="{00000000-0002-0000-2800-000000000000}">
      <formula1>"Not Started,In Progress,Needs Review,Complete,Not Applicable,Blocked"</formula1>
    </dataValidation>
    <dataValidation type="list" allowBlank="1" sqref="G8:G14" xr:uid="{00000000-0002-0000-2800-000001000000}">
      <formula1>"Y,N,N/A,Conditional"</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B050"/>
  </sheetPr>
  <dimension ref="A1:R24"/>
  <sheetViews>
    <sheetView showGridLines="0" workbookViewId="0"/>
  </sheetViews>
  <sheetFormatPr defaultRowHeight="15"/>
  <cols>
    <col min="1" max="1" width="45.85546875" customWidth="1"/>
    <col min="2" max="2" width="18" customWidth="1"/>
    <col min="3" max="3" width="24" customWidth="1"/>
    <col min="4" max="4" width="22" customWidth="1"/>
    <col min="5" max="5" width="16" customWidth="1"/>
    <col min="6" max="6" width="30" customWidth="1"/>
    <col min="7" max="7" width="20" customWidth="1"/>
    <col min="8" max="8" width="28" customWidth="1"/>
    <col min="9" max="9" width="40" customWidth="1"/>
    <col min="10" max="11" width="30" customWidth="1"/>
    <col min="12" max="12" width="16" customWidth="1"/>
    <col min="13" max="13" width="32" customWidth="1"/>
    <col min="14" max="16" width="18" customWidth="1"/>
    <col min="17" max="17" width="30" customWidth="1"/>
    <col min="18" max="18" width="34" customWidth="1"/>
  </cols>
  <sheetData>
    <row r="1" spans="1:18" s="48" customFormat="1">
      <c r="A1" s="179" t="s">
        <v>2352</v>
      </c>
      <c r="B1" s="179"/>
      <c r="C1" s="179"/>
      <c r="D1" s="179"/>
      <c r="E1" s="179"/>
      <c r="F1" s="179"/>
      <c r="G1" s="179"/>
      <c r="H1" s="179"/>
      <c r="I1" s="179"/>
      <c r="J1" s="179"/>
      <c r="K1" s="179"/>
      <c r="L1" s="179"/>
      <c r="M1" s="179"/>
      <c r="N1" s="179"/>
      <c r="O1" s="179"/>
      <c r="P1" s="179"/>
      <c r="Q1" s="179"/>
      <c r="R1" s="179"/>
    </row>
    <row r="2" spans="1:18" ht="24" customHeight="1">
      <c r="A2" s="56" t="s">
        <v>0</v>
      </c>
      <c r="B2" s="56"/>
      <c r="C2" s="56"/>
      <c r="D2" s="56"/>
      <c r="E2" s="56"/>
      <c r="F2" s="56"/>
      <c r="G2" s="56"/>
      <c r="H2" s="56"/>
      <c r="I2" s="56"/>
      <c r="J2" s="56"/>
      <c r="K2" s="56"/>
      <c r="L2" s="56"/>
      <c r="M2" s="56"/>
      <c r="N2" s="56"/>
      <c r="O2" s="56"/>
      <c r="P2" s="56"/>
      <c r="Q2" s="56"/>
      <c r="R2" s="56"/>
    </row>
    <row r="3" spans="1:18" ht="30" customHeight="1">
      <c r="A3" s="168" t="s">
        <v>2610</v>
      </c>
      <c r="B3" s="193"/>
      <c r="C3" s="193"/>
      <c r="D3" s="193"/>
      <c r="E3" s="193"/>
      <c r="F3" s="193"/>
      <c r="G3" s="193"/>
      <c r="H3" s="193"/>
      <c r="I3" s="193"/>
      <c r="J3" s="193"/>
      <c r="K3" s="193"/>
      <c r="L3" s="193"/>
      <c r="M3" s="193"/>
      <c r="N3" s="193"/>
      <c r="O3" s="193"/>
      <c r="P3" s="193"/>
      <c r="Q3" s="193"/>
      <c r="R3" s="193"/>
    </row>
    <row r="4" spans="1:18" ht="30" customHeight="1">
      <c r="A4" s="44" t="s">
        <v>2611</v>
      </c>
      <c r="B4" s="44"/>
      <c r="C4" s="44"/>
      <c r="D4" s="44"/>
      <c r="E4" s="44"/>
      <c r="F4" s="44"/>
      <c r="G4" s="44"/>
      <c r="H4" s="44"/>
      <c r="I4" s="44"/>
      <c r="J4" s="44"/>
      <c r="K4" s="44"/>
      <c r="L4" s="44"/>
      <c r="M4" s="44"/>
      <c r="N4" s="44"/>
      <c r="O4" s="44"/>
      <c r="P4" s="44"/>
      <c r="Q4" s="44"/>
      <c r="R4" s="44"/>
    </row>
    <row r="5" spans="1:18" ht="24" customHeight="1">
      <c r="A5" s="46"/>
      <c r="B5" s="46"/>
      <c r="C5" s="46"/>
      <c r="D5" s="46"/>
      <c r="E5" s="46"/>
      <c r="F5" s="46"/>
      <c r="G5" s="46"/>
      <c r="H5" s="46"/>
      <c r="I5" s="46"/>
      <c r="J5" s="46"/>
      <c r="K5" s="46"/>
      <c r="L5" s="46"/>
      <c r="M5" s="46"/>
      <c r="N5" s="46"/>
      <c r="O5" s="46"/>
      <c r="P5" s="46"/>
      <c r="Q5" s="46"/>
      <c r="R5" s="46"/>
    </row>
    <row r="6" spans="1:18" ht="21.95" customHeight="1">
      <c r="A6" s="57" t="s">
        <v>2612</v>
      </c>
      <c r="B6" s="57"/>
      <c r="C6" s="57"/>
      <c r="D6" s="57"/>
      <c r="E6" s="57"/>
      <c r="F6" s="57"/>
      <c r="G6" s="57"/>
      <c r="H6" s="57"/>
      <c r="I6" s="57"/>
      <c r="J6" s="57"/>
      <c r="K6" s="57"/>
      <c r="L6" s="57"/>
      <c r="M6" s="57"/>
      <c r="N6" s="57"/>
      <c r="O6" s="57"/>
      <c r="P6" s="57"/>
      <c r="Q6" s="57"/>
      <c r="R6" s="57"/>
    </row>
    <row r="7" spans="1:18" ht="33.950000000000003" customHeight="1">
      <c r="A7" s="36" t="s">
        <v>2613</v>
      </c>
      <c r="B7" s="36" t="s">
        <v>2526</v>
      </c>
      <c r="C7" s="36"/>
      <c r="D7" s="36"/>
      <c r="E7" s="36"/>
      <c r="F7" s="36"/>
      <c r="G7" s="36"/>
      <c r="H7" s="36"/>
      <c r="I7" s="36"/>
      <c r="J7" s="36"/>
      <c r="K7" s="36"/>
      <c r="L7" s="36"/>
      <c r="M7" s="36"/>
      <c r="N7" s="36"/>
      <c r="O7" s="36"/>
      <c r="P7" s="36"/>
      <c r="Q7" s="36"/>
      <c r="R7" s="36"/>
    </row>
    <row r="8" spans="1:18">
      <c r="A8" s="37" t="s">
        <v>2614</v>
      </c>
      <c r="B8" s="37" t="s">
        <v>2615</v>
      </c>
      <c r="C8" s="37"/>
      <c r="D8" s="37"/>
      <c r="E8" s="37"/>
      <c r="F8" s="37"/>
      <c r="G8" s="37"/>
      <c r="H8" s="37"/>
      <c r="I8" s="37"/>
      <c r="J8" s="37"/>
      <c r="K8" s="37"/>
      <c r="L8" s="37"/>
      <c r="M8" s="37"/>
      <c r="N8" s="37"/>
      <c r="O8" s="37"/>
      <c r="P8" s="37"/>
      <c r="Q8" s="37"/>
      <c r="R8" s="37"/>
    </row>
    <row r="9" spans="1:18">
      <c r="A9" s="37" t="s">
        <v>2616</v>
      </c>
      <c r="B9" s="37" t="s">
        <v>2617</v>
      </c>
      <c r="C9" s="37"/>
      <c r="D9" s="37"/>
      <c r="E9" s="37"/>
      <c r="F9" s="37"/>
      <c r="G9" s="37"/>
      <c r="H9" s="37"/>
      <c r="I9" s="37"/>
      <c r="J9" s="37"/>
      <c r="K9" s="37"/>
      <c r="L9" s="37"/>
      <c r="M9" s="37"/>
      <c r="N9" s="37"/>
      <c r="O9" s="37"/>
      <c r="P9" s="37"/>
      <c r="Q9" s="37"/>
      <c r="R9" s="37"/>
    </row>
    <row r="10" spans="1:18">
      <c r="A10" s="37" t="s">
        <v>2618</v>
      </c>
      <c r="B10" s="37" t="s">
        <v>2619</v>
      </c>
      <c r="C10" s="37"/>
      <c r="D10" s="37"/>
      <c r="E10" s="37"/>
      <c r="F10" s="37"/>
      <c r="G10" s="37"/>
      <c r="H10" s="37"/>
      <c r="I10" s="37"/>
      <c r="J10" s="37"/>
      <c r="K10" s="37"/>
      <c r="L10" s="37"/>
      <c r="M10" s="37"/>
      <c r="N10" s="37"/>
      <c r="O10" s="37"/>
      <c r="P10" s="37"/>
      <c r="Q10" s="37"/>
      <c r="R10" s="37"/>
    </row>
    <row r="11" spans="1:18">
      <c r="A11" s="46"/>
      <c r="B11" s="46"/>
      <c r="C11" s="46"/>
      <c r="D11" s="46"/>
      <c r="E11" s="46"/>
      <c r="F11" s="46"/>
      <c r="G11" s="46"/>
      <c r="H11" s="46"/>
      <c r="I11" s="46"/>
      <c r="J11" s="46"/>
      <c r="K11" s="46"/>
      <c r="L11" s="46"/>
      <c r="M11" s="46"/>
      <c r="N11" s="46"/>
      <c r="O11" s="46"/>
      <c r="P11" s="46"/>
      <c r="Q11" s="46"/>
      <c r="R11" s="46"/>
    </row>
    <row r="12" spans="1:18" ht="21.95" customHeight="1">
      <c r="A12" s="57" t="s">
        <v>2620</v>
      </c>
      <c r="B12" s="57"/>
      <c r="C12" s="57"/>
      <c r="D12" s="57"/>
      <c r="E12" s="57"/>
      <c r="F12" s="57"/>
      <c r="G12" s="57"/>
      <c r="H12" s="57"/>
      <c r="I12" s="57"/>
      <c r="J12" s="57"/>
      <c r="K12" s="57"/>
      <c r="L12" s="57"/>
      <c r="M12" s="57"/>
      <c r="N12" s="57"/>
      <c r="O12" s="57"/>
      <c r="P12" s="57"/>
      <c r="Q12" s="57"/>
      <c r="R12" s="57"/>
    </row>
    <row r="13" spans="1:18" ht="33.950000000000003" customHeight="1">
      <c r="A13" s="36" t="s">
        <v>2621</v>
      </c>
      <c r="B13" s="36" t="s">
        <v>1757</v>
      </c>
      <c r="C13" s="36" t="s">
        <v>2622</v>
      </c>
      <c r="D13" s="36" t="s">
        <v>2623</v>
      </c>
      <c r="E13" s="36" t="s">
        <v>1892</v>
      </c>
      <c r="F13" s="36" t="s">
        <v>2624</v>
      </c>
      <c r="G13" s="36" t="s">
        <v>2625</v>
      </c>
      <c r="H13" s="36" t="s">
        <v>2626</v>
      </c>
      <c r="I13" s="36" t="s">
        <v>2627</v>
      </c>
      <c r="J13" s="36" t="s">
        <v>2628</v>
      </c>
      <c r="K13" s="36" t="s">
        <v>2629</v>
      </c>
      <c r="L13" s="36" t="s">
        <v>2630</v>
      </c>
      <c r="M13" s="36" t="s">
        <v>2631</v>
      </c>
      <c r="N13" s="36" t="s">
        <v>145</v>
      </c>
      <c r="O13" s="36" t="s">
        <v>2632</v>
      </c>
      <c r="P13" s="36" t="s">
        <v>2633</v>
      </c>
      <c r="Q13" s="36" t="s">
        <v>2634</v>
      </c>
      <c r="R13" s="36" t="s">
        <v>2635</v>
      </c>
    </row>
    <row r="14" spans="1:18">
      <c r="A14" s="37" t="s">
        <v>2636</v>
      </c>
      <c r="B14" s="37"/>
      <c r="C14" s="37"/>
      <c r="D14" s="37"/>
      <c r="E14" s="37"/>
      <c r="F14" s="37"/>
      <c r="G14" s="37"/>
      <c r="H14" s="37"/>
      <c r="I14" s="37"/>
      <c r="J14" s="37"/>
      <c r="K14" s="37"/>
      <c r="L14" s="37" t="s">
        <v>2019</v>
      </c>
      <c r="M14" s="42"/>
      <c r="N14" s="37" t="s">
        <v>152</v>
      </c>
      <c r="O14" s="42"/>
      <c r="P14" s="42"/>
      <c r="Q14" s="37"/>
      <c r="R14" s="37"/>
    </row>
    <row r="15" spans="1:18">
      <c r="A15" s="37" t="s">
        <v>2636</v>
      </c>
      <c r="B15" s="37"/>
      <c r="C15" s="37"/>
      <c r="D15" s="37"/>
      <c r="E15" s="37"/>
      <c r="F15" s="37"/>
      <c r="G15" s="37"/>
      <c r="H15" s="37"/>
      <c r="I15" s="37"/>
      <c r="J15" s="37"/>
      <c r="K15" s="37"/>
      <c r="L15" s="37" t="s">
        <v>2019</v>
      </c>
      <c r="M15" s="42"/>
      <c r="N15" s="37" t="s">
        <v>152</v>
      </c>
      <c r="O15" s="42"/>
      <c r="P15" s="42"/>
      <c r="Q15" s="37"/>
      <c r="R15" s="37"/>
    </row>
    <row r="16" spans="1:18">
      <c r="A16" s="37" t="s">
        <v>2636</v>
      </c>
      <c r="B16" s="37"/>
      <c r="C16" s="37"/>
      <c r="D16" s="37"/>
      <c r="E16" s="37"/>
      <c r="F16" s="37"/>
      <c r="G16" s="37"/>
      <c r="H16" s="37"/>
      <c r="I16" s="37"/>
      <c r="J16" s="37"/>
      <c r="K16" s="37"/>
      <c r="L16" s="37" t="s">
        <v>2019</v>
      </c>
      <c r="M16" s="42"/>
      <c r="N16" s="37" t="s">
        <v>152</v>
      </c>
      <c r="O16" s="42"/>
      <c r="P16" s="42"/>
      <c r="Q16" s="37"/>
      <c r="R16" s="37"/>
    </row>
    <row r="17" spans="1:18">
      <c r="A17" s="37" t="s">
        <v>2636</v>
      </c>
      <c r="B17" s="37"/>
      <c r="C17" s="37"/>
      <c r="D17" s="37"/>
      <c r="E17" s="37"/>
      <c r="F17" s="37"/>
      <c r="G17" s="37"/>
      <c r="H17" s="37"/>
      <c r="I17" s="37"/>
      <c r="J17" s="37"/>
      <c r="K17" s="37"/>
      <c r="L17" s="37" t="s">
        <v>2019</v>
      </c>
      <c r="M17" s="42"/>
      <c r="N17" s="37" t="s">
        <v>152</v>
      </c>
      <c r="O17" s="42"/>
      <c r="P17" s="42"/>
      <c r="Q17" s="37"/>
      <c r="R17" s="37"/>
    </row>
    <row r="18" spans="1:18">
      <c r="A18" s="37" t="s">
        <v>2636</v>
      </c>
      <c r="B18" s="37"/>
      <c r="C18" s="37"/>
      <c r="D18" s="37"/>
      <c r="E18" s="37"/>
      <c r="F18" s="37"/>
      <c r="G18" s="37"/>
      <c r="H18" s="37"/>
      <c r="I18" s="37"/>
      <c r="J18" s="37"/>
      <c r="K18" s="37"/>
      <c r="L18" s="37" t="s">
        <v>2019</v>
      </c>
      <c r="M18" s="42"/>
      <c r="N18" s="37" t="s">
        <v>152</v>
      </c>
      <c r="O18" s="42"/>
      <c r="P18" s="42"/>
      <c r="Q18" s="37"/>
      <c r="R18" s="37"/>
    </row>
    <row r="19" spans="1:18">
      <c r="A19" s="37" t="s">
        <v>2636</v>
      </c>
      <c r="B19" s="37"/>
      <c r="C19" s="37"/>
      <c r="D19" s="37"/>
      <c r="E19" s="37"/>
      <c r="F19" s="37"/>
      <c r="G19" s="37"/>
      <c r="H19" s="37"/>
      <c r="I19" s="37"/>
      <c r="J19" s="37"/>
      <c r="K19" s="37"/>
      <c r="L19" s="37" t="s">
        <v>2019</v>
      </c>
      <c r="M19" s="42"/>
      <c r="N19" s="37" t="s">
        <v>152</v>
      </c>
      <c r="O19" s="42"/>
      <c r="P19" s="42"/>
      <c r="Q19" s="37"/>
      <c r="R19" s="37"/>
    </row>
    <row r="20" spans="1:18">
      <c r="A20" s="37" t="s">
        <v>2636</v>
      </c>
      <c r="B20" s="37"/>
      <c r="C20" s="37"/>
      <c r="D20" s="37"/>
      <c r="E20" s="37"/>
      <c r="F20" s="37"/>
      <c r="G20" s="37"/>
      <c r="H20" s="37"/>
      <c r="I20" s="37"/>
      <c r="J20" s="37"/>
      <c r="K20" s="37"/>
      <c r="L20" s="37" t="s">
        <v>2019</v>
      </c>
      <c r="M20" s="42"/>
      <c r="N20" s="37" t="s">
        <v>152</v>
      </c>
      <c r="O20" s="42"/>
      <c r="P20" s="42"/>
      <c r="Q20" s="37"/>
      <c r="R20" s="37"/>
    </row>
    <row r="21" spans="1:18">
      <c r="A21" s="37" t="s">
        <v>2636</v>
      </c>
      <c r="B21" s="37"/>
      <c r="C21" s="37"/>
      <c r="D21" s="37"/>
      <c r="E21" s="37"/>
      <c r="F21" s="37"/>
      <c r="G21" s="37"/>
      <c r="H21" s="37"/>
      <c r="I21" s="37"/>
      <c r="J21" s="37"/>
      <c r="K21" s="37"/>
      <c r="L21" s="37" t="s">
        <v>2019</v>
      </c>
      <c r="M21" s="42"/>
      <c r="N21" s="37" t="s">
        <v>152</v>
      </c>
      <c r="O21" s="42"/>
      <c r="P21" s="42"/>
      <c r="Q21" s="37"/>
      <c r="R21" s="37"/>
    </row>
    <row r="22" spans="1:18">
      <c r="A22" s="37" t="s">
        <v>2636</v>
      </c>
      <c r="B22" s="37"/>
      <c r="C22" s="37"/>
      <c r="D22" s="37"/>
      <c r="E22" s="37"/>
      <c r="F22" s="37"/>
      <c r="G22" s="37"/>
      <c r="H22" s="37"/>
      <c r="I22" s="37"/>
      <c r="J22" s="37"/>
      <c r="K22" s="37"/>
      <c r="L22" s="37" t="s">
        <v>2019</v>
      </c>
      <c r="M22" s="42"/>
      <c r="N22" s="37" t="s">
        <v>152</v>
      </c>
      <c r="O22" s="42"/>
      <c r="P22" s="42"/>
      <c r="Q22" s="37"/>
      <c r="R22" s="37"/>
    </row>
    <row r="23" spans="1:18">
      <c r="A23" s="37" t="s">
        <v>2636</v>
      </c>
      <c r="B23" s="37"/>
      <c r="C23" s="37"/>
      <c r="D23" s="37"/>
      <c r="E23" s="37"/>
      <c r="F23" s="37"/>
      <c r="G23" s="37"/>
      <c r="H23" s="37"/>
      <c r="I23" s="37"/>
      <c r="J23" s="37"/>
      <c r="K23" s="37"/>
      <c r="L23" s="37" t="s">
        <v>2019</v>
      </c>
      <c r="M23" s="42"/>
      <c r="N23" s="37" t="s">
        <v>152</v>
      </c>
      <c r="O23" s="42"/>
      <c r="P23" s="42"/>
      <c r="Q23" s="37"/>
      <c r="R23" s="37"/>
    </row>
    <row r="24" spans="1:18">
      <c r="A24" s="46"/>
      <c r="B24" s="46"/>
      <c r="C24" s="46"/>
      <c r="D24" s="46"/>
      <c r="E24" s="46"/>
      <c r="F24" s="46"/>
      <c r="G24" s="46"/>
      <c r="H24" s="46"/>
      <c r="I24" s="46"/>
      <c r="J24" s="46"/>
      <c r="K24" s="46"/>
      <c r="L24" s="46"/>
      <c r="M24" s="46"/>
      <c r="N24" s="46"/>
      <c r="O24" s="46"/>
      <c r="P24" s="46"/>
      <c r="Q24" s="46"/>
      <c r="R24" s="46"/>
    </row>
  </sheetData>
  <mergeCells count="2">
    <mergeCell ref="A3:R3"/>
    <mergeCell ref="A1:R1"/>
  </mergeCells>
  <dataValidations count="4">
    <dataValidation type="list" sqref="L14:L81" xr:uid="{00000000-0002-0000-2900-000000000000}">
      <formula1>"Yes,No,Conditional,N/A"</formula1>
    </dataValidation>
    <dataValidation type="list" sqref="N14:N81" xr:uid="{00000000-0002-0000-2900-000001000000}">
      <formula1>"Not Started,In Progress,Awaiting Guideline,Awaiting Evidence,Under Review,Approved,Approved with Limits,Rejected,Superseded,Closed"</formula1>
    </dataValidation>
    <dataValidation type="list" allowBlank="1" sqref="L14:L23" xr:uid="{00000000-0002-0000-2900-000002000000}">
      <formula1>"Not Started,Approved,Conditional,Rejected,Needs Review,Not Applicable"</formula1>
    </dataValidation>
    <dataValidation type="list" allowBlank="1" sqref="N14:N23 R14:R23" xr:uid="{00000000-0002-0000-2900-000003000000}">
      <formula1>"Not Started,In Progress,Needs Review,Complete,Not Applicable,Blocked"</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66C5C-F566-4450-8F76-D49054C3BE85}">
  <sheetPr>
    <tabColor rgb="FFED7D31"/>
  </sheetPr>
  <dimension ref="A1:R52"/>
  <sheetViews>
    <sheetView workbookViewId="0">
      <pane ySplit="4" topLeftCell="A5" activePane="bottomLeft" state="frozen"/>
      <selection pane="bottomLeft" activeCell="D15" sqref="D15"/>
    </sheetView>
  </sheetViews>
  <sheetFormatPr defaultRowHeight="15"/>
  <cols>
    <col min="1" max="1" width="13.28515625" customWidth="1"/>
    <col min="2" max="2" width="21" customWidth="1"/>
    <col min="3" max="3" width="15.28515625" customWidth="1"/>
    <col min="4" max="4" width="21" customWidth="1"/>
    <col min="5" max="5" width="32.42578125" customWidth="1"/>
    <col min="6" max="6" width="18.140625" customWidth="1"/>
    <col min="7" max="7" width="24.7109375" customWidth="1"/>
    <col min="8" max="8" width="18.140625" customWidth="1"/>
    <col min="9" max="9" width="24.7109375" customWidth="1"/>
    <col min="10" max="11" width="18.140625" customWidth="1"/>
    <col min="12" max="12" width="22.85546875" customWidth="1"/>
    <col min="13" max="13" width="15.28515625" customWidth="1"/>
    <col min="14" max="15" width="22.85546875" customWidth="1"/>
    <col min="16" max="17" width="15.28515625" customWidth="1"/>
    <col min="18" max="18" width="28.5703125" customWidth="1"/>
  </cols>
  <sheetData>
    <row r="1" spans="1:18">
      <c r="A1" s="182" t="s">
        <v>2637</v>
      </c>
      <c r="B1" s="182"/>
      <c r="C1" s="182"/>
      <c r="D1" s="182"/>
      <c r="E1" s="182"/>
      <c r="F1" s="182"/>
      <c r="G1" s="182"/>
      <c r="H1" s="182"/>
      <c r="I1" s="182"/>
      <c r="J1" s="182"/>
      <c r="K1" s="182"/>
      <c r="L1" s="182"/>
      <c r="M1" s="182"/>
      <c r="N1" s="182"/>
      <c r="O1" s="182"/>
      <c r="P1" s="182"/>
      <c r="Q1" s="182"/>
      <c r="R1" s="182"/>
    </row>
    <row r="2" spans="1:18">
      <c r="A2" s="183" t="s">
        <v>0</v>
      </c>
      <c r="B2" s="183"/>
      <c r="C2" s="183"/>
      <c r="D2" s="183"/>
      <c r="E2" s="183"/>
      <c r="F2" s="183"/>
      <c r="G2" s="183"/>
      <c r="H2" s="183"/>
      <c r="I2" s="183"/>
      <c r="J2" s="183"/>
      <c r="K2" s="183"/>
      <c r="L2" s="183"/>
      <c r="M2" s="183"/>
      <c r="N2" s="183"/>
      <c r="O2" s="183"/>
      <c r="P2" s="183"/>
      <c r="Q2" s="183"/>
      <c r="R2" s="183"/>
    </row>
    <row r="3" spans="1:18">
      <c r="A3" s="184" t="s">
        <v>2638</v>
      </c>
      <c r="B3" s="184"/>
      <c r="C3" s="184"/>
      <c r="D3" s="184"/>
      <c r="E3" s="184"/>
      <c r="F3" s="184"/>
      <c r="G3" s="184"/>
      <c r="H3" s="184"/>
      <c r="I3" s="184"/>
      <c r="J3" s="184"/>
      <c r="K3" s="184"/>
      <c r="L3" s="184"/>
      <c r="M3" s="184"/>
      <c r="N3" s="184"/>
      <c r="O3" s="184"/>
      <c r="P3" s="184"/>
      <c r="Q3" s="184"/>
      <c r="R3" s="184"/>
    </row>
    <row r="4" spans="1:18">
      <c r="A4" s="185" t="s">
        <v>2639</v>
      </c>
      <c r="B4" s="185"/>
      <c r="C4" s="185"/>
      <c r="D4" s="185"/>
      <c r="E4" s="185"/>
      <c r="F4" s="185"/>
      <c r="G4" s="185"/>
      <c r="H4" s="185"/>
      <c r="I4" s="185"/>
      <c r="J4" s="185"/>
      <c r="K4" s="185"/>
      <c r="L4" s="185"/>
      <c r="M4" s="185"/>
      <c r="N4" s="185"/>
      <c r="O4" s="185"/>
      <c r="P4" s="185"/>
      <c r="Q4" s="185"/>
      <c r="R4" s="185"/>
    </row>
    <row r="6" spans="1:18">
      <c r="A6" s="181" t="s">
        <v>2640</v>
      </c>
      <c r="B6" s="181"/>
      <c r="C6" s="181"/>
      <c r="D6" s="181"/>
      <c r="E6" s="181"/>
      <c r="F6" s="181"/>
      <c r="G6" s="181"/>
      <c r="H6" s="181"/>
      <c r="I6" s="181"/>
      <c r="J6" s="181"/>
      <c r="K6" s="181"/>
      <c r="L6" s="181"/>
      <c r="M6" s="181"/>
      <c r="N6" s="181"/>
      <c r="O6" s="181"/>
      <c r="P6" s="181"/>
      <c r="Q6" s="181"/>
      <c r="R6" s="181"/>
    </row>
    <row r="7" spans="1:18" ht="47.25">
      <c r="A7" s="115" t="s">
        <v>2621</v>
      </c>
      <c r="B7" s="115" t="s">
        <v>330</v>
      </c>
      <c r="C7" s="115" t="s">
        <v>2641</v>
      </c>
      <c r="D7" s="115" t="s">
        <v>2642</v>
      </c>
      <c r="E7" s="115" t="s">
        <v>2643</v>
      </c>
      <c r="F7" s="115" t="s">
        <v>2644</v>
      </c>
      <c r="G7" s="115" t="s">
        <v>2645</v>
      </c>
      <c r="H7" s="115" t="s">
        <v>2646</v>
      </c>
      <c r="I7" s="115" t="s">
        <v>2647</v>
      </c>
      <c r="J7" s="115" t="s">
        <v>2648</v>
      </c>
      <c r="K7" s="115" t="s">
        <v>2649</v>
      </c>
      <c r="L7" s="115" t="s">
        <v>2650</v>
      </c>
      <c r="M7" s="115" t="s">
        <v>2651</v>
      </c>
      <c r="N7" s="115" t="s">
        <v>2652</v>
      </c>
      <c r="O7" s="115" t="s">
        <v>2653</v>
      </c>
      <c r="P7" s="115" t="s">
        <v>144</v>
      </c>
      <c r="Q7" s="115" t="s">
        <v>145</v>
      </c>
      <c r="R7" s="115" t="s">
        <v>499</v>
      </c>
    </row>
    <row r="8" spans="1:18" ht="25.5">
      <c r="A8" s="116" t="s">
        <v>2654</v>
      </c>
      <c r="B8" s="116"/>
      <c r="C8" s="116"/>
      <c r="D8" s="116"/>
      <c r="E8" s="116"/>
      <c r="F8" s="116"/>
      <c r="G8" s="116"/>
      <c r="H8" s="116"/>
      <c r="I8" s="116"/>
      <c r="J8" s="116"/>
      <c r="K8" s="116"/>
      <c r="L8" s="116"/>
      <c r="M8" s="116"/>
      <c r="N8" s="116"/>
      <c r="O8" s="116"/>
      <c r="P8" s="116"/>
      <c r="Q8" s="116" t="s">
        <v>152</v>
      </c>
      <c r="R8" s="116"/>
    </row>
    <row r="9" spans="1:18" ht="25.5">
      <c r="A9" s="116" t="s">
        <v>2655</v>
      </c>
      <c r="B9" s="116"/>
      <c r="C9" s="116"/>
      <c r="D9" s="116"/>
      <c r="E9" s="116"/>
      <c r="F9" s="116"/>
      <c r="G9" s="116"/>
      <c r="H9" s="116"/>
      <c r="I9" s="116"/>
      <c r="J9" s="116"/>
      <c r="K9" s="116"/>
      <c r="L9" s="116"/>
      <c r="M9" s="116"/>
      <c r="N9" s="116"/>
      <c r="O9" s="116"/>
      <c r="P9" s="116"/>
      <c r="Q9" s="116" t="s">
        <v>152</v>
      </c>
      <c r="R9" s="116"/>
    </row>
    <row r="10" spans="1:18" ht="25.5">
      <c r="A10" s="116" t="s">
        <v>2656</v>
      </c>
      <c r="B10" s="116"/>
      <c r="C10" s="116"/>
      <c r="D10" s="116"/>
      <c r="E10" s="116"/>
      <c r="F10" s="116"/>
      <c r="G10" s="116"/>
      <c r="H10" s="116"/>
      <c r="I10" s="116"/>
      <c r="J10" s="116"/>
      <c r="K10" s="116"/>
      <c r="L10" s="116"/>
      <c r="M10" s="116"/>
      <c r="N10" s="116"/>
      <c r="O10" s="116"/>
      <c r="P10" s="116"/>
      <c r="Q10" s="116" t="s">
        <v>152</v>
      </c>
      <c r="R10" s="116"/>
    </row>
    <row r="11" spans="1:18" ht="25.5">
      <c r="A11" s="116" t="s">
        <v>2657</v>
      </c>
      <c r="B11" s="116"/>
      <c r="C11" s="116"/>
      <c r="D11" s="116"/>
      <c r="E11" s="116"/>
      <c r="F11" s="116"/>
      <c r="G11" s="116"/>
      <c r="H11" s="116"/>
      <c r="I11" s="116"/>
      <c r="J11" s="116"/>
      <c r="K11" s="116"/>
      <c r="L11" s="116"/>
      <c r="M11" s="116"/>
      <c r="N11" s="116"/>
      <c r="O11" s="116"/>
      <c r="P11" s="116"/>
      <c r="Q11" s="116" t="s">
        <v>152</v>
      </c>
      <c r="R11" s="116"/>
    </row>
    <row r="12" spans="1:18" ht="25.5">
      <c r="A12" s="116" t="s">
        <v>2658</v>
      </c>
      <c r="B12" s="116"/>
      <c r="C12" s="116"/>
      <c r="D12" s="116"/>
      <c r="E12" s="116"/>
      <c r="F12" s="116"/>
      <c r="G12" s="116"/>
      <c r="H12" s="116"/>
      <c r="I12" s="116"/>
      <c r="J12" s="116"/>
      <c r="K12" s="116"/>
      <c r="L12" s="116"/>
      <c r="M12" s="116"/>
      <c r="N12" s="116"/>
      <c r="O12" s="116"/>
      <c r="P12" s="116"/>
      <c r="Q12" s="116" t="s">
        <v>152</v>
      </c>
      <c r="R12" s="116"/>
    </row>
    <row r="13" spans="1:18" ht="25.5">
      <c r="A13" s="116" t="s">
        <v>2659</v>
      </c>
      <c r="B13" s="116"/>
      <c r="C13" s="116"/>
      <c r="D13" s="116"/>
      <c r="E13" s="116"/>
      <c r="F13" s="116"/>
      <c r="G13" s="116"/>
      <c r="H13" s="116"/>
      <c r="I13" s="116"/>
      <c r="J13" s="116"/>
      <c r="K13" s="116"/>
      <c r="L13" s="116"/>
      <c r="M13" s="116"/>
      <c r="N13" s="116"/>
      <c r="O13" s="116"/>
      <c r="P13" s="116"/>
      <c r="Q13" s="116" t="s">
        <v>152</v>
      </c>
      <c r="R13" s="116"/>
    </row>
    <row r="14" spans="1:18" ht="25.5">
      <c r="A14" s="116" t="s">
        <v>2660</v>
      </c>
      <c r="B14" s="116"/>
      <c r="C14" s="116"/>
      <c r="D14" s="116"/>
      <c r="E14" s="116"/>
      <c r="F14" s="116"/>
      <c r="G14" s="116"/>
      <c r="H14" s="116"/>
      <c r="I14" s="116"/>
      <c r="J14" s="116"/>
      <c r="K14" s="116"/>
      <c r="L14" s="116"/>
      <c r="M14" s="116"/>
      <c r="N14" s="116"/>
      <c r="O14" s="116"/>
      <c r="P14" s="116"/>
      <c r="Q14" s="116" t="s">
        <v>152</v>
      </c>
      <c r="R14" s="116"/>
    </row>
    <row r="15" spans="1:18" ht="25.5">
      <c r="A15" s="116" t="s">
        <v>2661</v>
      </c>
      <c r="B15" s="116"/>
      <c r="C15" s="116"/>
      <c r="D15" s="116"/>
      <c r="E15" s="116"/>
      <c r="F15" s="116"/>
      <c r="G15" s="116"/>
      <c r="H15" s="116"/>
      <c r="I15" s="116"/>
      <c r="J15" s="116"/>
      <c r="K15" s="116"/>
      <c r="L15" s="116"/>
      <c r="M15" s="116"/>
      <c r="N15" s="116"/>
      <c r="O15" s="116"/>
      <c r="P15" s="116"/>
      <c r="Q15" s="116" t="s">
        <v>152</v>
      </c>
      <c r="R15" s="116"/>
    </row>
    <row r="16" spans="1:18" ht="25.5">
      <c r="A16" s="116" t="s">
        <v>2662</v>
      </c>
      <c r="B16" s="116"/>
      <c r="C16" s="116"/>
      <c r="D16" s="116"/>
      <c r="E16" s="116"/>
      <c r="F16" s="116"/>
      <c r="G16" s="116"/>
      <c r="H16" s="116"/>
      <c r="I16" s="116"/>
      <c r="J16" s="116"/>
      <c r="K16" s="116"/>
      <c r="L16" s="116"/>
      <c r="M16" s="116"/>
      <c r="N16" s="116"/>
      <c r="O16" s="116"/>
      <c r="P16" s="116"/>
      <c r="Q16" s="116" t="s">
        <v>152</v>
      </c>
      <c r="R16" s="116"/>
    </row>
    <row r="17" spans="1:18" ht="25.5">
      <c r="A17" s="116" t="s">
        <v>2663</v>
      </c>
      <c r="B17" s="116"/>
      <c r="C17" s="116"/>
      <c r="D17" s="116"/>
      <c r="E17" s="116"/>
      <c r="F17" s="116"/>
      <c r="G17" s="116"/>
      <c r="H17" s="116"/>
      <c r="I17" s="116"/>
      <c r="J17" s="116"/>
      <c r="K17" s="116"/>
      <c r="L17" s="116"/>
      <c r="M17" s="116"/>
      <c r="N17" s="116"/>
      <c r="O17" s="116"/>
      <c r="P17" s="116"/>
      <c r="Q17" s="116" t="s">
        <v>152</v>
      </c>
      <c r="R17" s="116"/>
    </row>
    <row r="18" spans="1:18" ht="25.5">
      <c r="A18" s="116" t="s">
        <v>2664</v>
      </c>
      <c r="B18" s="116"/>
      <c r="C18" s="116"/>
      <c r="D18" s="116"/>
      <c r="E18" s="116"/>
      <c r="F18" s="116"/>
      <c r="G18" s="116"/>
      <c r="H18" s="116"/>
      <c r="I18" s="116"/>
      <c r="J18" s="116"/>
      <c r="K18" s="116"/>
      <c r="L18" s="116"/>
      <c r="M18" s="116"/>
      <c r="N18" s="116"/>
      <c r="O18" s="116"/>
      <c r="P18" s="116"/>
      <c r="Q18" s="116" t="s">
        <v>152</v>
      </c>
      <c r="R18" s="116"/>
    </row>
    <row r="19" spans="1:18" ht="25.5">
      <c r="A19" s="116" t="s">
        <v>2665</v>
      </c>
      <c r="B19" s="116"/>
      <c r="C19" s="116"/>
      <c r="D19" s="116"/>
      <c r="E19" s="116"/>
      <c r="F19" s="116"/>
      <c r="G19" s="116"/>
      <c r="H19" s="116"/>
      <c r="I19" s="116"/>
      <c r="J19" s="116"/>
      <c r="K19" s="116"/>
      <c r="L19" s="116"/>
      <c r="M19" s="116"/>
      <c r="N19" s="116"/>
      <c r="O19" s="116"/>
      <c r="P19" s="116"/>
      <c r="Q19" s="116" t="s">
        <v>152</v>
      </c>
      <c r="R19" s="116"/>
    </row>
    <row r="20" spans="1:18" ht="25.5">
      <c r="A20" s="116" t="s">
        <v>2666</v>
      </c>
      <c r="B20" s="116"/>
      <c r="C20" s="116"/>
      <c r="D20" s="116"/>
      <c r="E20" s="116"/>
      <c r="F20" s="116"/>
      <c r="G20" s="116"/>
      <c r="H20" s="116"/>
      <c r="I20" s="116"/>
      <c r="J20" s="116"/>
      <c r="K20" s="116"/>
      <c r="L20" s="116"/>
      <c r="M20" s="116"/>
      <c r="N20" s="116"/>
      <c r="O20" s="116"/>
      <c r="P20" s="116"/>
      <c r="Q20" s="116" t="s">
        <v>152</v>
      </c>
      <c r="R20" s="116"/>
    </row>
    <row r="22" spans="1:18">
      <c r="A22" s="181" t="s">
        <v>2667</v>
      </c>
      <c r="B22" s="181"/>
      <c r="C22" s="181"/>
      <c r="D22" s="181"/>
      <c r="E22" s="181"/>
      <c r="F22" s="181"/>
      <c r="G22" s="181"/>
      <c r="H22" s="181"/>
      <c r="I22" s="181"/>
      <c r="J22" s="181"/>
      <c r="K22" s="181"/>
      <c r="L22" s="181"/>
      <c r="M22" s="181"/>
      <c r="N22" s="181"/>
      <c r="O22" s="181"/>
      <c r="P22" s="181"/>
      <c r="Q22" s="181"/>
      <c r="R22" s="181"/>
    </row>
    <row r="23" spans="1:18" ht="47.25">
      <c r="A23" s="115" t="s">
        <v>2668</v>
      </c>
      <c r="B23" s="115" t="s">
        <v>2669</v>
      </c>
      <c r="C23" s="115" t="s">
        <v>330</v>
      </c>
      <c r="D23" s="115" t="s">
        <v>2670</v>
      </c>
      <c r="E23" s="115" t="s">
        <v>2671</v>
      </c>
      <c r="F23" s="115" t="s">
        <v>2672</v>
      </c>
      <c r="G23" s="115" t="s">
        <v>2673</v>
      </c>
      <c r="H23" s="115" t="s">
        <v>2674</v>
      </c>
      <c r="I23" s="115" t="s">
        <v>2675</v>
      </c>
      <c r="J23" s="115" t="s">
        <v>2676</v>
      </c>
      <c r="K23" s="115" t="s">
        <v>2677</v>
      </c>
      <c r="L23" s="115" t="s">
        <v>2678</v>
      </c>
      <c r="M23" s="115" t="s">
        <v>2679</v>
      </c>
      <c r="N23" s="115" t="s">
        <v>2680</v>
      </c>
      <c r="O23" s="115" t="s">
        <v>144</v>
      </c>
      <c r="P23" s="115" t="s">
        <v>145</v>
      </c>
      <c r="Q23" s="115" t="s">
        <v>70</v>
      </c>
      <c r="R23" s="115" t="s">
        <v>2681</v>
      </c>
    </row>
    <row r="24" spans="1:18" ht="25.5">
      <c r="A24" s="116" t="s">
        <v>2682</v>
      </c>
      <c r="B24" s="116"/>
      <c r="C24" s="116"/>
      <c r="D24" s="116"/>
      <c r="E24" s="116"/>
      <c r="F24" s="116"/>
      <c r="G24" s="116"/>
      <c r="H24" s="116"/>
      <c r="I24" s="116"/>
      <c r="J24" s="116"/>
      <c r="K24" s="116"/>
      <c r="L24" s="116"/>
      <c r="M24" s="116"/>
      <c r="N24" s="116"/>
      <c r="O24" s="116"/>
      <c r="P24" s="116" t="s">
        <v>152</v>
      </c>
      <c r="Q24" s="116"/>
      <c r="R24" s="116"/>
    </row>
    <row r="25" spans="1:18" ht="25.5">
      <c r="A25" s="116" t="s">
        <v>2683</v>
      </c>
      <c r="B25" s="116"/>
      <c r="C25" s="116"/>
      <c r="D25" s="116"/>
      <c r="E25" s="116"/>
      <c r="F25" s="116"/>
      <c r="G25" s="116"/>
      <c r="H25" s="116"/>
      <c r="I25" s="116"/>
      <c r="J25" s="116"/>
      <c r="K25" s="116"/>
      <c r="L25" s="116"/>
      <c r="M25" s="116"/>
      <c r="N25" s="116"/>
      <c r="O25" s="116"/>
      <c r="P25" s="116" t="s">
        <v>152</v>
      </c>
      <c r="Q25" s="116"/>
      <c r="R25" s="116"/>
    </row>
    <row r="26" spans="1:18" ht="25.5">
      <c r="A26" s="116" t="s">
        <v>2684</v>
      </c>
      <c r="B26" s="116"/>
      <c r="C26" s="116"/>
      <c r="D26" s="116"/>
      <c r="E26" s="116"/>
      <c r="F26" s="116"/>
      <c r="G26" s="116"/>
      <c r="H26" s="116"/>
      <c r="I26" s="116"/>
      <c r="J26" s="116"/>
      <c r="K26" s="116"/>
      <c r="L26" s="116"/>
      <c r="M26" s="116"/>
      <c r="N26" s="116"/>
      <c r="O26" s="116"/>
      <c r="P26" s="116" t="s">
        <v>152</v>
      </c>
      <c r="Q26" s="116"/>
      <c r="R26" s="116"/>
    </row>
    <row r="27" spans="1:18" ht="25.5">
      <c r="A27" s="116" t="s">
        <v>2685</v>
      </c>
      <c r="B27" s="116"/>
      <c r="C27" s="116"/>
      <c r="D27" s="116"/>
      <c r="E27" s="116"/>
      <c r="F27" s="116"/>
      <c r="G27" s="116"/>
      <c r="H27" s="116"/>
      <c r="I27" s="116"/>
      <c r="J27" s="116"/>
      <c r="K27" s="116"/>
      <c r="L27" s="116"/>
      <c r="M27" s="116"/>
      <c r="N27" s="116"/>
      <c r="O27" s="116"/>
      <c r="P27" s="116" t="s">
        <v>152</v>
      </c>
      <c r="Q27" s="116"/>
      <c r="R27" s="116"/>
    </row>
    <row r="28" spans="1:18" ht="25.5">
      <c r="A28" s="116" t="s">
        <v>2686</v>
      </c>
      <c r="B28" s="116"/>
      <c r="C28" s="116"/>
      <c r="D28" s="116"/>
      <c r="E28" s="116"/>
      <c r="F28" s="116"/>
      <c r="G28" s="116"/>
      <c r="H28" s="116"/>
      <c r="I28" s="116"/>
      <c r="J28" s="116"/>
      <c r="K28" s="116"/>
      <c r="L28" s="116"/>
      <c r="M28" s="116"/>
      <c r="N28" s="116"/>
      <c r="O28" s="116"/>
      <c r="P28" s="116" t="s">
        <v>152</v>
      </c>
      <c r="Q28" s="116"/>
      <c r="R28" s="116"/>
    </row>
    <row r="29" spans="1:18" ht="25.5">
      <c r="A29" s="116" t="s">
        <v>2687</v>
      </c>
      <c r="B29" s="116"/>
      <c r="C29" s="116"/>
      <c r="D29" s="116"/>
      <c r="E29" s="116"/>
      <c r="F29" s="116"/>
      <c r="G29" s="116"/>
      <c r="H29" s="116"/>
      <c r="I29" s="116"/>
      <c r="J29" s="116"/>
      <c r="K29" s="116"/>
      <c r="L29" s="116"/>
      <c r="M29" s="116"/>
      <c r="N29" s="116"/>
      <c r="O29" s="116"/>
      <c r="P29" s="116" t="s">
        <v>152</v>
      </c>
      <c r="Q29" s="116"/>
      <c r="R29" s="116"/>
    </row>
    <row r="30" spans="1:18" ht="25.5">
      <c r="A30" s="116" t="s">
        <v>2688</v>
      </c>
      <c r="B30" s="116"/>
      <c r="C30" s="116"/>
      <c r="D30" s="116"/>
      <c r="E30" s="116"/>
      <c r="F30" s="116"/>
      <c r="G30" s="116"/>
      <c r="H30" s="116"/>
      <c r="I30" s="116"/>
      <c r="J30" s="116"/>
      <c r="K30" s="116"/>
      <c r="L30" s="116"/>
      <c r="M30" s="116"/>
      <c r="N30" s="116"/>
      <c r="O30" s="116"/>
      <c r="P30" s="116" t="s">
        <v>152</v>
      </c>
      <c r="Q30" s="116"/>
      <c r="R30" s="116"/>
    </row>
    <row r="31" spans="1:18" ht="25.5">
      <c r="A31" s="116" t="s">
        <v>2689</v>
      </c>
      <c r="B31" s="116"/>
      <c r="C31" s="116"/>
      <c r="D31" s="116"/>
      <c r="E31" s="116"/>
      <c r="F31" s="116"/>
      <c r="G31" s="116"/>
      <c r="H31" s="116"/>
      <c r="I31" s="116"/>
      <c r="J31" s="116"/>
      <c r="K31" s="116"/>
      <c r="L31" s="116"/>
      <c r="M31" s="116"/>
      <c r="N31" s="116"/>
      <c r="O31" s="116"/>
      <c r="P31" s="116" t="s">
        <v>152</v>
      </c>
      <c r="Q31" s="116"/>
      <c r="R31" s="116"/>
    </row>
    <row r="32" spans="1:18" ht="25.5">
      <c r="A32" s="116" t="s">
        <v>2690</v>
      </c>
      <c r="B32" s="116"/>
      <c r="C32" s="116"/>
      <c r="D32" s="116"/>
      <c r="E32" s="116"/>
      <c r="F32" s="116"/>
      <c r="G32" s="116"/>
      <c r="H32" s="116"/>
      <c r="I32" s="116"/>
      <c r="J32" s="116"/>
      <c r="K32" s="116"/>
      <c r="L32" s="116"/>
      <c r="M32" s="116"/>
      <c r="N32" s="116"/>
      <c r="O32" s="116"/>
      <c r="P32" s="116" t="s">
        <v>152</v>
      </c>
      <c r="Q32" s="116"/>
      <c r="R32" s="116"/>
    </row>
    <row r="33" spans="1:18" ht="25.5">
      <c r="A33" s="116" t="s">
        <v>2691</v>
      </c>
      <c r="B33" s="116"/>
      <c r="C33" s="116"/>
      <c r="D33" s="116"/>
      <c r="E33" s="116"/>
      <c r="F33" s="116"/>
      <c r="G33" s="116"/>
      <c r="H33" s="116"/>
      <c r="I33" s="116"/>
      <c r="J33" s="116"/>
      <c r="K33" s="116"/>
      <c r="L33" s="116"/>
      <c r="M33" s="116"/>
      <c r="N33" s="116"/>
      <c r="O33" s="116"/>
      <c r="P33" s="116" t="s">
        <v>152</v>
      </c>
      <c r="Q33" s="116"/>
      <c r="R33" s="116"/>
    </row>
    <row r="34" spans="1:18" ht="25.5">
      <c r="A34" s="116" t="s">
        <v>2692</v>
      </c>
      <c r="B34" s="116"/>
      <c r="C34" s="116"/>
      <c r="D34" s="116"/>
      <c r="E34" s="116"/>
      <c r="F34" s="116"/>
      <c r="G34" s="116"/>
      <c r="H34" s="116"/>
      <c r="I34" s="116"/>
      <c r="J34" s="116"/>
      <c r="K34" s="116"/>
      <c r="L34" s="116"/>
      <c r="M34" s="116"/>
      <c r="N34" s="116"/>
      <c r="O34" s="116"/>
      <c r="P34" s="116" t="s">
        <v>152</v>
      </c>
      <c r="Q34" s="116"/>
      <c r="R34" s="116"/>
    </row>
    <row r="35" spans="1:18" ht="25.5">
      <c r="A35" s="116" t="s">
        <v>2693</v>
      </c>
      <c r="B35" s="116"/>
      <c r="C35" s="116"/>
      <c r="D35" s="116"/>
      <c r="E35" s="116"/>
      <c r="F35" s="116"/>
      <c r="G35" s="116"/>
      <c r="H35" s="116"/>
      <c r="I35" s="116"/>
      <c r="J35" s="116"/>
      <c r="K35" s="116"/>
      <c r="L35" s="116"/>
      <c r="M35" s="116"/>
      <c r="N35" s="116"/>
      <c r="O35" s="116"/>
      <c r="P35" s="116" t="s">
        <v>152</v>
      </c>
      <c r="Q35" s="116"/>
      <c r="R35" s="116"/>
    </row>
    <row r="36" spans="1:18" ht="25.5">
      <c r="A36" s="116" t="s">
        <v>2694</v>
      </c>
      <c r="B36" s="116"/>
      <c r="C36" s="116"/>
      <c r="D36" s="116"/>
      <c r="E36" s="116"/>
      <c r="F36" s="116"/>
      <c r="G36" s="116"/>
      <c r="H36" s="116"/>
      <c r="I36" s="116"/>
      <c r="J36" s="116"/>
      <c r="K36" s="116"/>
      <c r="L36" s="116"/>
      <c r="M36" s="116"/>
      <c r="N36" s="116"/>
      <c r="O36" s="116"/>
      <c r="P36" s="116" t="s">
        <v>152</v>
      </c>
      <c r="Q36" s="116"/>
      <c r="R36" s="116"/>
    </row>
    <row r="38" spans="1:18">
      <c r="A38" s="181" t="s">
        <v>2695</v>
      </c>
      <c r="B38" s="181"/>
      <c r="C38" s="181"/>
      <c r="D38" s="181"/>
      <c r="E38" s="181"/>
      <c r="F38" s="181"/>
      <c r="G38" s="181"/>
      <c r="H38" s="181"/>
      <c r="I38" s="181"/>
      <c r="J38" s="181"/>
      <c r="K38" s="181"/>
      <c r="L38" s="181"/>
      <c r="M38" s="181"/>
      <c r="N38" s="181"/>
      <c r="O38" s="181"/>
      <c r="P38" s="181"/>
      <c r="Q38" s="181"/>
      <c r="R38" s="181"/>
    </row>
    <row r="39" spans="1:18" ht="58.5">
      <c r="A39" s="115" t="s">
        <v>2696</v>
      </c>
      <c r="B39" s="115" t="s">
        <v>2669</v>
      </c>
      <c r="C39" s="115" t="s">
        <v>330</v>
      </c>
      <c r="D39" s="115" t="s">
        <v>2697</v>
      </c>
      <c r="E39" s="115" t="s">
        <v>2698</v>
      </c>
      <c r="F39" s="115" t="s">
        <v>2699</v>
      </c>
      <c r="G39" s="115" t="s">
        <v>2700</v>
      </c>
      <c r="H39" s="115" t="s">
        <v>2701</v>
      </c>
      <c r="I39" s="115" t="s">
        <v>2702</v>
      </c>
      <c r="J39" s="115" t="s">
        <v>2703</v>
      </c>
      <c r="K39" s="115" t="s">
        <v>2704</v>
      </c>
      <c r="L39" s="115" t="s">
        <v>2679</v>
      </c>
      <c r="M39" s="115" t="s">
        <v>2705</v>
      </c>
      <c r="N39" s="115" t="s">
        <v>2706</v>
      </c>
      <c r="O39" s="115" t="s">
        <v>144</v>
      </c>
      <c r="P39" s="115" t="s">
        <v>145</v>
      </c>
      <c r="Q39" s="115" t="s">
        <v>2707</v>
      </c>
      <c r="R39" s="115" t="s">
        <v>70</v>
      </c>
    </row>
    <row r="40" spans="1:18" ht="25.5">
      <c r="A40" s="116" t="s">
        <v>2708</v>
      </c>
      <c r="B40" s="116"/>
      <c r="C40" s="116"/>
      <c r="D40" s="116"/>
      <c r="E40" s="116"/>
      <c r="F40" s="116"/>
      <c r="G40" s="116"/>
      <c r="H40" s="116"/>
      <c r="I40" s="116"/>
      <c r="J40" s="116"/>
      <c r="K40" s="116"/>
      <c r="L40" s="116"/>
      <c r="M40" s="116"/>
      <c r="N40" s="116"/>
      <c r="O40" s="116"/>
      <c r="P40" s="116" t="s">
        <v>152</v>
      </c>
      <c r="Q40" s="116"/>
      <c r="R40" s="116"/>
    </row>
    <row r="41" spans="1:18" ht="25.5">
      <c r="A41" s="116" t="s">
        <v>2709</v>
      </c>
      <c r="B41" s="116"/>
      <c r="C41" s="116"/>
      <c r="D41" s="116"/>
      <c r="E41" s="116"/>
      <c r="F41" s="116"/>
      <c r="G41" s="116"/>
      <c r="H41" s="116"/>
      <c r="I41" s="116"/>
      <c r="J41" s="116"/>
      <c r="K41" s="116"/>
      <c r="L41" s="116"/>
      <c r="M41" s="116"/>
      <c r="N41" s="116"/>
      <c r="O41" s="116"/>
      <c r="P41" s="116" t="s">
        <v>152</v>
      </c>
      <c r="Q41" s="116"/>
      <c r="R41" s="116"/>
    </row>
    <row r="42" spans="1:18" ht="25.5">
      <c r="A42" s="116" t="s">
        <v>2710</v>
      </c>
      <c r="B42" s="116"/>
      <c r="C42" s="116"/>
      <c r="D42" s="116"/>
      <c r="E42" s="116"/>
      <c r="F42" s="116"/>
      <c r="G42" s="116"/>
      <c r="H42" s="116"/>
      <c r="I42" s="116"/>
      <c r="J42" s="116"/>
      <c r="K42" s="116"/>
      <c r="L42" s="116"/>
      <c r="M42" s="116"/>
      <c r="N42" s="116"/>
      <c r="O42" s="116"/>
      <c r="P42" s="116" t="s">
        <v>152</v>
      </c>
      <c r="Q42" s="116"/>
      <c r="R42" s="116"/>
    </row>
    <row r="43" spans="1:18" ht="25.5">
      <c r="A43" s="116" t="s">
        <v>2711</v>
      </c>
      <c r="B43" s="116"/>
      <c r="C43" s="116"/>
      <c r="D43" s="116"/>
      <c r="E43" s="116"/>
      <c r="F43" s="116"/>
      <c r="G43" s="116"/>
      <c r="H43" s="116"/>
      <c r="I43" s="116"/>
      <c r="J43" s="116"/>
      <c r="K43" s="116"/>
      <c r="L43" s="116"/>
      <c r="M43" s="116"/>
      <c r="N43" s="116"/>
      <c r="O43" s="116"/>
      <c r="P43" s="116" t="s">
        <v>152</v>
      </c>
      <c r="Q43" s="116"/>
      <c r="R43" s="116"/>
    </row>
    <row r="44" spans="1:18" ht="25.5">
      <c r="A44" s="116" t="s">
        <v>2712</v>
      </c>
      <c r="B44" s="116"/>
      <c r="C44" s="116"/>
      <c r="D44" s="116"/>
      <c r="E44" s="116"/>
      <c r="F44" s="116"/>
      <c r="G44" s="116"/>
      <c r="H44" s="116"/>
      <c r="I44" s="116"/>
      <c r="J44" s="116"/>
      <c r="K44" s="116"/>
      <c r="L44" s="116"/>
      <c r="M44" s="116"/>
      <c r="N44" s="116"/>
      <c r="O44" s="116"/>
      <c r="P44" s="116" t="s">
        <v>152</v>
      </c>
      <c r="Q44" s="116"/>
      <c r="R44" s="116"/>
    </row>
    <row r="45" spans="1:18" ht="25.5">
      <c r="A45" s="116" t="s">
        <v>2713</v>
      </c>
      <c r="B45" s="116"/>
      <c r="C45" s="116"/>
      <c r="D45" s="116"/>
      <c r="E45" s="116"/>
      <c r="F45" s="116"/>
      <c r="G45" s="116"/>
      <c r="H45" s="116"/>
      <c r="I45" s="116"/>
      <c r="J45" s="116"/>
      <c r="K45" s="116"/>
      <c r="L45" s="116"/>
      <c r="M45" s="116"/>
      <c r="N45" s="116"/>
      <c r="O45" s="116"/>
      <c r="P45" s="116" t="s">
        <v>152</v>
      </c>
      <c r="Q45" s="116"/>
      <c r="R45" s="116"/>
    </row>
    <row r="46" spans="1:18" ht="25.5">
      <c r="A46" s="116" t="s">
        <v>2714</v>
      </c>
      <c r="B46" s="116"/>
      <c r="C46" s="116"/>
      <c r="D46" s="116"/>
      <c r="E46" s="116"/>
      <c r="F46" s="116"/>
      <c r="G46" s="116"/>
      <c r="H46" s="116"/>
      <c r="I46" s="116"/>
      <c r="J46" s="116"/>
      <c r="K46" s="116"/>
      <c r="L46" s="116"/>
      <c r="M46" s="116"/>
      <c r="N46" s="116"/>
      <c r="O46" s="116"/>
      <c r="P46" s="116" t="s">
        <v>152</v>
      </c>
      <c r="Q46" s="116"/>
      <c r="R46" s="116"/>
    </row>
    <row r="47" spans="1:18" ht="25.5">
      <c r="A47" s="116" t="s">
        <v>2715</v>
      </c>
      <c r="B47" s="116"/>
      <c r="C47" s="116"/>
      <c r="D47" s="116"/>
      <c r="E47" s="116"/>
      <c r="F47" s="116"/>
      <c r="G47" s="116"/>
      <c r="H47" s="116"/>
      <c r="I47" s="116"/>
      <c r="J47" s="116"/>
      <c r="K47" s="116"/>
      <c r="L47" s="116"/>
      <c r="M47" s="116"/>
      <c r="N47" s="116"/>
      <c r="O47" s="116"/>
      <c r="P47" s="116" t="s">
        <v>152</v>
      </c>
      <c r="Q47" s="116"/>
      <c r="R47" s="116"/>
    </row>
    <row r="48" spans="1:18" ht="25.5">
      <c r="A48" s="116" t="s">
        <v>2716</v>
      </c>
      <c r="B48" s="116"/>
      <c r="C48" s="116"/>
      <c r="D48" s="116"/>
      <c r="E48" s="116"/>
      <c r="F48" s="116"/>
      <c r="G48" s="116"/>
      <c r="H48" s="116"/>
      <c r="I48" s="116"/>
      <c r="J48" s="116"/>
      <c r="K48" s="116"/>
      <c r="L48" s="116"/>
      <c r="M48" s="116"/>
      <c r="N48" s="116"/>
      <c r="O48" s="116"/>
      <c r="P48" s="116" t="s">
        <v>152</v>
      </c>
      <c r="Q48" s="116"/>
      <c r="R48" s="116"/>
    </row>
    <row r="49" spans="1:18" ht="25.5">
      <c r="A49" s="116" t="s">
        <v>2717</v>
      </c>
      <c r="B49" s="116"/>
      <c r="C49" s="116"/>
      <c r="D49" s="116"/>
      <c r="E49" s="116"/>
      <c r="F49" s="116"/>
      <c r="G49" s="116"/>
      <c r="H49" s="116"/>
      <c r="I49" s="116"/>
      <c r="J49" s="116"/>
      <c r="K49" s="116"/>
      <c r="L49" s="116"/>
      <c r="M49" s="116"/>
      <c r="N49" s="116"/>
      <c r="O49" s="116"/>
      <c r="P49" s="116" t="s">
        <v>152</v>
      </c>
      <c r="Q49" s="116"/>
      <c r="R49" s="116"/>
    </row>
    <row r="50" spans="1:18" ht="25.5">
      <c r="A50" s="116" t="s">
        <v>2718</v>
      </c>
      <c r="B50" s="116"/>
      <c r="C50" s="116"/>
      <c r="D50" s="116"/>
      <c r="E50" s="116"/>
      <c r="F50" s="116"/>
      <c r="G50" s="116"/>
      <c r="H50" s="116"/>
      <c r="I50" s="116"/>
      <c r="J50" s="116"/>
      <c r="K50" s="116"/>
      <c r="L50" s="116"/>
      <c r="M50" s="116"/>
      <c r="N50" s="116"/>
      <c r="O50" s="116"/>
      <c r="P50" s="116" t="s">
        <v>152</v>
      </c>
      <c r="Q50" s="116"/>
      <c r="R50" s="116"/>
    </row>
    <row r="51" spans="1:18" ht="25.5">
      <c r="A51" s="116" t="s">
        <v>2719</v>
      </c>
      <c r="B51" s="116"/>
      <c r="C51" s="116"/>
      <c r="D51" s="116"/>
      <c r="E51" s="116"/>
      <c r="F51" s="116"/>
      <c r="G51" s="116"/>
      <c r="H51" s="116"/>
      <c r="I51" s="116"/>
      <c r="J51" s="116"/>
      <c r="K51" s="116"/>
      <c r="L51" s="116"/>
      <c r="M51" s="116"/>
      <c r="N51" s="116"/>
      <c r="O51" s="116"/>
      <c r="P51" s="116" t="s">
        <v>152</v>
      </c>
      <c r="Q51" s="116"/>
      <c r="R51" s="116"/>
    </row>
    <row r="52" spans="1:18" ht="25.5">
      <c r="A52" s="116" t="s">
        <v>2720</v>
      </c>
      <c r="B52" s="116"/>
      <c r="C52" s="116"/>
      <c r="D52" s="116"/>
      <c r="E52" s="116"/>
      <c r="F52" s="116"/>
      <c r="G52" s="116"/>
      <c r="H52" s="116"/>
      <c r="I52" s="116"/>
      <c r="J52" s="116"/>
      <c r="K52" s="116"/>
      <c r="L52" s="116"/>
      <c r="M52" s="116"/>
      <c r="N52" s="116"/>
      <c r="O52" s="116"/>
      <c r="P52" s="116" t="s">
        <v>152</v>
      </c>
      <c r="Q52" s="116"/>
      <c r="R52" s="116"/>
    </row>
  </sheetData>
  <mergeCells count="7">
    <mergeCell ref="A38:R38"/>
    <mergeCell ref="A1:R1"/>
    <mergeCell ref="A2:R2"/>
    <mergeCell ref="A3:R3"/>
    <mergeCell ref="A4:R4"/>
    <mergeCell ref="A6:R6"/>
    <mergeCell ref="A22:R22"/>
  </mergeCells>
  <dataValidations count="2">
    <dataValidation type="list" allowBlank="1" showInputMessage="1" showErrorMessage="1" sqref="J8:J20 M8:M20 H24:H36 J24:J36 K24:K36 J40:J52 K40:K52" xr:uid="{910CBB10-0967-428B-82DB-409428CF7605}">
      <formula1>"Y,N,NA"</formula1>
    </dataValidation>
    <dataValidation type="list" allowBlank="1" showInputMessage="1" showErrorMessage="1" sqref="Q8:Q20 P24:P36 P40:P52" xr:uid="{A37680D2-2C70-4B8C-B53E-BE591ED22E83}">
      <formula1>"Not Started,In Progress,On Hold,Complete"</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sheetPr>
  <dimension ref="A1:N110"/>
  <sheetViews>
    <sheetView showGridLines="0" topLeftCell="A3" workbookViewId="0"/>
  </sheetViews>
  <sheetFormatPr defaultRowHeight="15"/>
  <cols>
    <col min="1" max="1" width="10" customWidth="1"/>
    <col min="2" max="2" width="26" customWidth="1"/>
    <col min="3" max="3" width="20" customWidth="1"/>
    <col min="4" max="4" width="22" customWidth="1"/>
    <col min="5" max="6" width="14" customWidth="1"/>
    <col min="7" max="7" width="12" customWidth="1"/>
    <col min="8" max="8" width="14" customWidth="1"/>
    <col min="9" max="9" width="16" customWidth="1"/>
    <col min="10" max="10" width="12" customWidth="1"/>
    <col min="11" max="11" width="28" customWidth="1"/>
    <col min="12" max="12" width="18" customWidth="1"/>
    <col min="13" max="13" width="28" customWidth="1"/>
    <col min="14" max="14" width="18" customWidth="1"/>
  </cols>
  <sheetData>
    <row r="1" spans="1:14" s="48" customFormat="1">
      <c r="A1" s="186" t="s">
        <v>2721</v>
      </c>
      <c r="B1" s="186"/>
      <c r="C1" s="186"/>
      <c r="D1" s="186"/>
      <c r="E1" s="186"/>
      <c r="F1" s="186"/>
      <c r="G1" s="186"/>
      <c r="H1" s="186"/>
      <c r="I1" s="186"/>
      <c r="J1" s="186"/>
      <c r="K1" s="186"/>
      <c r="L1" s="186"/>
      <c r="M1" s="186"/>
      <c r="N1" s="186"/>
    </row>
    <row r="2" spans="1:14" ht="24" customHeight="1">
      <c r="A2" s="56" t="s">
        <v>0</v>
      </c>
      <c r="B2" s="56"/>
      <c r="C2" s="56"/>
      <c r="D2" s="56"/>
      <c r="E2" s="56"/>
      <c r="F2" s="56"/>
      <c r="G2" s="56"/>
      <c r="H2" s="56"/>
      <c r="I2" s="56"/>
      <c r="J2" s="56"/>
      <c r="K2" s="56"/>
      <c r="L2" s="56"/>
      <c r="M2" s="56"/>
      <c r="N2" s="56"/>
    </row>
    <row r="3" spans="1:14" ht="30" customHeight="1">
      <c r="A3" s="45" t="s">
        <v>2722</v>
      </c>
      <c r="B3" s="45"/>
      <c r="C3" s="45"/>
      <c r="D3" s="45"/>
      <c r="E3" s="45"/>
      <c r="F3" s="45"/>
      <c r="G3" s="45"/>
      <c r="H3" s="45"/>
      <c r="I3" s="45"/>
      <c r="J3" s="45"/>
      <c r="K3" s="45"/>
      <c r="L3" s="45"/>
      <c r="M3" s="45"/>
      <c r="N3" s="45"/>
    </row>
    <row r="4" spans="1:14" ht="30" customHeight="1">
      <c r="A4" s="44" t="s">
        <v>2723</v>
      </c>
      <c r="B4" s="44"/>
      <c r="C4" s="44"/>
      <c r="D4" s="44"/>
      <c r="E4" s="44"/>
      <c r="F4" s="44"/>
      <c r="G4" s="44"/>
      <c r="H4" s="44"/>
      <c r="I4" s="44"/>
      <c r="J4" s="44"/>
      <c r="K4" s="44"/>
      <c r="L4" s="44"/>
      <c r="M4" s="44"/>
      <c r="N4" s="44"/>
    </row>
    <row r="5" spans="1:14" ht="30" customHeight="1">
      <c r="A5" s="46"/>
      <c r="B5" s="46"/>
      <c r="C5" s="46"/>
      <c r="D5" s="46"/>
      <c r="E5" s="46"/>
      <c r="F5" s="46"/>
      <c r="G5" s="46"/>
      <c r="H5" s="46"/>
      <c r="I5" s="46"/>
      <c r="J5" s="46"/>
      <c r="K5" s="46"/>
      <c r="L5" s="46"/>
      <c r="M5" s="46"/>
      <c r="N5" s="46"/>
    </row>
    <row r="6" spans="1:14" ht="21.95" customHeight="1">
      <c r="A6" s="91" t="s">
        <v>2724</v>
      </c>
      <c r="B6" s="57"/>
      <c r="C6" s="57"/>
      <c r="D6" s="57"/>
      <c r="E6" s="57"/>
      <c r="F6" s="57"/>
      <c r="G6" s="57"/>
      <c r="H6" s="57"/>
      <c r="I6" s="57"/>
      <c r="J6" s="57"/>
      <c r="K6" s="57"/>
      <c r="L6" s="57"/>
      <c r="M6" s="57"/>
      <c r="N6" s="57"/>
    </row>
    <row r="7" spans="1:14" ht="33.950000000000003" customHeight="1">
      <c r="A7" s="36" t="s">
        <v>1740</v>
      </c>
      <c r="B7" s="36" t="s">
        <v>2725</v>
      </c>
      <c r="C7" s="36" t="s">
        <v>2726</v>
      </c>
      <c r="D7" s="36" t="s">
        <v>1744</v>
      </c>
      <c r="E7" s="36" t="s">
        <v>2727</v>
      </c>
      <c r="F7" s="36" t="s">
        <v>2728</v>
      </c>
      <c r="G7" s="36" t="s">
        <v>2729</v>
      </c>
      <c r="H7" s="36" t="s">
        <v>1750</v>
      </c>
      <c r="I7" s="36" t="s">
        <v>2730</v>
      </c>
      <c r="J7" s="36" t="s">
        <v>2731</v>
      </c>
      <c r="K7" s="36" t="s">
        <v>578</v>
      </c>
      <c r="L7" s="36" t="s">
        <v>1751</v>
      </c>
      <c r="M7" s="36" t="s">
        <v>70</v>
      </c>
      <c r="N7" s="36" t="s">
        <v>2732</v>
      </c>
    </row>
    <row r="8" spans="1:14">
      <c r="A8" s="37">
        <v>1</v>
      </c>
      <c r="B8" s="37"/>
      <c r="C8" s="37"/>
      <c r="D8" s="37"/>
      <c r="E8" s="37"/>
      <c r="F8" s="40"/>
      <c r="G8" s="41"/>
      <c r="H8" s="40">
        <f>IFERROR(E8*F8*(1+G8),"")</f>
        <v>0</v>
      </c>
      <c r="I8" s="37"/>
      <c r="J8" s="37"/>
      <c r="K8" s="37"/>
      <c r="L8" s="37"/>
      <c r="M8" s="37"/>
      <c r="N8" s="37"/>
    </row>
    <row r="9" spans="1:14">
      <c r="A9" s="37">
        <v>2</v>
      </c>
      <c r="B9" s="37"/>
      <c r="C9" s="37"/>
      <c r="D9" s="37"/>
      <c r="E9" s="37"/>
      <c r="F9" s="40"/>
      <c r="G9" s="41"/>
      <c r="H9" s="40">
        <f>IFERROR(E9*F9*(1+G9),"")</f>
        <v>0</v>
      </c>
      <c r="I9" s="37"/>
      <c r="J9" s="37"/>
      <c r="K9" s="37"/>
      <c r="L9" s="37"/>
      <c r="M9" s="37"/>
      <c r="N9" s="37"/>
    </row>
    <row r="10" spans="1:14">
      <c r="A10" s="37">
        <v>3</v>
      </c>
      <c r="B10" s="37"/>
      <c r="C10" s="37"/>
      <c r="D10" s="37"/>
      <c r="E10" s="37"/>
      <c r="F10" s="40"/>
      <c r="G10" s="41"/>
      <c r="H10" s="40">
        <f>IFERROR(E10*F10*(1+G10),"")</f>
        <v>0</v>
      </c>
      <c r="I10" s="37"/>
      <c r="J10" s="37"/>
      <c r="K10" s="37"/>
      <c r="L10" s="37"/>
      <c r="M10" s="37"/>
      <c r="N10" s="37"/>
    </row>
    <row r="11" spans="1:14">
      <c r="A11" s="37">
        <v>4</v>
      </c>
      <c r="B11" s="37"/>
      <c r="C11" s="37"/>
      <c r="D11" s="37"/>
      <c r="E11" s="37"/>
      <c r="F11" s="40"/>
      <c r="G11" s="41"/>
      <c r="H11" s="40">
        <f>IFERROR(E11*F11*(1+G11),"")</f>
        <v>0</v>
      </c>
      <c r="I11" s="37"/>
      <c r="J11" s="37"/>
      <c r="K11" s="37"/>
      <c r="L11" s="37"/>
      <c r="M11" s="37"/>
      <c r="N11" s="37"/>
    </row>
    <row r="12" spans="1:14">
      <c r="A12" s="37">
        <v>5</v>
      </c>
      <c r="B12" s="37"/>
      <c r="C12" s="37"/>
      <c r="D12" s="37"/>
      <c r="E12" s="37"/>
      <c r="F12" s="40"/>
      <c r="G12" s="41"/>
      <c r="H12" s="40">
        <f>IFERROR(E12*F12*(1+G12),"")</f>
        <v>0</v>
      </c>
      <c r="I12" s="37"/>
      <c r="J12" s="37"/>
      <c r="K12" s="37"/>
      <c r="L12" s="37"/>
      <c r="M12" s="37"/>
      <c r="N12" s="37"/>
    </row>
    <row r="13" spans="1:14">
      <c r="A13" s="37">
        <v>6</v>
      </c>
      <c r="B13" s="37"/>
      <c r="C13" s="37"/>
      <c r="D13" s="37"/>
      <c r="E13" s="37"/>
      <c r="F13" s="40"/>
      <c r="G13" s="41"/>
      <c r="H13" s="40">
        <f>IFERROR(E13*F13*(1+G13),"")</f>
        <v>0</v>
      </c>
      <c r="I13" s="37"/>
      <c r="J13" s="37"/>
      <c r="K13" s="37"/>
      <c r="L13" s="37"/>
      <c r="M13" s="37"/>
      <c r="N13" s="37"/>
    </row>
    <row r="14" spans="1:14">
      <c r="A14" s="37">
        <v>7</v>
      </c>
      <c r="B14" s="37"/>
      <c r="C14" s="37"/>
      <c r="D14" s="37"/>
      <c r="E14" s="37"/>
      <c r="F14" s="40"/>
      <c r="G14" s="41"/>
      <c r="H14" s="40">
        <f>IFERROR(E14*F14*(1+G14),"")</f>
        <v>0</v>
      </c>
      <c r="I14" s="37"/>
      <c r="J14" s="37"/>
      <c r="K14" s="37"/>
      <c r="L14" s="37"/>
      <c r="M14" s="37"/>
      <c r="N14" s="37"/>
    </row>
    <row r="15" spans="1:14">
      <c r="A15" s="37">
        <v>8</v>
      </c>
      <c r="B15" s="37"/>
      <c r="C15" s="37"/>
      <c r="D15" s="37"/>
      <c r="E15" s="37"/>
      <c r="F15" s="40"/>
      <c r="G15" s="41"/>
      <c r="H15" s="40">
        <f>IFERROR(E15*F15*(1+G15),"")</f>
        <v>0</v>
      </c>
      <c r="I15" s="37"/>
      <c r="J15" s="37"/>
      <c r="K15" s="37"/>
      <c r="L15" s="37"/>
      <c r="M15" s="37"/>
      <c r="N15" s="37"/>
    </row>
    <row r="16" spans="1:14">
      <c r="A16" s="37">
        <v>9</v>
      </c>
      <c r="B16" s="37"/>
      <c r="C16" s="37"/>
      <c r="D16" s="37"/>
      <c r="E16" s="37"/>
      <c r="F16" s="40"/>
      <c r="G16" s="41"/>
      <c r="H16" s="40">
        <f>IFERROR(E16*F16*(1+G16),"")</f>
        <v>0</v>
      </c>
      <c r="I16" s="37"/>
      <c r="J16" s="37"/>
      <c r="K16" s="37"/>
      <c r="L16" s="37"/>
      <c r="M16" s="37"/>
      <c r="N16" s="37"/>
    </row>
    <row r="17" spans="1:14">
      <c r="A17" s="37">
        <v>10</v>
      </c>
      <c r="B17" s="37"/>
      <c r="C17" s="37"/>
      <c r="D17" s="37"/>
      <c r="E17" s="37"/>
      <c r="F17" s="40"/>
      <c r="G17" s="41"/>
      <c r="H17" s="40">
        <f>IFERROR(E17*F17*(1+G17),"")</f>
        <v>0</v>
      </c>
      <c r="I17" s="37"/>
      <c r="J17" s="37"/>
      <c r="K17" s="37"/>
      <c r="L17" s="37"/>
      <c r="M17" s="37"/>
      <c r="N17" s="37"/>
    </row>
    <row r="18" spans="1:14">
      <c r="A18" s="37">
        <v>11</v>
      </c>
      <c r="B18" s="37"/>
      <c r="C18" s="37"/>
      <c r="D18" s="37"/>
      <c r="E18" s="37"/>
      <c r="F18" s="40"/>
      <c r="G18" s="41"/>
      <c r="H18" s="40">
        <f>IFERROR(E18*F18*(1+G18),"")</f>
        <v>0</v>
      </c>
      <c r="I18" s="37"/>
      <c r="J18" s="37"/>
      <c r="K18" s="37"/>
      <c r="L18" s="37"/>
      <c r="M18" s="37"/>
      <c r="N18" s="37"/>
    </row>
    <row r="19" spans="1:14">
      <c r="A19" s="37">
        <v>12</v>
      </c>
      <c r="B19" s="37"/>
      <c r="C19" s="37"/>
      <c r="D19" s="37"/>
      <c r="E19" s="37"/>
      <c r="F19" s="40"/>
      <c r="G19" s="41"/>
      <c r="H19" s="40">
        <f>IFERROR(E19*F19*(1+G19),"")</f>
        <v>0</v>
      </c>
      <c r="I19" s="37"/>
      <c r="J19" s="37"/>
      <c r="K19" s="37"/>
      <c r="L19" s="37"/>
      <c r="M19" s="37"/>
      <c r="N19" s="37"/>
    </row>
    <row r="20" spans="1:14">
      <c r="A20" s="37">
        <v>13</v>
      </c>
      <c r="B20" s="37"/>
      <c r="C20" s="37"/>
      <c r="D20" s="37"/>
      <c r="E20" s="37"/>
      <c r="F20" s="40"/>
      <c r="G20" s="41"/>
      <c r="H20" s="40">
        <f>IFERROR(E20*F20*(1+G20),"")</f>
        <v>0</v>
      </c>
      <c r="I20" s="37"/>
      <c r="J20" s="37"/>
      <c r="K20" s="37"/>
      <c r="L20" s="37"/>
      <c r="M20" s="37"/>
      <c r="N20" s="37"/>
    </row>
    <row r="21" spans="1:14">
      <c r="A21" s="37">
        <v>14</v>
      </c>
      <c r="B21" s="37"/>
      <c r="C21" s="37"/>
      <c r="D21" s="37"/>
      <c r="E21" s="37"/>
      <c r="F21" s="40"/>
      <c r="G21" s="41"/>
      <c r="H21" s="40">
        <f>IFERROR(E21*F21*(1+G21),"")</f>
        <v>0</v>
      </c>
      <c r="I21" s="37"/>
      <c r="J21" s="37"/>
      <c r="K21" s="37"/>
      <c r="L21" s="37"/>
      <c r="M21" s="37"/>
      <c r="N21" s="37"/>
    </row>
    <row r="22" spans="1:14">
      <c r="A22" s="37">
        <v>15</v>
      </c>
      <c r="B22" s="37"/>
      <c r="C22" s="37"/>
      <c r="D22" s="37"/>
      <c r="E22" s="37"/>
      <c r="F22" s="40"/>
      <c r="G22" s="41"/>
      <c r="H22" s="40">
        <f>IFERROR(E22*F22*(1+G22),"")</f>
        <v>0</v>
      </c>
      <c r="I22" s="37"/>
      <c r="J22" s="37"/>
      <c r="K22" s="37"/>
      <c r="L22" s="37"/>
      <c r="M22" s="37"/>
      <c r="N22" s="37"/>
    </row>
    <row r="23" spans="1:14">
      <c r="A23" s="37">
        <v>16</v>
      </c>
      <c r="B23" s="37"/>
      <c r="C23" s="37"/>
      <c r="D23" s="37"/>
      <c r="E23" s="37"/>
      <c r="F23" s="40"/>
      <c r="G23" s="41"/>
      <c r="H23" s="40">
        <f>IFERROR(E23*F23*(1+G23),"")</f>
        <v>0</v>
      </c>
      <c r="I23" s="37"/>
      <c r="J23" s="37"/>
      <c r="K23" s="37"/>
      <c r="L23" s="37"/>
      <c r="M23" s="37"/>
      <c r="N23" s="37"/>
    </row>
    <row r="24" spans="1:14">
      <c r="A24" s="37">
        <v>17</v>
      </c>
      <c r="B24" s="37"/>
      <c r="C24" s="37"/>
      <c r="D24" s="37"/>
      <c r="E24" s="37"/>
      <c r="F24" s="40"/>
      <c r="G24" s="41"/>
      <c r="H24" s="40">
        <f>IFERROR(E24*F24*(1+G24),"")</f>
        <v>0</v>
      </c>
      <c r="I24" s="37"/>
      <c r="J24" s="37"/>
      <c r="K24" s="37"/>
      <c r="L24" s="37"/>
      <c r="M24" s="37"/>
      <c r="N24" s="37"/>
    </row>
    <row r="25" spans="1:14">
      <c r="A25" s="37">
        <v>18</v>
      </c>
      <c r="B25" s="37"/>
      <c r="C25" s="37"/>
      <c r="D25" s="37"/>
      <c r="E25" s="37"/>
      <c r="F25" s="40"/>
      <c r="G25" s="41"/>
      <c r="H25" s="40">
        <f>IFERROR(E25*F25*(1+G25),"")</f>
        <v>0</v>
      </c>
      <c r="I25" s="37"/>
      <c r="J25" s="37"/>
      <c r="K25" s="37"/>
      <c r="L25" s="37"/>
      <c r="M25" s="37"/>
      <c r="N25" s="37"/>
    </row>
    <row r="26" spans="1:14">
      <c r="A26" s="37">
        <v>19</v>
      </c>
      <c r="B26" s="37"/>
      <c r="C26" s="37"/>
      <c r="D26" s="37"/>
      <c r="E26" s="37"/>
      <c r="F26" s="40"/>
      <c r="G26" s="41"/>
      <c r="H26" s="40">
        <f>IFERROR(E26*F26*(1+G26),"")</f>
        <v>0</v>
      </c>
      <c r="I26" s="37"/>
      <c r="J26" s="37"/>
      <c r="K26" s="37"/>
      <c r="L26" s="37"/>
      <c r="M26" s="37"/>
      <c r="N26" s="37"/>
    </row>
    <row r="27" spans="1:14">
      <c r="A27" s="37">
        <v>20</v>
      </c>
      <c r="B27" s="37"/>
      <c r="C27" s="37"/>
      <c r="D27" s="37"/>
      <c r="E27" s="37"/>
      <c r="F27" s="40"/>
      <c r="G27" s="41"/>
      <c r="H27" s="40">
        <f>IFERROR(E27*F27*(1+G27),"")</f>
        <v>0</v>
      </c>
      <c r="I27" s="37"/>
      <c r="J27" s="37"/>
      <c r="K27" s="37"/>
      <c r="L27" s="37"/>
      <c r="M27" s="37"/>
      <c r="N27" s="37"/>
    </row>
    <row r="28" spans="1:14">
      <c r="A28" s="37">
        <v>21</v>
      </c>
      <c r="B28" s="37"/>
      <c r="C28" s="37"/>
      <c r="D28" s="37"/>
      <c r="E28" s="37"/>
      <c r="F28" s="40"/>
      <c r="G28" s="41"/>
      <c r="H28" s="40">
        <f>IFERROR(E28*F28*(1+G28),"")</f>
        <v>0</v>
      </c>
      <c r="I28" s="37"/>
      <c r="J28" s="37"/>
      <c r="K28" s="37"/>
      <c r="L28" s="37"/>
      <c r="M28" s="37"/>
      <c r="N28" s="37"/>
    </row>
    <row r="29" spans="1:14">
      <c r="A29" s="37">
        <v>22</v>
      </c>
      <c r="B29" s="37"/>
      <c r="C29" s="37"/>
      <c r="D29" s="37"/>
      <c r="E29" s="37"/>
      <c r="F29" s="40"/>
      <c r="G29" s="41"/>
      <c r="H29" s="40">
        <f>IFERROR(E29*F29*(1+G29),"")</f>
        <v>0</v>
      </c>
      <c r="I29" s="37"/>
      <c r="J29" s="37"/>
      <c r="K29" s="37"/>
      <c r="L29" s="37"/>
      <c r="M29" s="37"/>
      <c r="N29" s="37"/>
    </row>
    <row r="30" spans="1:14">
      <c r="A30" s="37">
        <v>23</v>
      </c>
      <c r="B30" s="37"/>
      <c r="C30" s="37"/>
      <c r="D30" s="37"/>
      <c r="E30" s="37"/>
      <c r="F30" s="40"/>
      <c r="G30" s="41"/>
      <c r="H30" s="40">
        <f>IFERROR(E30*F30*(1+G30),"")</f>
        <v>0</v>
      </c>
      <c r="I30" s="37"/>
      <c r="J30" s="37"/>
      <c r="K30" s="37"/>
      <c r="L30" s="37"/>
      <c r="M30" s="37"/>
      <c r="N30" s="37"/>
    </row>
    <row r="31" spans="1:14">
      <c r="A31" s="37">
        <v>24</v>
      </c>
      <c r="B31" s="37"/>
      <c r="C31" s="37"/>
      <c r="D31" s="37"/>
      <c r="E31" s="37"/>
      <c r="F31" s="40"/>
      <c r="G31" s="41"/>
      <c r="H31" s="40">
        <f>IFERROR(E31*F31*(1+G31),"")</f>
        <v>0</v>
      </c>
      <c r="I31" s="37"/>
      <c r="J31" s="37"/>
      <c r="K31" s="37"/>
      <c r="L31" s="37"/>
      <c r="M31" s="37"/>
      <c r="N31" s="37"/>
    </row>
    <row r="32" spans="1:14">
      <c r="A32" s="37">
        <v>25</v>
      </c>
      <c r="B32" s="37"/>
      <c r="C32" s="37"/>
      <c r="D32" s="37"/>
      <c r="E32" s="37"/>
      <c r="F32" s="40"/>
      <c r="G32" s="41"/>
      <c r="H32" s="40">
        <f>IFERROR(E32*F32*(1+G32),"")</f>
        <v>0</v>
      </c>
      <c r="I32" s="37"/>
      <c r="J32" s="37"/>
      <c r="K32" s="37"/>
      <c r="L32" s="37"/>
      <c r="M32" s="37"/>
      <c r="N32" s="37"/>
    </row>
    <row r="33" spans="1:14">
      <c r="A33" s="37">
        <v>26</v>
      </c>
      <c r="B33" s="37"/>
      <c r="C33" s="37"/>
      <c r="D33" s="37"/>
      <c r="E33" s="37"/>
      <c r="F33" s="40"/>
      <c r="G33" s="41"/>
      <c r="H33" s="40">
        <f>IFERROR(E33*F33*(1+G33),"")</f>
        <v>0</v>
      </c>
      <c r="I33" s="37"/>
      <c r="J33" s="37"/>
      <c r="K33" s="37"/>
      <c r="L33" s="37"/>
      <c r="M33" s="37"/>
      <c r="N33" s="37"/>
    </row>
    <row r="34" spans="1:14">
      <c r="A34" s="37">
        <v>27</v>
      </c>
      <c r="B34" s="37"/>
      <c r="C34" s="37"/>
      <c r="D34" s="37"/>
      <c r="E34" s="37"/>
      <c r="F34" s="40"/>
      <c r="G34" s="41"/>
      <c r="H34" s="40">
        <f>IFERROR(E34*F34*(1+G34),"")</f>
        <v>0</v>
      </c>
      <c r="I34" s="37"/>
      <c r="J34" s="37"/>
      <c r="K34" s="37"/>
      <c r="L34" s="37"/>
      <c r="M34" s="37"/>
      <c r="N34" s="37"/>
    </row>
    <row r="35" spans="1:14">
      <c r="A35" s="37">
        <v>28</v>
      </c>
      <c r="B35" s="37"/>
      <c r="C35" s="37"/>
      <c r="D35" s="37"/>
      <c r="E35" s="37"/>
      <c r="F35" s="40"/>
      <c r="G35" s="41"/>
      <c r="H35" s="40">
        <f>IFERROR(E35*F35*(1+G35),"")</f>
        <v>0</v>
      </c>
      <c r="I35" s="37"/>
      <c r="J35" s="37"/>
      <c r="K35" s="37"/>
      <c r="L35" s="37"/>
      <c r="M35" s="37"/>
      <c r="N35" s="37"/>
    </row>
    <row r="36" spans="1:14">
      <c r="A36" s="37">
        <v>29</v>
      </c>
      <c r="B36" s="37"/>
      <c r="C36" s="37"/>
      <c r="D36" s="37"/>
      <c r="E36" s="37"/>
      <c r="F36" s="40"/>
      <c r="G36" s="41"/>
      <c r="H36" s="40">
        <f>IFERROR(E36*F36*(1+G36),"")</f>
        <v>0</v>
      </c>
      <c r="I36" s="37"/>
      <c r="J36" s="37"/>
      <c r="K36" s="37"/>
      <c r="L36" s="37"/>
      <c r="M36" s="37"/>
      <c r="N36" s="37"/>
    </row>
    <row r="37" spans="1:14">
      <c r="A37" s="37">
        <v>30</v>
      </c>
      <c r="B37" s="37"/>
      <c r="C37" s="37"/>
      <c r="D37" s="37"/>
      <c r="E37" s="37"/>
      <c r="F37" s="40"/>
      <c r="G37" s="41"/>
      <c r="H37" s="40">
        <f>IFERROR(E37*F37*(1+G37),"")</f>
        <v>0</v>
      </c>
      <c r="I37" s="37"/>
      <c r="J37" s="37"/>
      <c r="K37" s="37"/>
      <c r="L37" s="37"/>
      <c r="M37" s="37"/>
      <c r="N37" s="37"/>
    </row>
    <row r="38" spans="1:14">
      <c r="A38" s="37">
        <v>31</v>
      </c>
      <c r="B38" s="37"/>
      <c r="C38" s="37"/>
      <c r="D38" s="37"/>
      <c r="E38" s="37"/>
      <c r="F38" s="40"/>
      <c r="G38" s="41"/>
      <c r="H38" s="40">
        <f>IFERROR(E38*F38*(1+G38),"")</f>
        <v>0</v>
      </c>
      <c r="I38" s="37"/>
      <c r="J38" s="37"/>
      <c r="K38" s="37"/>
      <c r="L38" s="37"/>
      <c r="M38" s="37"/>
      <c r="N38" s="37"/>
    </row>
    <row r="39" spans="1:14">
      <c r="A39" s="37">
        <v>32</v>
      </c>
      <c r="B39" s="37"/>
      <c r="C39" s="37"/>
      <c r="D39" s="37"/>
      <c r="E39" s="37"/>
      <c r="F39" s="40"/>
      <c r="G39" s="41"/>
      <c r="H39" s="40">
        <f>IFERROR(E39*F39*(1+G39),"")</f>
        <v>0</v>
      </c>
      <c r="I39" s="37"/>
      <c r="J39" s="37"/>
      <c r="K39" s="37"/>
      <c r="L39" s="37"/>
      <c r="M39" s="37"/>
      <c r="N39" s="37"/>
    </row>
    <row r="40" spans="1:14">
      <c r="A40" s="37">
        <v>33</v>
      </c>
      <c r="B40" s="37"/>
      <c r="C40" s="37"/>
      <c r="D40" s="37"/>
      <c r="E40" s="37"/>
      <c r="F40" s="40"/>
      <c r="G40" s="41"/>
      <c r="H40" s="40">
        <f>IFERROR(E40*F40*(1+G40),"")</f>
        <v>0</v>
      </c>
      <c r="I40" s="37"/>
      <c r="J40" s="37"/>
      <c r="K40" s="37"/>
      <c r="L40" s="37"/>
      <c r="M40" s="37"/>
      <c r="N40" s="37"/>
    </row>
    <row r="41" spans="1:14">
      <c r="A41" s="37">
        <v>34</v>
      </c>
      <c r="B41" s="37"/>
      <c r="C41" s="37"/>
      <c r="D41" s="37"/>
      <c r="E41" s="37"/>
      <c r="F41" s="40"/>
      <c r="G41" s="41"/>
      <c r="H41" s="40">
        <f>IFERROR(E41*F41*(1+G41),"")</f>
        <v>0</v>
      </c>
      <c r="I41" s="37"/>
      <c r="J41" s="37"/>
      <c r="K41" s="37"/>
      <c r="L41" s="37"/>
      <c r="M41" s="37"/>
      <c r="N41" s="37"/>
    </row>
    <row r="42" spans="1:14">
      <c r="A42" s="37">
        <v>35</v>
      </c>
      <c r="B42" s="37"/>
      <c r="C42" s="37"/>
      <c r="D42" s="37"/>
      <c r="E42" s="37"/>
      <c r="F42" s="40"/>
      <c r="G42" s="41"/>
      <c r="H42" s="40">
        <f>IFERROR(E42*F42*(1+G42),"")</f>
        <v>0</v>
      </c>
      <c r="I42" s="37"/>
      <c r="J42" s="37"/>
      <c r="K42" s="37"/>
      <c r="L42" s="37"/>
      <c r="M42" s="37"/>
      <c r="N42" s="37"/>
    </row>
    <row r="43" spans="1:14">
      <c r="A43" s="37">
        <v>36</v>
      </c>
      <c r="B43" s="37"/>
      <c r="C43" s="37"/>
      <c r="D43" s="37"/>
      <c r="E43" s="37"/>
      <c r="F43" s="40"/>
      <c r="G43" s="41"/>
      <c r="H43" s="40">
        <f>IFERROR(E43*F43*(1+G43),"")</f>
        <v>0</v>
      </c>
      <c r="I43" s="37"/>
      <c r="J43" s="37"/>
      <c r="K43" s="37"/>
      <c r="L43" s="37"/>
      <c r="M43" s="37"/>
      <c r="N43" s="37"/>
    </row>
    <row r="44" spans="1:14">
      <c r="A44" s="37">
        <v>37</v>
      </c>
      <c r="B44" s="37"/>
      <c r="C44" s="37"/>
      <c r="D44" s="37"/>
      <c r="E44" s="37"/>
      <c r="F44" s="40"/>
      <c r="G44" s="41"/>
      <c r="H44" s="40">
        <f>IFERROR(E44*F44*(1+G44),"")</f>
        <v>0</v>
      </c>
      <c r="I44" s="37"/>
      <c r="J44" s="37"/>
      <c r="K44" s="37"/>
      <c r="L44" s="37"/>
      <c r="M44" s="37"/>
      <c r="N44" s="37"/>
    </row>
    <row r="45" spans="1:14">
      <c r="A45" s="37">
        <v>38</v>
      </c>
      <c r="B45" s="37"/>
      <c r="C45" s="37"/>
      <c r="D45" s="37"/>
      <c r="E45" s="37"/>
      <c r="F45" s="40"/>
      <c r="G45" s="41"/>
      <c r="H45" s="40">
        <f>IFERROR(E45*F45*(1+G45),"")</f>
        <v>0</v>
      </c>
      <c r="I45" s="37"/>
      <c r="J45" s="37"/>
      <c r="K45" s="37"/>
      <c r="L45" s="37"/>
      <c r="M45" s="37"/>
      <c r="N45" s="37"/>
    </row>
    <row r="46" spans="1:14">
      <c r="A46" s="37">
        <v>39</v>
      </c>
      <c r="B46" s="37"/>
      <c r="C46" s="37"/>
      <c r="D46" s="37"/>
      <c r="E46" s="37"/>
      <c r="F46" s="40"/>
      <c r="G46" s="41"/>
      <c r="H46" s="40">
        <f>IFERROR(E46*F46*(1+G46),"")</f>
        <v>0</v>
      </c>
      <c r="I46" s="37"/>
      <c r="J46" s="37"/>
      <c r="K46" s="37"/>
      <c r="L46" s="37"/>
      <c r="M46" s="37"/>
      <c r="N46" s="37"/>
    </row>
    <row r="47" spans="1:14">
      <c r="A47" s="37">
        <v>40</v>
      </c>
      <c r="B47" s="37"/>
      <c r="C47" s="37"/>
      <c r="D47" s="37"/>
      <c r="E47" s="37"/>
      <c r="F47" s="40"/>
      <c r="G47" s="41"/>
      <c r="H47" s="40">
        <f>IFERROR(E47*F47*(1+G47),"")</f>
        <v>0</v>
      </c>
      <c r="I47" s="37"/>
      <c r="J47" s="37"/>
      <c r="K47" s="37"/>
      <c r="L47" s="37"/>
      <c r="M47" s="37"/>
      <c r="N47" s="37"/>
    </row>
    <row r="48" spans="1:14">
      <c r="A48" s="37">
        <v>41</v>
      </c>
      <c r="B48" s="37"/>
      <c r="C48" s="37"/>
      <c r="D48" s="37"/>
      <c r="E48" s="37"/>
      <c r="F48" s="40"/>
      <c r="G48" s="41"/>
      <c r="H48" s="40">
        <f>IFERROR(E48*F48*(1+G48),"")</f>
        <v>0</v>
      </c>
      <c r="I48" s="37"/>
      <c r="J48" s="37"/>
      <c r="K48" s="37"/>
      <c r="L48" s="37"/>
      <c r="M48" s="37"/>
      <c r="N48" s="37"/>
    </row>
    <row r="49" spans="1:14">
      <c r="A49" s="37">
        <v>42</v>
      </c>
      <c r="B49" s="37"/>
      <c r="C49" s="37"/>
      <c r="D49" s="37"/>
      <c r="E49" s="37"/>
      <c r="F49" s="40"/>
      <c r="G49" s="41"/>
      <c r="H49" s="40">
        <f>IFERROR(E49*F49*(1+G49),"")</f>
        <v>0</v>
      </c>
      <c r="I49" s="37"/>
      <c r="J49" s="37"/>
      <c r="K49" s="37"/>
      <c r="L49" s="37"/>
      <c r="M49" s="37"/>
      <c r="N49" s="37"/>
    </row>
    <row r="50" spans="1:14">
      <c r="A50" s="37">
        <v>43</v>
      </c>
      <c r="B50" s="37"/>
      <c r="C50" s="37"/>
      <c r="D50" s="37"/>
      <c r="E50" s="37"/>
      <c r="F50" s="40"/>
      <c r="G50" s="41"/>
      <c r="H50" s="40">
        <f>IFERROR(E50*F50*(1+G50),"")</f>
        <v>0</v>
      </c>
      <c r="I50" s="37"/>
      <c r="J50" s="37"/>
      <c r="K50" s="37"/>
      <c r="L50" s="37"/>
      <c r="M50" s="37"/>
      <c r="N50" s="37"/>
    </row>
    <row r="51" spans="1:14">
      <c r="A51" s="37">
        <v>44</v>
      </c>
      <c r="B51" s="37"/>
      <c r="C51" s="37"/>
      <c r="D51" s="37"/>
      <c r="E51" s="37"/>
      <c r="F51" s="40"/>
      <c r="G51" s="41"/>
      <c r="H51" s="40">
        <f>IFERROR(E51*F51*(1+G51),"")</f>
        <v>0</v>
      </c>
      <c r="I51" s="37"/>
      <c r="J51" s="37"/>
      <c r="K51" s="37"/>
      <c r="L51" s="37"/>
      <c r="M51" s="37"/>
      <c r="N51" s="37"/>
    </row>
    <row r="52" spans="1:14">
      <c r="A52" s="37">
        <v>45</v>
      </c>
      <c r="B52" s="37"/>
      <c r="C52" s="37"/>
      <c r="D52" s="37"/>
      <c r="E52" s="37"/>
      <c r="F52" s="40"/>
      <c r="G52" s="41"/>
      <c r="H52" s="40">
        <f>IFERROR(E52*F52*(1+G52),"")</f>
        <v>0</v>
      </c>
      <c r="I52" s="37"/>
      <c r="J52" s="37"/>
      <c r="K52" s="37"/>
      <c r="L52" s="37"/>
      <c r="M52" s="37"/>
      <c r="N52" s="37"/>
    </row>
    <row r="53" spans="1:14">
      <c r="A53" s="37">
        <v>46</v>
      </c>
      <c r="B53" s="37"/>
      <c r="C53" s="37"/>
      <c r="D53" s="37"/>
      <c r="E53" s="37"/>
      <c r="F53" s="40"/>
      <c r="G53" s="41"/>
      <c r="H53" s="40">
        <f>IFERROR(E53*F53*(1+G53),"")</f>
        <v>0</v>
      </c>
      <c r="I53" s="37"/>
      <c r="J53" s="37"/>
      <c r="K53" s="37"/>
      <c r="L53" s="37"/>
      <c r="M53" s="37"/>
      <c r="N53" s="37"/>
    </row>
    <row r="54" spans="1:14">
      <c r="A54" s="37">
        <v>47</v>
      </c>
      <c r="B54" s="37"/>
      <c r="C54" s="37"/>
      <c r="D54" s="37"/>
      <c r="E54" s="37"/>
      <c r="F54" s="40"/>
      <c r="G54" s="41"/>
      <c r="H54" s="40">
        <f>IFERROR(E54*F54*(1+G54),"")</f>
        <v>0</v>
      </c>
      <c r="I54" s="37"/>
      <c r="J54" s="37"/>
      <c r="K54" s="37"/>
      <c r="L54" s="37"/>
      <c r="M54" s="37"/>
      <c r="N54" s="37"/>
    </row>
    <row r="55" spans="1:14">
      <c r="A55" s="37">
        <v>48</v>
      </c>
      <c r="B55" s="37"/>
      <c r="C55" s="37"/>
      <c r="D55" s="37"/>
      <c r="E55" s="37"/>
      <c r="F55" s="40"/>
      <c r="G55" s="41"/>
      <c r="H55" s="40">
        <f>IFERROR(E55*F55*(1+G55),"")</f>
        <v>0</v>
      </c>
      <c r="I55" s="37"/>
      <c r="J55" s="37"/>
      <c r="K55" s="37"/>
      <c r="L55" s="37"/>
      <c r="M55" s="37"/>
      <c r="N55" s="37"/>
    </row>
    <row r="56" spans="1:14">
      <c r="A56" s="37">
        <v>49</v>
      </c>
      <c r="B56" s="37"/>
      <c r="C56" s="37"/>
      <c r="D56" s="37"/>
      <c r="E56" s="37"/>
      <c r="F56" s="40"/>
      <c r="G56" s="41"/>
      <c r="H56" s="40">
        <f>IFERROR(E56*F56*(1+G56),"")</f>
        <v>0</v>
      </c>
      <c r="I56" s="37"/>
      <c r="J56" s="37"/>
      <c r="K56" s="37"/>
      <c r="L56" s="37"/>
      <c r="M56" s="37"/>
      <c r="N56" s="37"/>
    </row>
    <row r="57" spans="1:14">
      <c r="A57" s="37">
        <v>50</v>
      </c>
      <c r="B57" s="37"/>
      <c r="C57" s="37"/>
      <c r="D57" s="37"/>
      <c r="E57" s="37"/>
      <c r="F57" s="40"/>
      <c r="G57" s="41"/>
      <c r="H57" s="40">
        <f>IFERROR(E57*F57*(1+G57),"")</f>
        <v>0</v>
      </c>
      <c r="I57" s="37"/>
      <c r="J57" s="37"/>
      <c r="K57" s="37"/>
      <c r="L57" s="37"/>
      <c r="M57" s="37"/>
      <c r="N57" s="37"/>
    </row>
    <row r="58" spans="1:14">
      <c r="A58" s="37">
        <v>51</v>
      </c>
      <c r="B58" s="37"/>
      <c r="C58" s="37"/>
      <c r="D58" s="37"/>
      <c r="E58" s="37"/>
      <c r="F58" s="40"/>
      <c r="G58" s="41"/>
      <c r="H58" s="40">
        <f>IFERROR(E58*F58*(1+G58),"")</f>
        <v>0</v>
      </c>
      <c r="I58" s="37"/>
      <c r="J58" s="37"/>
      <c r="K58" s="37"/>
      <c r="L58" s="37"/>
      <c r="M58" s="37"/>
      <c r="N58" s="37"/>
    </row>
    <row r="59" spans="1:14">
      <c r="A59" s="37">
        <v>52</v>
      </c>
      <c r="B59" s="37"/>
      <c r="C59" s="37"/>
      <c r="D59" s="37"/>
      <c r="E59" s="37"/>
      <c r="F59" s="40"/>
      <c r="G59" s="41"/>
      <c r="H59" s="40">
        <f>IFERROR(E59*F59*(1+G59),"")</f>
        <v>0</v>
      </c>
      <c r="I59" s="37"/>
      <c r="J59" s="37"/>
      <c r="K59" s="37"/>
      <c r="L59" s="37"/>
      <c r="M59" s="37"/>
      <c r="N59" s="37"/>
    </row>
    <row r="60" spans="1:14">
      <c r="A60" s="37">
        <v>53</v>
      </c>
      <c r="B60" s="37"/>
      <c r="C60" s="37"/>
      <c r="D60" s="37"/>
      <c r="E60" s="37"/>
      <c r="F60" s="40"/>
      <c r="G60" s="41"/>
      <c r="H60" s="40">
        <f>IFERROR(E60*F60*(1+G60),"")</f>
        <v>0</v>
      </c>
      <c r="I60" s="37"/>
      <c r="J60" s="37"/>
      <c r="K60" s="37"/>
      <c r="L60" s="37"/>
      <c r="M60" s="37"/>
      <c r="N60" s="37"/>
    </row>
    <row r="61" spans="1:14">
      <c r="A61" s="37">
        <v>54</v>
      </c>
      <c r="B61" s="37"/>
      <c r="C61" s="37"/>
      <c r="D61" s="37"/>
      <c r="E61" s="37"/>
      <c r="F61" s="40"/>
      <c r="G61" s="41"/>
      <c r="H61" s="40">
        <f>IFERROR(E61*F61*(1+G61),"")</f>
        <v>0</v>
      </c>
      <c r="I61" s="37"/>
      <c r="J61" s="37"/>
      <c r="K61" s="37"/>
      <c r="L61" s="37"/>
      <c r="M61" s="37"/>
      <c r="N61" s="37"/>
    </row>
    <row r="62" spans="1:14">
      <c r="A62" s="37">
        <v>55</v>
      </c>
      <c r="B62" s="37"/>
      <c r="C62" s="37"/>
      <c r="D62" s="37"/>
      <c r="E62" s="37"/>
      <c r="F62" s="40"/>
      <c r="G62" s="41"/>
      <c r="H62" s="40">
        <f>IFERROR(E62*F62*(1+G62),"")</f>
        <v>0</v>
      </c>
      <c r="I62" s="37"/>
      <c r="J62" s="37"/>
      <c r="K62" s="37"/>
      <c r="L62" s="37"/>
      <c r="M62" s="37"/>
      <c r="N62" s="37"/>
    </row>
    <row r="63" spans="1:14">
      <c r="A63" s="37">
        <v>56</v>
      </c>
      <c r="B63" s="37"/>
      <c r="C63" s="37"/>
      <c r="D63" s="37"/>
      <c r="E63" s="37"/>
      <c r="F63" s="40"/>
      <c r="G63" s="41"/>
      <c r="H63" s="40">
        <f>IFERROR(E63*F63*(1+G63),"")</f>
        <v>0</v>
      </c>
      <c r="I63" s="37"/>
      <c r="J63" s="37"/>
      <c r="K63" s="37"/>
      <c r="L63" s="37"/>
      <c r="M63" s="37"/>
      <c r="N63" s="37"/>
    </row>
    <row r="64" spans="1:14">
      <c r="A64" s="37">
        <v>57</v>
      </c>
      <c r="B64" s="37"/>
      <c r="C64" s="37"/>
      <c r="D64" s="37"/>
      <c r="E64" s="37"/>
      <c r="F64" s="40"/>
      <c r="G64" s="41"/>
      <c r="H64" s="40">
        <f>IFERROR(E64*F64*(1+G64),"")</f>
        <v>0</v>
      </c>
      <c r="I64" s="37"/>
      <c r="J64" s="37"/>
      <c r="K64" s="37"/>
      <c r="L64" s="37"/>
      <c r="M64" s="37"/>
      <c r="N64" s="37"/>
    </row>
    <row r="65" spans="1:14">
      <c r="A65" s="37">
        <v>58</v>
      </c>
      <c r="B65" s="37"/>
      <c r="C65" s="37"/>
      <c r="D65" s="37"/>
      <c r="E65" s="37"/>
      <c r="F65" s="40"/>
      <c r="G65" s="41"/>
      <c r="H65" s="40">
        <f>IFERROR(E65*F65*(1+G65),"")</f>
        <v>0</v>
      </c>
      <c r="I65" s="37"/>
      <c r="J65" s="37"/>
      <c r="K65" s="37"/>
      <c r="L65" s="37"/>
      <c r="M65" s="37"/>
      <c r="N65" s="37"/>
    </row>
    <row r="66" spans="1:14">
      <c r="A66" s="37">
        <v>59</v>
      </c>
      <c r="B66" s="37"/>
      <c r="C66" s="37"/>
      <c r="D66" s="37"/>
      <c r="E66" s="37"/>
      <c r="F66" s="40"/>
      <c r="G66" s="41"/>
      <c r="H66" s="40">
        <f>IFERROR(E66*F66*(1+G66),"")</f>
        <v>0</v>
      </c>
      <c r="I66" s="37"/>
      <c r="J66" s="37"/>
      <c r="K66" s="37"/>
      <c r="L66" s="37"/>
      <c r="M66" s="37"/>
      <c r="N66" s="37"/>
    </row>
    <row r="67" spans="1:14">
      <c r="A67" s="37">
        <v>60</v>
      </c>
      <c r="B67" s="37"/>
      <c r="C67" s="37"/>
      <c r="D67" s="37"/>
      <c r="E67" s="37"/>
      <c r="F67" s="40"/>
      <c r="G67" s="41"/>
      <c r="H67" s="40">
        <f>IFERROR(E67*F67*(1+G67),"")</f>
        <v>0</v>
      </c>
      <c r="I67" s="37"/>
      <c r="J67" s="37"/>
      <c r="K67" s="37"/>
      <c r="L67" s="37"/>
      <c r="M67" s="37"/>
      <c r="N67" s="37"/>
    </row>
    <row r="68" spans="1:14">
      <c r="A68" s="37">
        <v>61</v>
      </c>
      <c r="B68" s="37"/>
      <c r="C68" s="37"/>
      <c r="D68" s="37"/>
      <c r="E68" s="37"/>
      <c r="F68" s="40"/>
      <c r="G68" s="41"/>
      <c r="H68" s="40">
        <f>IFERROR(E68*F68*(1+G68),"")</f>
        <v>0</v>
      </c>
      <c r="I68" s="37"/>
      <c r="J68" s="37"/>
      <c r="K68" s="37"/>
      <c r="L68" s="37"/>
      <c r="M68" s="37"/>
      <c r="N68" s="37"/>
    </row>
    <row r="69" spans="1:14">
      <c r="A69" s="37">
        <v>62</v>
      </c>
      <c r="B69" s="37"/>
      <c r="C69" s="37"/>
      <c r="D69" s="37"/>
      <c r="E69" s="37"/>
      <c r="F69" s="40"/>
      <c r="G69" s="41"/>
      <c r="H69" s="40">
        <f>IFERROR(E69*F69*(1+G69),"")</f>
        <v>0</v>
      </c>
      <c r="I69" s="37"/>
      <c r="J69" s="37"/>
      <c r="K69" s="37"/>
      <c r="L69" s="37"/>
      <c r="M69" s="37"/>
      <c r="N69" s="37"/>
    </row>
    <row r="70" spans="1:14">
      <c r="A70" s="37">
        <v>63</v>
      </c>
      <c r="B70" s="37"/>
      <c r="C70" s="37"/>
      <c r="D70" s="37"/>
      <c r="E70" s="37"/>
      <c r="F70" s="40"/>
      <c r="G70" s="41"/>
      <c r="H70" s="40">
        <f>IFERROR(E70*F70*(1+G70),"")</f>
        <v>0</v>
      </c>
      <c r="I70" s="37"/>
      <c r="J70" s="37"/>
      <c r="K70" s="37"/>
      <c r="L70" s="37"/>
      <c r="M70" s="37"/>
      <c r="N70" s="37"/>
    </row>
    <row r="71" spans="1:14">
      <c r="A71" s="37">
        <v>64</v>
      </c>
      <c r="B71" s="37"/>
      <c r="C71" s="37"/>
      <c r="D71" s="37"/>
      <c r="E71" s="37"/>
      <c r="F71" s="40"/>
      <c r="G71" s="41"/>
      <c r="H71" s="40">
        <f>IFERROR(E71*F71*(1+G71),"")</f>
        <v>0</v>
      </c>
      <c r="I71" s="37"/>
      <c r="J71" s="37"/>
      <c r="K71" s="37"/>
      <c r="L71" s="37"/>
      <c r="M71" s="37"/>
      <c r="N71" s="37"/>
    </row>
    <row r="72" spans="1:14">
      <c r="A72" s="37">
        <v>65</v>
      </c>
      <c r="B72" s="37"/>
      <c r="C72" s="37"/>
      <c r="D72" s="37"/>
      <c r="E72" s="37"/>
      <c r="F72" s="40"/>
      <c r="G72" s="41"/>
      <c r="H72" s="40">
        <f>IFERROR(E72*F72*(1+G72),"")</f>
        <v>0</v>
      </c>
      <c r="I72" s="37"/>
      <c r="J72" s="37"/>
      <c r="K72" s="37"/>
      <c r="L72" s="37"/>
      <c r="M72" s="37"/>
      <c r="N72" s="37"/>
    </row>
    <row r="73" spans="1:14">
      <c r="A73" s="37">
        <v>66</v>
      </c>
      <c r="B73" s="37"/>
      <c r="C73" s="37"/>
      <c r="D73" s="37"/>
      <c r="E73" s="37"/>
      <c r="F73" s="40"/>
      <c r="G73" s="41"/>
      <c r="H73" s="40">
        <f>IFERROR(E73*F73*(1+G73),"")</f>
        <v>0</v>
      </c>
      <c r="I73" s="37"/>
      <c r="J73" s="37"/>
      <c r="K73" s="37"/>
      <c r="L73" s="37"/>
      <c r="M73" s="37"/>
      <c r="N73" s="37"/>
    </row>
    <row r="74" spans="1:14">
      <c r="A74" s="37">
        <v>67</v>
      </c>
      <c r="B74" s="37"/>
      <c r="C74" s="37"/>
      <c r="D74" s="37"/>
      <c r="E74" s="37"/>
      <c r="F74" s="40"/>
      <c r="G74" s="41"/>
      <c r="H74" s="40">
        <f>IFERROR(E74*F74*(1+G74),"")</f>
        <v>0</v>
      </c>
      <c r="I74" s="37"/>
      <c r="J74" s="37"/>
      <c r="K74" s="37"/>
      <c r="L74" s="37"/>
      <c r="M74" s="37"/>
      <c r="N74" s="37"/>
    </row>
    <row r="75" spans="1:14">
      <c r="A75" s="37">
        <v>68</v>
      </c>
      <c r="B75" s="37"/>
      <c r="C75" s="37"/>
      <c r="D75" s="37"/>
      <c r="E75" s="37"/>
      <c r="F75" s="40"/>
      <c r="G75" s="41"/>
      <c r="H75" s="40">
        <f>IFERROR(E75*F75*(1+G75),"")</f>
        <v>0</v>
      </c>
      <c r="I75" s="37"/>
      <c r="J75" s="37"/>
      <c r="K75" s="37"/>
      <c r="L75" s="37"/>
      <c r="M75" s="37"/>
      <c r="N75" s="37"/>
    </row>
    <row r="76" spans="1:14">
      <c r="A76" s="37">
        <v>69</v>
      </c>
      <c r="B76" s="37"/>
      <c r="C76" s="37"/>
      <c r="D76" s="37"/>
      <c r="E76" s="37"/>
      <c r="F76" s="40"/>
      <c r="G76" s="41"/>
      <c r="H76" s="40">
        <f>IFERROR(E76*F76*(1+G76),"")</f>
        <v>0</v>
      </c>
      <c r="I76" s="37"/>
      <c r="J76" s="37"/>
      <c r="K76" s="37"/>
      <c r="L76" s="37"/>
      <c r="M76" s="37"/>
      <c r="N76" s="37"/>
    </row>
    <row r="77" spans="1:14">
      <c r="A77" s="37">
        <v>70</v>
      </c>
      <c r="B77" s="37"/>
      <c r="C77" s="37"/>
      <c r="D77" s="37"/>
      <c r="E77" s="37"/>
      <c r="F77" s="40"/>
      <c r="G77" s="41"/>
      <c r="H77" s="40">
        <f>IFERROR(E77*F77*(1+G77),"")</f>
        <v>0</v>
      </c>
      <c r="I77" s="37"/>
      <c r="J77" s="37"/>
      <c r="K77" s="37"/>
      <c r="L77" s="37"/>
      <c r="M77" s="37"/>
      <c r="N77" s="37"/>
    </row>
    <row r="78" spans="1:14">
      <c r="A78" s="37">
        <v>71</v>
      </c>
      <c r="B78" s="37"/>
      <c r="C78" s="37"/>
      <c r="D78" s="37"/>
      <c r="E78" s="37"/>
      <c r="F78" s="40"/>
      <c r="G78" s="41"/>
      <c r="H78" s="40">
        <f>IFERROR(E78*F78*(1+G78),"")</f>
        <v>0</v>
      </c>
      <c r="I78" s="37"/>
      <c r="J78" s="37"/>
      <c r="K78" s="37"/>
      <c r="L78" s="37"/>
      <c r="M78" s="37"/>
      <c r="N78" s="37"/>
    </row>
    <row r="79" spans="1:14">
      <c r="A79" s="37">
        <v>72</v>
      </c>
      <c r="B79" s="37"/>
      <c r="C79" s="37"/>
      <c r="D79" s="37"/>
      <c r="E79" s="37"/>
      <c r="F79" s="40"/>
      <c r="G79" s="41"/>
      <c r="H79" s="40">
        <f>IFERROR(E79*F79*(1+G79),"")</f>
        <v>0</v>
      </c>
      <c r="I79" s="37"/>
      <c r="J79" s="37"/>
      <c r="K79" s="37"/>
      <c r="L79" s="37"/>
      <c r="M79" s="37"/>
      <c r="N79" s="37"/>
    </row>
    <row r="80" spans="1:14">
      <c r="A80" s="37">
        <v>73</v>
      </c>
      <c r="B80" s="37"/>
      <c r="C80" s="37"/>
      <c r="D80" s="37"/>
      <c r="E80" s="37"/>
      <c r="F80" s="40"/>
      <c r="G80" s="41"/>
      <c r="H80" s="40">
        <f>IFERROR(E80*F80*(1+G80),"")</f>
        <v>0</v>
      </c>
      <c r="I80" s="37"/>
      <c r="J80" s="37"/>
      <c r="K80" s="37"/>
      <c r="L80" s="37"/>
      <c r="M80" s="37"/>
      <c r="N80" s="37"/>
    </row>
    <row r="81" spans="1:14">
      <c r="A81" s="37">
        <v>74</v>
      </c>
      <c r="B81" s="37"/>
      <c r="C81" s="37"/>
      <c r="D81" s="37"/>
      <c r="E81" s="37"/>
      <c r="F81" s="40"/>
      <c r="G81" s="41"/>
      <c r="H81" s="40">
        <f>IFERROR(E81*F81*(1+G81),"")</f>
        <v>0</v>
      </c>
      <c r="I81" s="37"/>
      <c r="J81" s="37"/>
      <c r="K81" s="37"/>
      <c r="L81" s="37"/>
      <c r="M81" s="37"/>
      <c r="N81" s="37"/>
    </row>
    <row r="82" spans="1:14">
      <c r="A82" s="37">
        <v>75</v>
      </c>
      <c r="B82" s="37"/>
      <c r="C82" s="37"/>
      <c r="D82" s="37"/>
      <c r="E82" s="37"/>
      <c r="F82" s="40"/>
      <c r="G82" s="41"/>
      <c r="H82" s="40">
        <f>IFERROR(E82*F82*(1+G82),"")</f>
        <v>0</v>
      </c>
      <c r="I82" s="37"/>
      <c r="J82" s="37"/>
      <c r="K82" s="37"/>
      <c r="L82" s="37"/>
      <c r="M82" s="37"/>
      <c r="N82" s="37"/>
    </row>
    <row r="83" spans="1:14">
      <c r="A83" s="37">
        <v>76</v>
      </c>
      <c r="B83" s="37"/>
      <c r="C83" s="37"/>
      <c r="D83" s="37"/>
      <c r="E83" s="37"/>
      <c r="F83" s="40"/>
      <c r="G83" s="41"/>
      <c r="H83" s="40">
        <f>IFERROR(E83*F83*(1+G83),"")</f>
        <v>0</v>
      </c>
      <c r="I83" s="37"/>
      <c r="J83" s="37"/>
      <c r="K83" s="37"/>
      <c r="L83" s="37"/>
      <c r="M83" s="37"/>
      <c r="N83" s="37"/>
    </row>
    <row r="84" spans="1:14">
      <c r="A84" s="37">
        <v>77</v>
      </c>
      <c r="B84" s="37"/>
      <c r="C84" s="37"/>
      <c r="D84" s="37"/>
      <c r="E84" s="37"/>
      <c r="F84" s="40"/>
      <c r="G84" s="41"/>
      <c r="H84" s="40">
        <f>IFERROR(E84*F84*(1+G84),"")</f>
        <v>0</v>
      </c>
      <c r="I84" s="37"/>
      <c r="J84" s="37"/>
      <c r="K84" s="37"/>
      <c r="L84" s="37"/>
      <c r="M84" s="37"/>
      <c r="N84" s="37"/>
    </row>
    <row r="85" spans="1:14">
      <c r="A85" s="37">
        <v>78</v>
      </c>
      <c r="B85" s="37"/>
      <c r="C85" s="37"/>
      <c r="D85" s="37"/>
      <c r="E85" s="37"/>
      <c r="F85" s="40"/>
      <c r="G85" s="41"/>
      <c r="H85" s="40">
        <f>IFERROR(E85*F85*(1+G85),"")</f>
        <v>0</v>
      </c>
      <c r="I85" s="37"/>
      <c r="J85" s="37"/>
      <c r="K85" s="37"/>
      <c r="L85" s="37"/>
      <c r="M85" s="37"/>
      <c r="N85" s="37"/>
    </row>
    <row r="86" spans="1:14">
      <c r="A86" s="37">
        <v>79</v>
      </c>
      <c r="B86" s="37"/>
      <c r="C86" s="37"/>
      <c r="D86" s="37"/>
      <c r="E86" s="37"/>
      <c r="F86" s="40"/>
      <c r="G86" s="41"/>
      <c r="H86" s="40">
        <f>IFERROR(E86*F86*(1+G86),"")</f>
        <v>0</v>
      </c>
      <c r="I86" s="37"/>
      <c r="J86" s="37"/>
      <c r="K86" s="37"/>
      <c r="L86" s="37"/>
      <c r="M86" s="37"/>
      <c r="N86" s="37"/>
    </row>
    <row r="87" spans="1:14">
      <c r="A87" s="37">
        <v>80</v>
      </c>
      <c r="B87" s="37"/>
      <c r="C87" s="37"/>
      <c r="D87" s="37"/>
      <c r="E87" s="37"/>
      <c r="F87" s="40"/>
      <c r="G87" s="41"/>
      <c r="H87" s="40">
        <f>IFERROR(E87*F87*(1+G87),"")</f>
        <v>0</v>
      </c>
      <c r="I87" s="37"/>
      <c r="J87" s="37"/>
      <c r="K87" s="37"/>
      <c r="L87" s="37"/>
      <c r="M87" s="37"/>
      <c r="N87" s="37"/>
    </row>
    <row r="88" spans="1:14">
      <c r="A88" s="37">
        <v>81</v>
      </c>
      <c r="B88" s="37"/>
      <c r="C88" s="37"/>
      <c r="D88" s="37"/>
      <c r="E88" s="37"/>
      <c r="F88" s="40"/>
      <c r="G88" s="41"/>
      <c r="H88" s="40">
        <f>IFERROR(E88*F88*(1+G88),"")</f>
        <v>0</v>
      </c>
      <c r="I88" s="37"/>
      <c r="J88" s="37"/>
      <c r="K88" s="37"/>
      <c r="L88" s="37"/>
      <c r="M88" s="37"/>
      <c r="N88" s="37"/>
    </row>
    <row r="89" spans="1:14">
      <c r="A89" s="37">
        <v>82</v>
      </c>
      <c r="B89" s="37"/>
      <c r="C89" s="37"/>
      <c r="D89" s="37"/>
      <c r="E89" s="37"/>
      <c r="F89" s="40"/>
      <c r="G89" s="41"/>
      <c r="H89" s="40">
        <f>IFERROR(E89*F89*(1+G89),"")</f>
        <v>0</v>
      </c>
      <c r="I89" s="37"/>
      <c r="J89" s="37"/>
      <c r="K89" s="37"/>
      <c r="L89" s="37"/>
      <c r="M89" s="37"/>
      <c r="N89" s="37"/>
    </row>
    <row r="90" spans="1:14">
      <c r="A90" s="37">
        <v>83</v>
      </c>
      <c r="B90" s="37"/>
      <c r="C90" s="37"/>
      <c r="D90" s="37"/>
      <c r="E90" s="37"/>
      <c r="F90" s="40"/>
      <c r="G90" s="41"/>
      <c r="H90" s="40">
        <f>IFERROR(E90*F90*(1+G90),"")</f>
        <v>0</v>
      </c>
      <c r="I90" s="37"/>
      <c r="J90" s="37"/>
      <c r="K90" s="37"/>
      <c r="L90" s="37"/>
      <c r="M90" s="37"/>
      <c r="N90" s="37"/>
    </row>
    <row r="91" spans="1:14">
      <c r="A91" s="37">
        <v>84</v>
      </c>
      <c r="B91" s="37"/>
      <c r="C91" s="37"/>
      <c r="D91" s="37"/>
      <c r="E91" s="37"/>
      <c r="F91" s="40"/>
      <c r="G91" s="41"/>
      <c r="H91" s="40">
        <f>IFERROR(E91*F91*(1+G91),"")</f>
        <v>0</v>
      </c>
      <c r="I91" s="37"/>
      <c r="J91" s="37"/>
      <c r="K91" s="37"/>
      <c r="L91" s="37"/>
      <c r="M91" s="37"/>
      <c r="N91" s="37"/>
    </row>
    <row r="92" spans="1:14">
      <c r="A92" s="37">
        <v>85</v>
      </c>
      <c r="B92" s="37"/>
      <c r="C92" s="37"/>
      <c r="D92" s="37"/>
      <c r="E92" s="37"/>
      <c r="F92" s="40"/>
      <c r="G92" s="41"/>
      <c r="H92" s="40">
        <f>IFERROR(E92*F92*(1+G92),"")</f>
        <v>0</v>
      </c>
      <c r="I92" s="37"/>
      <c r="J92" s="37"/>
      <c r="K92" s="37"/>
      <c r="L92" s="37"/>
      <c r="M92" s="37"/>
      <c r="N92" s="37"/>
    </row>
    <row r="93" spans="1:14">
      <c r="A93" s="37">
        <v>86</v>
      </c>
      <c r="B93" s="37"/>
      <c r="C93" s="37"/>
      <c r="D93" s="37"/>
      <c r="E93" s="37"/>
      <c r="F93" s="40"/>
      <c r="G93" s="41"/>
      <c r="H93" s="40">
        <f>IFERROR(E93*F93*(1+G93),"")</f>
        <v>0</v>
      </c>
      <c r="I93" s="37"/>
      <c r="J93" s="37"/>
      <c r="K93" s="37"/>
      <c r="L93" s="37"/>
      <c r="M93" s="37"/>
      <c r="N93" s="37"/>
    </row>
    <row r="94" spans="1:14">
      <c r="A94" s="37">
        <v>87</v>
      </c>
      <c r="B94" s="37"/>
      <c r="C94" s="37"/>
      <c r="D94" s="37"/>
      <c r="E94" s="37"/>
      <c r="F94" s="40"/>
      <c r="G94" s="41"/>
      <c r="H94" s="40">
        <f>IFERROR(E94*F94*(1+G94),"")</f>
        <v>0</v>
      </c>
      <c r="I94" s="37"/>
      <c r="J94" s="37"/>
      <c r="K94" s="37"/>
      <c r="L94" s="37"/>
      <c r="M94" s="37"/>
      <c r="N94" s="37"/>
    </row>
    <row r="95" spans="1:14">
      <c r="A95" s="37">
        <v>88</v>
      </c>
      <c r="B95" s="37"/>
      <c r="C95" s="37"/>
      <c r="D95" s="37"/>
      <c r="E95" s="37"/>
      <c r="F95" s="40"/>
      <c r="G95" s="41"/>
      <c r="H95" s="40">
        <f>IFERROR(E95*F95*(1+G95),"")</f>
        <v>0</v>
      </c>
      <c r="I95" s="37"/>
      <c r="J95" s="37"/>
      <c r="K95" s="37"/>
      <c r="L95" s="37"/>
      <c r="M95" s="37"/>
      <c r="N95" s="37"/>
    </row>
    <row r="96" spans="1:14">
      <c r="A96" s="37">
        <v>89</v>
      </c>
      <c r="B96" s="37"/>
      <c r="C96" s="37"/>
      <c r="D96" s="37"/>
      <c r="E96" s="37"/>
      <c r="F96" s="40"/>
      <c r="G96" s="41"/>
      <c r="H96" s="40">
        <f>IFERROR(E96*F96*(1+G96),"")</f>
        <v>0</v>
      </c>
      <c r="I96" s="37"/>
      <c r="J96" s="37"/>
      <c r="K96" s="37"/>
      <c r="L96" s="37"/>
      <c r="M96" s="37"/>
      <c r="N96" s="37"/>
    </row>
    <row r="97" spans="1:14">
      <c r="A97" s="37">
        <v>90</v>
      </c>
      <c r="B97" s="37"/>
      <c r="C97" s="37"/>
      <c r="D97" s="37"/>
      <c r="E97" s="37"/>
      <c r="F97" s="40"/>
      <c r="G97" s="41"/>
      <c r="H97" s="40">
        <f>IFERROR(E97*F97*(1+G97),"")</f>
        <v>0</v>
      </c>
      <c r="I97" s="37"/>
      <c r="J97" s="37"/>
      <c r="K97" s="37"/>
      <c r="L97" s="37"/>
      <c r="M97" s="37"/>
      <c r="N97" s="37"/>
    </row>
    <row r="98" spans="1:14">
      <c r="A98" s="37">
        <v>91</v>
      </c>
      <c r="B98" s="37"/>
      <c r="C98" s="37"/>
      <c r="D98" s="37"/>
      <c r="E98" s="37"/>
      <c r="F98" s="40"/>
      <c r="G98" s="41"/>
      <c r="H98" s="40">
        <f>IFERROR(E98*F98*(1+G98),"")</f>
        <v>0</v>
      </c>
      <c r="I98" s="37"/>
      <c r="J98" s="37"/>
      <c r="K98" s="37"/>
      <c r="L98" s="37"/>
      <c r="M98" s="37"/>
      <c r="N98" s="37"/>
    </row>
    <row r="99" spans="1:14">
      <c r="A99" s="37">
        <v>92</v>
      </c>
      <c r="B99" s="37"/>
      <c r="C99" s="37"/>
      <c r="D99" s="37"/>
      <c r="E99" s="37"/>
      <c r="F99" s="40"/>
      <c r="G99" s="41"/>
      <c r="H99" s="40">
        <f>IFERROR(E99*F99*(1+G99),"")</f>
        <v>0</v>
      </c>
      <c r="I99" s="37"/>
      <c r="J99" s="37"/>
      <c r="K99" s="37"/>
      <c r="L99" s="37"/>
      <c r="M99" s="37"/>
      <c r="N99" s="37"/>
    </row>
    <row r="100" spans="1:14">
      <c r="A100" s="37">
        <v>93</v>
      </c>
      <c r="B100" s="37"/>
      <c r="C100" s="37"/>
      <c r="D100" s="37"/>
      <c r="E100" s="37"/>
      <c r="F100" s="40"/>
      <c r="G100" s="41"/>
      <c r="H100" s="40">
        <f>IFERROR(E100*F100*(1+G100),"")</f>
        <v>0</v>
      </c>
      <c r="I100" s="37"/>
      <c r="J100" s="37"/>
      <c r="K100" s="37"/>
      <c r="L100" s="37"/>
      <c r="M100" s="37"/>
      <c r="N100" s="37"/>
    </row>
    <row r="101" spans="1:14">
      <c r="A101" s="37">
        <v>94</v>
      </c>
      <c r="B101" s="37"/>
      <c r="C101" s="37"/>
      <c r="D101" s="37"/>
      <c r="E101" s="37"/>
      <c r="F101" s="40"/>
      <c r="G101" s="41"/>
      <c r="H101" s="40">
        <f>IFERROR(E101*F101*(1+G101),"")</f>
        <v>0</v>
      </c>
      <c r="I101" s="37"/>
      <c r="J101" s="37"/>
      <c r="K101" s="37"/>
      <c r="L101" s="37"/>
      <c r="M101" s="37"/>
      <c r="N101" s="37"/>
    </row>
    <row r="102" spans="1:14">
      <c r="A102" s="37">
        <v>95</v>
      </c>
      <c r="B102" s="37"/>
      <c r="C102" s="37"/>
      <c r="D102" s="37"/>
      <c r="E102" s="37"/>
      <c r="F102" s="40"/>
      <c r="G102" s="41"/>
      <c r="H102" s="40">
        <f>IFERROR(E102*F102*(1+G102),"")</f>
        <v>0</v>
      </c>
      <c r="I102" s="37"/>
      <c r="J102" s="37"/>
      <c r="K102" s="37"/>
      <c r="L102" s="37"/>
      <c r="M102" s="37"/>
      <c r="N102" s="37"/>
    </row>
    <row r="103" spans="1:14">
      <c r="A103" s="37">
        <v>96</v>
      </c>
      <c r="B103" s="37"/>
      <c r="C103" s="37"/>
      <c r="D103" s="37"/>
      <c r="E103" s="37"/>
      <c r="F103" s="40"/>
      <c r="G103" s="41"/>
      <c r="H103" s="40">
        <f>IFERROR(E103*F103*(1+G103),"")</f>
        <v>0</v>
      </c>
      <c r="I103" s="37"/>
      <c r="J103" s="37"/>
      <c r="K103" s="37"/>
      <c r="L103" s="37"/>
      <c r="M103" s="37"/>
      <c r="N103" s="37"/>
    </row>
    <row r="104" spans="1:14">
      <c r="A104" s="37">
        <v>97</v>
      </c>
      <c r="B104" s="37"/>
      <c r="C104" s="37"/>
      <c r="D104" s="37"/>
      <c r="E104" s="37"/>
      <c r="F104" s="40"/>
      <c r="G104" s="41"/>
      <c r="H104" s="40">
        <f>IFERROR(E104*F104*(1+G104),"")</f>
        <v>0</v>
      </c>
      <c r="I104" s="37"/>
      <c r="J104" s="37"/>
      <c r="K104" s="37"/>
      <c r="L104" s="37"/>
      <c r="M104" s="37"/>
      <c r="N104" s="37"/>
    </row>
    <row r="105" spans="1:14">
      <c r="A105" s="37">
        <v>98</v>
      </c>
      <c r="B105" s="37"/>
      <c r="C105" s="37"/>
      <c r="D105" s="37"/>
      <c r="E105" s="37"/>
      <c r="F105" s="40"/>
      <c r="G105" s="41"/>
      <c r="H105" s="40">
        <f>IFERROR(E105*F105*(1+G105),"")</f>
        <v>0</v>
      </c>
      <c r="I105" s="37"/>
      <c r="J105" s="37"/>
      <c r="K105" s="37"/>
      <c r="L105" s="37"/>
      <c r="M105" s="37"/>
      <c r="N105" s="37"/>
    </row>
    <row r="106" spans="1:14">
      <c r="A106" s="37">
        <v>99</v>
      </c>
      <c r="B106" s="37"/>
      <c r="C106" s="37"/>
      <c r="D106" s="37"/>
      <c r="E106" s="37"/>
      <c r="F106" s="40"/>
      <c r="G106" s="41"/>
      <c r="H106" s="40">
        <f>IFERROR(E106*F106*(1+G106),"")</f>
        <v>0</v>
      </c>
      <c r="I106" s="37"/>
      <c r="J106" s="37"/>
      <c r="K106" s="37"/>
      <c r="L106" s="37"/>
      <c r="M106" s="37"/>
      <c r="N106" s="37"/>
    </row>
    <row r="107" spans="1:14" ht="30" customHeight="1">
      <c r="A107" s="37">
        <v>100</v>
      </c>
      <c r="B107" s="37"/>
      <c r="C107" s="37"/>
      <c r="D107" s="37"/>
      <c r="E107" s="37"/>
      <c r="F107" s="40"/>
      <c r="G107" s="41"/>
      <c r="H107" s="40">
        <f>IFERROR(E107*F107*(1+G107),"")</f>
        <v>0</v>
      </c>
      <c r="I107" s="37"/>
      <c r="J107" s="37"/>
      <c r="K107" s="37"/>
      <c r="L107" s="37"/>
      <c r="M107" s="37"/>
      <c r="N107" s="37"/>
    </row>
    <row r="108" spans="1:14">
      <c r="A108" s="37"/>
      <c r="B108" s="37"/>
      <c r="C108" s="37"/>
      <c r="D108" s="37"/>
      <c r="E108" s="37"/>
      <c r="F108" s="40"/>
      <c r="G108" s="40"/>
      <c r="H108" s="40"/>
      <c r="I108" s="37"/>
      <c r="J108" s="37"/>
      <c r="K108" s="37"/>
      <c r="L108" s="37"/>
      <c r="M108" s="37"/>
      <c r="N108" s="37"/>
    </row>
    <row r="109" spans="1:14">
      <c r="A109" s="37" t="s">
        <v>2733</v>
      </c>
      <c r="B109" s="37"/>
      <c r="C109" s="37"/>
      <c r="D109" s="37"/>
      <c r="E109" s="37"/>
      <c r="F109" s="40"/>
      <c r="G109" s="40"/>
      <c r="H109" s="40">
        <f>IFERROR(SUM(H8:H107),0)</f>
        <v>0</v>
      </c>
      <c r="I109" s="37"/>
      <c r="J109" s="37"/>
      <c r="K109" s="37"/>
      <c r="L109" s="37"/>
      <c r="M109" s="37"/>
      <c r="N109" s="37"/>
    </row>
    <row r="110" spans="1:14">
      <c r="A110" s="46"/>
      <c r="B110" s="46"/>
      <c r="C110" s="46"/>
      <c r="D110" s="46"/>
      <c r="E110" s="46"/>
      <c r="F110" s="46"/>
      <c r="G110" s="46"/>
      <c r="H110" s="46"/>
      <c r="I110" s="46"/>
      <c r="J110" s="46"/>
      <c r="K110" s="46"/>
      <c r="L110" s="46"/>
      <c r="M110" s="46"/>
      <c r="N110" s="46"/>
    </row>
  </sheetData>
  <mergeCells count="1">
    <mergeCell ref="A1:N1"/>
  </mergeCells>
  <dataValidations count="1">
    <dataValidation type="list" allowBlank="1" sqref="N8:N109" xr:uid="{00000000-0002-0000-0B00-000000000000}">
      <formula1>"Not Started,Approved,Conditional,Rejected,Needs Review,Not Applicable"</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ED7D31"/>
  </sheetPr>
  <dimension ref="A1:N39"/>
  <sheetViews>
    <sheetView showGridLines="0" topLeftCell="A29" workbookViewId="0">
      <selection activeCell="F39" sqref="F39"/>
    </sheetView>
  </sheetViews>
  <sheetFormatPr defaultRowHeight="15"/>
  <cols>
    <col min="1" max="1" width="24" customWidth="1"/>
    <col min="2" max="2" width="55.140625" customWidth="1"/>
    <col min="3" max="3" width="22" customWidth="1"/>
    <col min="4" max="4" width="26" customWidth="1"/>
    <col min="5" max="5" width="28" customWidth="1"/>
    <col min="6" max="6" width="26" customWidth="1"/>
    <col min="7" max="7" width="24" customWidth="1"/>
    <col min="8" max="8" width="20" customWidth="1"/>
    <col min="9" max="9" width="16" customWidth="1"/>
    <col min="10" max="10" width="28" customWidth="1"/>
    <col min="11" max="11" width="18" customWidth="1"/>
    <col min="12" max="12" width="20" customWidth="1"/>
    <col min="13" max="13" width="18" customWidth="1"/>
    <col min="14" max="14" width="32" customWidth="1"/>
  </cols>
  <sheetData>
    <row r="1" spans="1:14" s="48" customFormat="1">
      <c r="A1" s="186" t="s">
        <v>2721</v>
      </c>
      <c r="B1" s="186"/>
      <c r="C1" s="186"/>
      <c r="D1" s="186"/>
      <c r="E1" s="186"/>
      <c r="F1" s="186"/>
      <c r="G1" s="186"/>
      <c r="H1" s="186"/>
      <c r="I1" s="186"/>
      <c r="J1" s="186"/>
      <c r="K1" s="186"/>
      <c r="L1" s="186"/>
      <c r="M1" s="186"/>
      <c r="N1" s="186"/>
    </row>
    <row r="2" spans="1:14" ht="24" customHeight="1">
      <c r="A2" s="56" t="s">
        <v>0</v>
      </c>
      <c r="B2" s="56"/>
      <c r="C2" s="56"/>
      <c r="D2" s="56"/>
      <c r="E2" s="56"/>
      <c r="F2" s="56"/>
      <c r="G2" s="56"/>
      <c r="H2" s="56"/>
      <c r="I2" s="56"/>
      <c r="J2" s="56"/>
      <c r="K2" s="56"/>
      <c r="L2" s="56"/>
      <c r="M2" s="56"/>
      <c r="N2" s="56"/>
    </row>
    <row r="3" spans="1:14" ht="30" customHeight="1">
      <c r="A3" s="45" t="s">
        <v>2734</v>
      </c>
      <c r="B3" s="45"/>
      <c r="C3" s="45"/>
      <c r="D3" s="45"/>
      <c r="E3" s="45"/>
      <c r="F3" s="45"/>
      <c r="G3" s="45"/>
      <c r="H3" s="45"/>
      <c r="I3" s="45"/>
      <c r="J3" s="45"/>
      <c r="K3" s="45"/>
      <c r="L3" s="45"/>
      <c r="M3" s="45"/>
      <c r="N3" s="45"/>
    </row>
    <row r="4" spans="1:14" ht="30" customHeight="1">
      <c r="A4" s="44" t="s">
        <v>2735</v>
      </c>
      <c r="B4" s="44"/>
      <c r="C4" s="44"/>
      <c r="D4" s="44"/>
      <c r="E4" s="44"/>
      <c r="F4" s="44"/>
      <c r="G4" s="44"/>
      <c r="H4" s="44"/>
      <c r="I4" s="44"/>
      <c r="J4" s="44"/>
      <c r="K4" s="44"/>
      <c r="L4" s="44"/>
      <c r="M4" s="44"/>
      <c r="N4" s="44"/>
    </row>
    <row r="5" spans="1:14">
      <c r="A5" s="46"/>
      <c r="B5" s="46"/>
      <c r="C5" s="46"/>
      <c r="D5" s="46"/>
      <c r="E5" s="46"/>
      <c r="F5" s="46"/>
      <c r="G5" s="46"/>
      <c r="H5" s="46"/>
      <c r="I5" s="46"/>
      <c r="J5" s="46"/>
      <c r="K5" s="46"/>
      <c r="L5" s="46"/>
      <c r="M5" s="46"/>
      <c r="N5" s="46"/>
    </row>
    <row r="6" spans="1:14" ht="21.95" customHeight="1">
      <c r="A6" s="91" t="s">
        <v>2736</v>
      </c>
      <c r="B6" s="57"/>
      <c r="C6" s="57"/>
      <c r="D6" s="57"/>
      <c r="E6" s="57"/>
      <c r="F6" s="57"/>
      <c r="G6" s="57"/>
      <c r="H6" s="57"/>
      <c r="I6" s="57"/>
      <c r="J6" s="57"/>
      <c r="K6" s="57"/>
      <c r="L6" s="57"/>
      <c r="M6" s="57"/>
      <c r="N6" s="57"/>
    </row>
    <row r="7" spans="1:14" ht="33.950000000000003" customHeight="1">
      <c r="A7" s="36" t="s">
        <v>2725</v>
      </c>
      <c r="B7" s="36" t="s">
        <v>2737</v>
      </c>
      <c r="C7" s="36" t="s">
        <v>1744</v>
      </c>
      <c r="D7" s="36" t="s">
        <v>2738</v>
      </c>
      <c r="E7" s="36" t="s">
        <v>2739</v>
      </c>
      <c r="F7" s="36" t="s">
        <v>2740</v>
      </c>
      <c r="G7" s="36" t="s">
        <v>2741</v>
      </c>
      <c r="H7" s="36" t="s">
        <v>2742</v>
      </c>
      <c r="I7" s="36" t="s">
        <v>1892</v>
      </c>
      <c r="J7" s="36" t="s">
        <v>578</v>
      </c>
      <c r="K7" s="36" t="s">
        <v>2732</v>
      </c>
      <c r="L7" s="36" t="s">
        <v>144</v>
      </c>
      <c r="M7" s="36" t="s">
        <v>145</v>
      </c>
      <c r="N7" s="36" t="s">
        <v>70</v>
      </c>
    </row>
    <row r="8" spans="1:14">
      <c r="A8" s="37"/>
      <c r="B8" s="37"/>
      <c r="C8" s="37"/>
      <c r="D8" s="37"/>
      <c r="E8" s="37"/>
      <c r="F8" s="37"/>
      <c r="G8" s="37"/>
      <c r="H8" s="37"/>
      <c r="I8" s="37"/>
      <c r="J8" s="37"/>
      <c r="K8" s="37" t="s">
        <v>152</v>
      </c>
      <c r="L8" s="37"/>
      <c r="M8" s="37"/>
      <c r="N8" s="37"/>
    </row>
    <row r="9" spans="1:14">
      <c r="A9" s="37"/>
      <c r="B9" s="37"/>
      <c r="C9" s="37"/>
      <c r="D9" s="37"/>
      <c r="E9" s="37"/>
      <c r="F9" s="37"/>
      <c r="G9" s="37"/>
      <c r="H9" s="37"/>
      <c r="I9" s="37"/>
      <c r="J9" s="37"/>
      <c r="K9" s="37" t="s">
        <v>152</v>
      </c>
      <c r="L9" s="37"/>
      <c r="M9" s="37"/>
      <c r="N9" s="37"/>
    </row>
    <row r="10" spans="1:14">
      <c r="A10" s="37"/>
      <c r="B10" s="37"/>
      <c r="C10" s="37"/>
      <c r="D10" s="37"/>
      <c r="E10" s="37"/>
      <c r="F10" s="37"/>
      <c r="G10" s="37"/>
      <c r="H10" s="37"/>
      <c r="I10" s="37"/>
      <c r="J10" s="37"/>
      <c r="K10" s="37" t="s">
        <v>152</v>
      </c>
      <c r="L10" s="37"/>
      <c r="M10" s="37"/>
      <c r="N10" s="37"/>
    </row>
    <row r="11" spans="1:14">
      <c r="A11" s="37"/>
      <c r="B11" s="37"/>
      <c r="C11" s="37"/>
      <c r="D11" s="37"/>
      <c r="E11" s="37"/>
      <c r="F11" s="37"/>
      <c r="G11" s="37"/>
      <c r="H11" s="37"/>
      <c r="I11" s="37"/>
      <c r="J11" s="37"/>
      <c r="K11" s="37" t="s">
        <v>152</v>
      </c>
      <c r="L11" s="37"/>
      <c r="M11" s="37"/>
      <c r="N11" s="37"/>
    </row>
    <row r="12" spans="1:14">
      <c r="A12" s="37"/>
      <c r="B12" s="37"/>
      <c r="C12" s="37"/>
      <c r="D12" s="37"/>
      <c r="E12" s="37"/>
      <c r="F12" s="37"/>
      <c r="G12" s="37"/>
      <c r="H12" s="37"/>
      <c r="I12" s="37"/>
      <c r="J12" s="37"/>
      <c r="K12" s="37" t="s">
        <v>152</v>
      </c>
      <c r="L12" s="37"/>
      <c r="M12" s="37"/>
      <c r="N12" s="37"/>
    </row>
    <row r="13" spans="1:14">
      <c r="A13" s="37"/>
      <c r="B13" s="37"/>
      <c r="C13" s="37"/>
      <c r="D13" s="37"/>
      <c r="E13" s="37"/>
      <c r="F13" s="37"/>
      <c r="G13" s="37"/>
      <c r="H13" s="37"/>
      <c r="I13" s="37"/>
      <c r="J13" s="37"/>
      <c r="K13" s="37" t="s">
        <v>152</v>
      </c>
      <c r="L13" s="37"/>
      <c r="M13" s="37"/>
      <c r="N13" s="37"/>
    </row>
    <row r="14" spans="1:14">
      <c r="A14" s="37"/>
      <c r="B14" s="37"/>
      <c r="C14" s="37"/>
      <c r="D14" s="37"/>
      <c r="E14" s="37"/>
      <c r="F14" s="37"/>
      <c r="G14" s="37"/>
      <c r="H14" s="37"/>
      <c r="I14" s="37"/>
      <c r="J14" s="37"/>
      <c r="K14" s="37" t="s">
        <v>152</v>
      </c>
      <c r="L14" s="37"/>
      <c r="M14" s="37"/>
      <c r="N14" s="37"/>
    </row>
    <row r="15" spans="1:14">
      <c r="A15" s="37"/>
      <c r="B15" s="37"/>
      <c r="C15" s="37"/>
      <c r="D15" s="37"/>
      <c r="E15" s="37"/>
      <c r="F15" s="37"/>
      <c r="G15" s="37"/>
      <c r="H15" s="37"/>
      <c r="I15" s="37"/>
      <c r="J15" s="37"/>
      <c r="K15" s="37" t="s">
        <v>152</v>
      </c>
      <c r="L15" s="37"/>
      <c r="M15" s="37"/>
      <c r="N15" s="37"/>
    </row>
    <row r="16" spans="1:14">
      <c r="A16" s="37"/>
      <c r="B16" s="37"/>
      <c r="C16" s="37"/>
      <c r="D16" s="37"/>
      <c r="E16" s="37"/>
      <c r="F16" s="37"/>
      <c r="G16" s="37"/>
      <c r="H16" s="37"/>
      <c r="I16" s="37"/>
      <c r="J16" s="37"/>
      <c r="K16" s="37" t="s">
        <v>152</v>
      </c>
      <c r="L16" s="37"/>
      <c r="M16" s="37"/>
      <c r="N16" s="37"/>
    </row>
    <row r="17" spans="1:14">
      <c r="A17" s="37"/>
      <c r="B17" s="37"/>
      <c r="C17" s="37"/>
      <c r="D17" s="37"/>
      <c r="E17" s="37"/>
      <c r="F17" s="37"/>
      <c r="G17" s="37"/>
      <c r="H17" s="37"/>
      <c r="I17" s="37"/>
      <c r="J17" s="37"/>
      <c r="K17" s="37" t="s">
        <v>152</v>
      </c>
      <c r="L17" s="37"/>
      <c r="M17" s="37"/>
      <c r="N17" s="37"/>
    </row>
    <row r="18" spans="1:14">
      <c r="A18" s="37"/>
      <c r="B18" s="37"/>
      <c r="C18" s="37"/>
      <c r="D18" s="37"/>
      <c r="E18" s="37"/>
      <c r="F18" s="37"/>
      <c r="G18" s="37"/>
      <c r="H18" s="37"/>
      <c r="I18" s="37"/>
      <c r="J18" s="37"/>
      <c r="K18" s="37" t="s">
        <v>152</v>
      </c>
      <c r="L18" s="37"/>
      <c r="M18" s="37"/>
      <c r="N18" s="37"/>
    </row>
    <row r="19" spans="1:14">
      <c r="A19" s="37"/>
      <c r="B19" s="37"/>
      <c r="C19" s="37"/>
      <c r="D19" s="37"/>
      <c r="E19" s="37"/>
      <c r="F19" s="37"/>
      <c r="G19" s="37"/>
      <c r="H19" s="37"/>
      <c r="I19" s="37"/>
      <c r="J19" s="37"/>
      <c r="K19" s="37" t="s">
        <v>152</v>
      </c>
      <c r="L19" s="37"/>
      <c r="M19" s="37"/>
      <c r="N19" s="37"/>
    </row>
    <row r="20" spans="1:14">
      <c r="A20" s="37"/>
      <c r="B20" s="37"/>
      <c r="C20" s="37"/>
      <c r="D20" s="37"/>
      <c r="E20" s="37"/>
      <c r="F20" s="37"/>
      <c r="G20" s="37"/>
      <c r="H20" s="37"/>
      <c r="I20" s="37"/>
      <c r="J20" s="37"/>
      <c r="K20" s="37" t="s">
        <v>152</v>
      </c>
      <c r="L20" s="37"/>
      <c r="M20" s="37"/>
      <c r="N20" s="37"/>
    </row>
    <row r="21" spans="1:14">
      <c r="A21" s="37"/>
      <c r="B21" s="37"/>
      <c r="C21" s="37"/>
      <c r="D21" s="37"/>
      <c r="E21" s="37"/>
      <c r="F21" s="37"/>
      <c r="G21" s="37"/>
      <c r="H21" s="37"/>
      <c r="I21" s="37"/>
      <c r="J21" s="37"/>
      <c r="K21" s="37" t="s">
        <v>152</v>
      </c>
      <c r="L21" s="37"/>
      <c r="M21" s="37"/>
      <c r="N21" s="37"/>
    </row>
    <row r="22" spans="1:14">
      <c r="A22" s="37"/>
      <c r="B22" s="37"/>
      <c r="C22" s="37"/>
      <c r="D22" s="37"/>
      <c r="E22" s="37"/>
      <c r="F22" s="37"/>
      <c r="G22" s="37"/>
      <c r="H22" s="37"/>
      <c r="I22" s="37"/>
      <c r="J22" s="37"/>
      <c r="K22" s="37" t="s">
        <v>152</v>
      </c>
      <c r="L22" s="37"/>
      <c r="M22" s="37"/>
      <c r="N22" s="37"/>
    </row>
    <row r="23" spans="1:14">
      <c r="A23" s="37"/>
      <c r="B23" s="37"/>
      <c r="C23" s="37"/>
      <c r="D23" s="37"/>
      <c r="E23" s="37"/>
      <c r="F23" s="37"/>
      <c r="G23" s="37"/>
      <c r="H23" s="37"/>
      <c r="I23" s="37"/>
      <c r="J23" s="37"/>
      <c r="K23" s="37" t="s">
        <v>152</v>
      </c>
      <c r="L23" s="37"/>
      <c r="M23" s="37"/>
      <c r="N23" s="37"/>
    </row>
    <row r="24" spans="1:14">
      <c r="A24" s="46"/>
      <c r="B24" s="46"/>
      <c r="C24" s="46"/>
      <c r="D24" s="46"/>
      <c r="E24" s="46"/>
      <c r="F24" s="46"/>
      <c r="G24" s="46"/>
      <c r="H24" s="46"/>
      <c r="I24" s="46"/>
      <c r="J24" s="46"/>
      <c r="K24" s="46"/>
      <c r="L24" s="46"/>
      <c r="M24" s="46"/>
      <c r="N24" s="46"/>
    </row>
    <row r="25" spans="1:14" ht="21.95" customHeight="1">
      <c r="A25" s="57" t="s">
        <v>2743</v>
      </c>
      <c r="B25" s="57"/>
      <c r="C25" s="57"/>
      <c r="D25" s="57"/>
      <c r="E25" s="57"/>
      <c r="F25" s="57"/>
      <c r="G25" s="57"/>
      <c r="H25" s="57"/>
      <c r="I25" s="57"/>
      <c r="J25" s="57"/>
      <c r="K25" s="57"/>
      <c r="L25" s="57"/>
      <c r="M25" s="57"/>
      <c r="N25" s="57"/>
    </row>
    <row r="26" spans="1:14" ht="33.950000000000003" customHeight="1">
      <c r="A26" s="36" t="s">
        <v>2744</v>
      </c>
      <c r="B26" s="36" t="s">
        <v>2526</v>
      </c>
      <c r="C26" s="36" t="s">
        <v>578</v>
      </c>
      <c r="D26" s="36" t="s">
        <v>144</v>
      </c>
      <c r="E26" s="36" t="s">
        <v>145</v>
      </c>
      <c r="F26" s="36" t="s">
        <v>70</v>
      </c>
      <c r="G26" s="36"/>
      <c r="H26" s="36"/>
      <c r="I26" s="36"/>
      <c r="J26" s="36"/>
      <c r="K26" s="36"/>
      <c r="L26" s="36"/>
      <c r="M26" s="36"/>
      <c r="N26" s="36"/>
    </row>
    <row r="27" spans="1:14">
      <c r="A27" s="42" t="s">
        <v>2745</v>
      </c>
      <c r="B27" s="37" t="s">
        <v>2746</v>
      </c>
      <c r="C27" s="37"/>
      <c r="D27" s="37" t="s">
        <v>2747</v>
      </c>
      <c r="E27" s="37" t="s">
        <v>152</v>
      </c>
      <c r="F27" s="37"/>
      <c r="G27" s="37"/>
      <c r="H27" s="37"/>
      <c r="I27" s="37"/>
      <c r="J27" s="37"/>
      <c r="K27" s="37"/>
      <c r="L27" s="37"/>
      <c r="M27" s="37"/>
      <c r="N27" s="37"/>
    </row>
    <row r="28" spans="1:14">
      <c r="A28" s="42" t="s">
        <v>2748</v>
      </c>
      <c r="B28" s="37" t="s">
        <v>2749</v>
      </c>
      <c r="C28" s="37"/>
      <c r="D28" s="37" t="s">
        <v>2107</v>
      </c>
      <c r="E28" s="37" t="s">
        <v>152</v>
      </c>
      <c r="F28" s="37"/>
      <c r="G28" s="37"/>
      <c r="H28" s="37"/>
      <c r="I28" s="37"/>
      <c r="J28" s="37"/>
      <c r="K28" s="37"/>
      <c r="L28" s="37"/>
      <c r="M28" s="37"/>
      <c r="N28" s="37"/>
    </row>
    <row r="29" spans="1:14">
      <c r="A29" s="42" t="s">
        <v>2750</v>
      </c>
      <c r="B29" s="37" t="s">
        <v>2751</v>
      </c>
      <c r="C29" s="37"/>
      <c r="D29" s="37" t="s">
        <v>2332</v>
      </c>
      <c r="E29" s="37" t="s">
        <v>152</v>
      </c>
      <c r="F29" s="37"/>
      <c r="G29" s="37"/>
      <c r="H29" s="37"/>
      <c r="I29" s="37"/>
      <c r="J29" s="37"/>
      <c r="K29" s="37"/>
      <c r="L29" s="37"/>
      <c r="M29" s="37"/>
      <c r="N29" s="37"/>
    </row>
    <row r="30" spans="1:14">
      <c r="A30" s="42" t="s">
        <v>2752</v>
      </c>
      <c r="B30" s="37" t="s">
        <v>2753</v>
      </c>
      <c r="C30" s="37"/>
      <c r="D30" s="37" t="s">
        <v>404</v>
      </c>
      <c r="E30" s="37" t="s">
        <v>152</v>
      </c>
      <c r="F30" s="37"/>
      <c r="G30" s="37"/>
      <c r="H30" s="37"/>
      <c r="I30" s="37"/>
      <c r="J30" s="37"/>
      <c r="K30" s="37"/>
      <c r="L30" s="37"/>
      <c r="M30" s="37"/>
      <c r="N30" s="37"/>
    </row>
    <row r="31" spans="1:14">
      <c r="A31" s="42" t="s">
        <v>2754</v>
      </c>
      <c r="B31" s="37" t="s">
        <v>2755</v>
      </c>
      <c r="C31" s="37"/>
      <c r="D31" s="37" t="s">
        <v>2756</v>
      </c>
      <c r="E31" s="37" t="s">
        <v>152</v>
      </c>
      <c r="F31" s="37"/>
      <c r="G31" s="37"/>
      <c r="H31" s="37"/>
      <c r="I31" s="37"/>
      <c r="J31" s="37"/>
      <c r="K31" s="37"/>
      <c r="L31" s="37"/>
      <c r="M31" s="37"/>
      <c r="N31" s="37"/>
    </row>
    <row r="32" spans="1:14">
      <c r="A32" s="42" t="s">
        <v>2757</v>
      </c>
      <c r="B32" s="37" t="s">
        <v>2758</v>
      </c>
      <c r="C32" s="37"/>
      <c r="D32" s="37" t="s">
        <v>176</v>
      </c>
      <c r="E32" s="37" t="s">
        <v>152</v>
      </c>
      <c r="F32" s="37"/>
      <c r="G32" s="37"/>
      <c r="H32" s="37"/>
      <c r="I32" s="37"/>
      <c r="J32" s="37"/>
      <c r="K32" s="37"/>
      <c r="L32" s="37"/>
      <c r="M32" s="37"/>
      <c r="N32" s="37"/>
    </row>
    <row r="33" spans="1:14">
      <c r="A33" s="42" t="s">
        <v>2759</v>
      </c>
      <c r="B33" s="37" t="s">
        <v>2760</v>
      </c>
      <c r="C33" s="37"/>
      <c r="D33" s="37" t="s">
        <v>2761</v>
      </c>
      <c r="E33" s="37" t="s">
        <v>152</v>
      </c>
      <c r="F33" s="37"/>
      <c r="G33" s="37"/>
      <c r="H33" s="37"/>
      <c r="I33" s="37"/>
      <c r="J33" s="37"/>
      <c r="K33" s="37"/>
      <c r="L33" s="37"/>
      <c r="M33" s="37"/>
      <c r="N33" s="37"/>
    </row>
    <row r="34" spans="1:14" ht="105.75" customHeight="1">
      <c r="A34" s="42" t="s">
        <v>2762</v>
      </c>
      <c r="B34" s="37" t="s">
        <v>2763</v>
      </c>
      <c r="C34" s="37"/>
      <c r="D34" s="37" t="s">
        <v>2761</v>
      </c>
      <c r="E34" s="37" t="s">
        <v>152</v>
      </c>
      <c r="F34" s="37" t="s">
        <v>2764</v>
      </c>
      <c r="G34" s="37"/>
      <c r="H34" s="37"/>
      <c r="I34" s="37"/>
      <c r="J34" s="37"/>
      <c r="K34" s="37"/>
      <c r="L34" s="37"/>
      <c r="M34" s="37"/>
      <c r="N34" s="37"/>
    </row>
    <row r="35" spans="1:14" ht="30">
      <c r="A35" s="48" t="s">
        <v>2765</v>
      </c>
      <c r="B35" s="108" t="s">
        <v>2766</v>
      </c>
      <c r="C35" s="109" t="s">
        <v>2767</v>
      </c>
      <c r="D35" s="48"/>
      <c r="E35" s="48"/>
      <c r="F35" s="48"/>
      <c r="G35" s="48"/>
      <c r="H35" s="48"/>
      <c r="I35" s="48"/>
      <c r="J35" s="48"/>
      <c r="K35" s="48"/>
      <c r="L35" s="48"/>
      <c r="M35" s="48"/>
      <c r="N35" s="48"/>
    </row>
    <row r="36" spans="1:14" ht="30">
      <c r="A36" s="48" t="s">
        <v>2765</v>
      </c>
      <c r="B36" s="110" t="s">
        <v>2768</v>
      </c>
      <c r="C36" s="111" t="s">
        <v>2769</v>
      </c>
      <c r="D36" s="48"/>
      <c r="E36" s="48"/>
      <c r="F36" s="48"/>
      <c r="G36" s="48"/>
      <c r="H36" s="48"/>
      <c r="I36" s="48"/>
      <c r="J36" s="48"/>
      <c r="K36" s="48"/>
      <c r="L36" s="48"/>
      <c r="M36" s="48"/>
      <c r="N36" s="48"/>
    </row>
    <row r="37" spans="1:14" ht="75.75">
      <c r="A37" s="48" t="s">
        <v>2765</v>
      </c>
      <c r="B37" s="110" t="s">
        <v>2770</v>
      </c>
      <c r="C37" s="111" t="s">
        <v>2771</v>
      </c>
      <c r="D37" s="48"/>
      <c r="E37" s="48"/>
      <c r="F37" s="48"/>
      <c r="G37" s="48"/>
      <c r="H37" s="48"/>
      <c r="I37" s="48"/>
      <c r="J37" s="48"/>
      <c r="K37" s="48"/>
      <c r="L37" s="48"/>
      <c r="M37" s="48"/>
      <c r="N37" s="48"/>
    </row>
    <row r="38" spans="1:14" ht="45.75">
      <c r="A38" s="48" t="s">
        <v>2765</v>
      </c>
      <c r="B38" s="110" t="s">
        <v>2772</v>
      </c>
      <c r="C38" s="111" t="s">
        <v>2773</v>
      </c>
      <c r="D38" s="48"/>
      <c r="E38" s="48"/>
      <c r="F38" s="48"/>
      <c r="G38" s="48"/>
      <c r="H38" s="48"/>
      <c r="I38" s="48"/>
      <c r="J38" s="48"/>
      <c r="K38" s="48"/>
      <c r="L38" s="48"/>
      <c r="M38" s="48"/>
      <c r="N38" s="48"/>
    </row>
    <row r="39" spans="1:14" ht="45.75">
      <c r="A39" s="48" t="s">
        <v>2765</v>
      </c>
      <c r="B39" s="110" t="s">
        <v>2774</v>
      </c>
      <c r="C39" s="111" t="s">
        <v>2775</v>
      </c>
      <c r="D39" s="48"/>
      <c r="E39" s="48"/>
      <c r="F39" s="48"/>
      <c r="G39" s="48"/>
      <c r="H39" s="48"/>
      <c r="I39" s="48"/>
      <c r="J39" s="48"/>
      <c r="K39" s="48"/>
      <c r="L39" s="48"/>
      <c r="M39" s="48"/>
      <c r="N39" s="48"/>
    </row>
  </sheetData>
  <mergeCells count="1">
    <mergeCell ref="A1:N1"/>
  </mergeCells>
  <dataValidations count="2">
    <dataValidation type="list" allowBlank="1" sqref="K8:K23" xr:uid="{00000000-0002-0000-1300-000000000000}">
      <formula1>"Not Started,Approved,Conditional,Rejected,Needs Review,Not Applicable"</formula1>
    </dataValidation>
    <dataValidation type="list" allowBlank="1" sqref="M8:M23 E27:E34" xr:uid="{00000000-0002-0000-1300-000001000000}">
      <formula1>"Not Started,In Progress,Needs Review,Complete,Not Applicable,Blocked"</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ED7D31"/>
  </sheetPr>
  <dimension ref="A1:K17"/>
  <sheetViews>
    <sheetView showGridLines="0" workbookViewId="0"/>
  </sheetViews>
  <sheetFormatPr defaultRowHeight="15"/>
  <cols>
    <col min="1" max="1" width="28" customWidth="1"/>
    <col min="2" max="3" width="38" customWidth="1"/>
    <col min="4" max="4" width="24" customWidth="1"/>
    <col min="5" max="5" width="32" customWidth="1"/>
    <col min="6" max="7" width="34" customWidth="1"/>
    <col min="8" max="8" width="28" customWidth="1"/>
    <col min="9" max="9" width="34" customWidth="1"/>
    <col min="10" max="11" width="18" customWidth="1"/>
  </cols>
  <sheetData>
    <row r="1" spans="1:11" s="48" customFormat="1">
      <c r="A1" s="186" t="s">
        <v>2721</v>
      </c>
      <c r="B1" s="186"/>
      <c r="C1" s="186"/>
      <c r="D1" s="186"/>
      <c r="E1" s="186"/>
      <c r="F1" s="186"/>
      <c r="G1" s="186"/>
      <c r="H1" s="186"/>
      <c r="I1" s="186"/>
      <c r="J1" s="186"/>
      <c r="K1" s="186"/>
    </row>
    <row r="2" spans="1:11" ht="24" customHeight="1">
      <c r="A2" s="56" t="s">
        <v>0</v>
      </c>
      <c r="B2" s="56"/>
      <c r="C2" s="56"/>
      <c r="D2" s="56"/>
      <c r="E2" s="56"/>
      <c r="F2" s="56"/>
      <c r="G2" s="56"/>
      <c r="H2" s="56"/>
      <c r="I2" s="56"/>
      <c r="J2" s="56"/>
      <c r="K2" s="56"/>
    </row>
    <row r="3" spans="1:11" ht="30" customHeight="1">
      <c r="A3" s="168" t="s">
        <v>2776</v>
      </c>
      <c r="B3" s="193"/>
      <c r="C3" s="193"/>
      <c r="D3" s="193"/>
      <c r="E3" s="193"/>
      <c r="F3" s="193"/>
      <c r="G3" s="193"/>
      <c r="H3" s="193"/>
      <c r="I3" s="193"/>
      <c r="J3" s="193"/>
      <c r="K3" s="45"/>
    </row>
    <row r="4" spans="1:11" ht="30" customHeight="1">
      <c r="A4" s="94" t="s">
        <v>2777</v>
      </c>
      <c r="B4" s="44"/>
      <c r="C4" s="44"/>
      <c r="D4" s="44"/>
      <c r="E4" s="44"/>
      <c r="F4" s="44"/>
      <c r="G4" s="44"/>
      <c r="H4" s="44"/>
      <c r="I4" s="44"/>
      <c r="J4" s="44"/>
      <c r="K4" s="44"/>
    </row>
    <row r="5" spans="1:11">
      <c r="A5" s="46"/>
      <c r="B5" s="46"/>
      <c r="C5" s="46"/>
      <c r="D5" s="46"/>
      <c r="E5" s="46"/>
      <c r="F5" s="46"/>
      <c r="G5" s="46"/>
      <c r="H5" s="46"/>
      <c r="I5" s="46"/>
      <c r="J5" s="46"/>
      <c r="K5" s="46"/>
    </row>
    <row r="6" spans="1:11" ht="21.95" customHeight="1">
      <c r="A6" s="57" t="s">
        <v>2778</v>
      </c>
      <c r="B6" s="57"/>
      <c r="C6" s="57"/>
      <c r="D6" s="57"/>
      <c r="E6" s="57"/>
      <c r="F6" s="57"/>
      <c r="G6" s="57"/>
      <c r="H6" s="57"/>
      <c r="I6" s="57"/>
      <c r="J6" s="57"/>
      <c r="K6" s="57"/>
    </row>
    <row r="7" spans="1:11" ht="33.950000000000003" customHeight="1">
      <c r="A7" s="36" t="s">
        <v>2779</v>
      </c>
      <c r="B7" s="36" t="s">
        <v>1806</v>
      </c>
      <c r="C7" s="36" t="s">
        <v>2780</v>
      </c>
      <c r="D7" s="36" t="s">
        <v>1809</v>
      </c>
      <c r="E7" s="36" t="s">
        <v>2781</v>
      </c>
      <c r="F7" s="36" t="s">
        <v>2782</v>
      </c>
      <c r="G7" s="36" t="s">
        <v>2783</v>
      </c>
      <c r="H7" s="36" t="s">
        <v>2784</v>
      </c>
      <c r="I7" s="36" t="s">
        <v>1815</v>
      </c>
      <c r="J7" s="36" t="s">
        <v>2785</v>
      </c>
      <c r="K7" s="36" t="s">
        <v>145</v>
      </c>
    </row>
    <row r="8" spans="1:11">
      <c r="A8" s="37" t="s">
        <v>2786</v>
      </c>
      <c r="B8" s="37" t="s">
        <v>2787</v>
      </c>
      <c r="C8" s="37" t="s">
        <v>2788</v>
      </c>
      <c r="D8" s="37" t="s">
        <v>2789</v>
      </c>
      <c r="E8" s="37" t="s">
        <v>2790</v>
      </c>
      <c r="F8" s="37" t="s">
        <v>2791</v>
      </c>
      <c r="G8" s="37" t="s">
        <v>2792</v>
      </c>
      <c r="H8" s="37" t="s">
        <v>2793</v>
      </c>
      <c r="I8" s="37" t="s">
        <v>2794</v>
      </c>
      <c r="J8" s="37" t="s">
        <v>203</v>
      </c>
      <c r="K8" s="37" t="s">
        <v>152</v>
      </c>
    </row>
    <row r="9" spans="1:11">
      <c r="A9" s="37" t="s">
        <v>2795</v>
      </c>
      <c r="B9" s="37" t="s">
        <v>2796</v>
      </c>
      <c r="C9" s="37" t="s">
        <v>2797</v>
      </c>
      <c r="D9" s="37" t="s">
        <v>2798</v>
      </c>
      <c r="E9" s="37" t="s">
        <v>2799</v>
      </c>
      <c r="F9" s="37" t="s">
        <v>2800</v>
      </c>
      <c r="G9" s="37" t="s">
        <v>2801</v>
      </c>
      <c r="H9" s="37" t="s">
        <v>1826</v>
      </c>
      <c r="I9" s="37" t="s">
        <v>2802</v>
      </c>
      <c r="J9" s="37" t="s">
        <v>2803</v>
      </c>
      <c r="K9" s="37" t="s">
        <v>152</v>
      </c>
    </row>
    <row r="10" spans="1:11">
      <c r="A10" s="37" t="s">
        <v>2804</v>
      </c>
      <c r="B10" s="37" t="s">
        <v>2805</v>
      </c>
      <c r="C10" s="37" t="s">
        <v>2806</v>
      </c>
      <c r="D10" s="37" t="s">
        <v>2807</v>
      </c>
      <c r="E10" s="37" t="s">
        <v>2808</v>
      </c>
      <c r="F10" s="37" t="s">
        <v>2809</v>
      </c>
      <c r="G10" s="37" t="s">
        <v>2810</v>
      </c>
      <c r="H10" s="37" t="s">
        <v>2811</v>
      </c>
      <c r="I10" s="37" t="s">
        <v>2812</v>
      </c>
      <c r="J10" s="37" t="s">
        <v>257</v>
      </c>
      <c r="K10" s="37" t="s">
        <v>152</v>
      </c>
    </row>
    <row r="11" spans="1:11">
      <c r="A11" s="37" t="s">
        <v>2813</v>
      </c>
      <c r="B11" s="37" t="s">
        <v>2814</v>
      </c>
      <c r="C11" s="37" t="s">
        <v>2815</v>
      </c>
      <c r="D11" s="37" t="s">
        <v>2816</v>
      </c>
      <c r="E11" s="37" t="s">
        <v>2817</v>
      </c>
      <c r="F11" s="37" t="s">
        <v>2818</v>
      </c>
      <c r="G11" s="37" t="s">
        <v>2819</v>
      </c>
      <c r="H11" s="37" t="s">
        <v>2820</v>
      </c>
      <c r="I11" s="37" t="s">
        <v>2821</v>
      </c>
      <c r="J11" s="37" t="s">
        <v>227</v>
      </c>
      <c r="K11" s="37" t="s">
        <v>152</v>
      </c>
    </row>
    <row r="12" spans="1:11" ht="38.25">
      <c r="A12" s="112" t="s">
        <v>2822</v>
      </c>
      <c r="B12" s="112" t="s">
        <v>2823</v>
      </c>
      <c r="C12" s="112" t="s">
        <v>2824</v>
      </c>
      <c r="D12" s="112" t="s">
        <v>2825</v>
      </c>
      <c r="E12" s="112" t="s">
        <v>2826</v>
      </c>
      <c r="F12" s="112" t="s">
        <v>2827</v>
      </c>
      <c r="G12" s="112" t="s">
        <v>2828</v>
      </c>
      <c r="H12" s="112" t="s">
        <v>2829</v>
      </c>
      <c r="I12" s="112" t="s">
        <v>2830</v>
      </c>
      <c r="J12" s="112" t="s">
        <v>2831</v>
      </c>
      <c r="K12" s="112" t="s">
        <v>152</v>
      </c>
    </row>
    <row r="13" spans="1:11">
      <c r="A13" s="48"/>
      <c r="B13" s="48"/>
      <c r="C13" s="48"/>
      <c r="D13" s="48"/>
      <c r="E13" s="48"/>
      <c r="F13" s="48"/>
      <c r="G13" s="48"/>
      <c r="H13" s="48"/>
      <c r="I13" s="48"/>
      <c r="J13" s="48"/>
      <c r="K13" s="48"/>
    </row>
    <row r="14" spans="1:11">
      <c r="A14" s="48"/>
      <c r="B14" s="48"/>
      <c r="C14" s="48"/>
      <c r="D14" s="48"/>
      <c r="E14" s="48"/>
      <c r="F14" s="48"/>
      <c r="G14" s="48"/>
      <c r="H14" s="48"/>
      <c r="I14" s="48"/>
      <c r="J14" s="48"/>
      <c r="K14" s="48"/>
    </row>
    <row r="15" spans="1:11">
      <c r="A15" s="48"/>
      <c r="B15" s="48"/>
      <c r="C15" s="48"/>
      <c r="D15" s="48"/>
      <c r="E15" s="48"/>
      <c r="F15" s="48"/>
      <c r="G15" s="48"/>
      <c r="H15" s="48"/>
      <c r="I15" s="48"/>
      <c r="J15" s="48"/>
      <c r="K15" s="48"/>
    </row>
    <row r="16" spans="1:11">
      <c r="A16" s="48"/>
      <c r="B16" s="48"/>
      <c r="C16" s="48"/>
      <c r="D16" s="48"/>
      <c r="E16" s="48"/>
      <c r="F16" s="48"/>
      <c r="G16" s="48"/>
      <c r="H16" s="48"/>
      <c r="I16" s="48"/>
      <c r="J16" s="48"/>
      <c r="K16" s="48"/>
    </row>
    <row r="17" spans="1:11">
      <c r="A17" s="48"/>
      <c r="B17" s="48"/>
      <c r="C17" s="48"/>
      <c r="D17" s="48"/>
      <c r="E17" s="48"/>
      <c r="F17" s="48"/>
      <c r="G17" s="48"/>
      <c r="H17" s="48"/>
      <c r="I17" s="48"/>
      <c r="J17" s="48"/>
      <c r="K17" s="48"/>
    </row>
  </sheetData>
  <mergeCells count="2">
    <mergeCell ref="A3:J3"/>
    <mergeCell ref="A1:K1"/>
  </mergeCells>
  <dataValidations count="1">
    <dataValidation type="list" allowBlank="1" sqref="I8:I11 K8:K11" xr:uid="{00000000-0002-0000-2B00-000000000000}">
      <formula1>"Not Started,In Progress,Needs Review,Complete,Not Applicable,Blocked"</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43C0C"/>
  </sheetPr>
  <dimension ref="A1:R28"/>
  <sheetViews>
    <sheetView showGridLines="0" workbookViewId="0">
      <selection activeCell="E17" sqref="E17"/>
    </sheetView>
  </sheetViews>
  <sheetFormatPr defaultRowHeight="15"/>
  <cols>
    <col min="1" max="1" width="44.5703125" customWidth="1"/>
    <col min="2" max="2" width="26" customWidth="1"/>
    <col min="3" max="3" width="28.5703125" customWidth="1"/>
    <col min="4" max="4" width="28.5703125" style="48" customWidth="1"/>
    <col min="5" max="5" width="22" customWidth="1"/>
    <col min="6" max="9" width="24" customWidth="1"/>
    <col min="10" max="10" width="26" customWidth="1"/>
    <col min="11" max="12" width="24" customWidth="1"/>
    <col min="13" max="13" width="22" customWidth="1"/>
    <col min="14" max="14" width="28" customWidth="1"/>
    <col min="15" max="15" width="20" customWidth="1"/>
    <col min="16" max="16" width="18" customWidth="1"/>
    <col min="17" max="17" width="30" customWidth="1"/>
  </cols>
  <sheetData>
    <row r="1" spans="1:18" s="48" customFormat="1">
      <c r="A1" s="187" t="s">
        <v>2832</v>
      </c>
      <c r="B1" s="187"/>
      <c r="C1" s="187"/>
      <c r="D1" s="187"/>
      <c r="E1" s="187"/>
      <c r="F1" s="187"/>
      <c r="G1" s="187"/>
      <c r="H1" s="187"/>
      <c r="I1" s="187"/>
      <c r="J1" s="187"/>
      <c r="K1" s="187"/>
      <c r="L1" s="187"/>
      <c r="M1" s="187"/>
      <c r="N1" s="187"/>
      <c r="O1" s="187"/>
      <c r="P1" s="187"/>
      <c r="Q1" s="187"/>
      <c r="R1" s="187"/>
    </row>
    <row r="2" spans="1:18" ht="24" customHeight="1">
      <c r="A2" s="56" t="s">
        <v>0</v>
      </c>
      <c r="B2" s="56"/>
      <c r="C2" s="56"/>
      <c r="D2" s="56"/>
      <c r="E2" s="56"/>
      <c r="F2" s="56"/>
      <c r="G2" s="56"/>
      <c r="H2" s="56"/>
      <c r="I2" s="56"/>
      <c r="J2" s="56"/>
      <c r="K2" s="56"/>
      <c r="L2" s="56"/>
      <c r="M2" s="56"/>
      <c r="N2" s="56"/>
      <c r="O2" s="56"/>
      <c r="P2" s="56"/>
      <c r="Q2" s="56"/>
      <c r="R2" s="48"/>
    </row>
    <row r="3" spans="1:18" ht="30" customHeight="1">
      <c r="A3" s="45" t="s">
        <v>2833</v>
      </c>
      <c r="B3" s="45"/>
      <c r="C3" s="45"/>
      <c r="D3" s="45"/>
      <c r="E3" s="45"/>
      <c r="F3" s="45"/>
      <c r="G3" s="45"/>
      <c r="H3" s="45"/>
      <c r="I3" s="45"/>
      <c r="J3" s="45"/>
      <c r="K3" s="45"/>
      <c r="L3" s="45"/>
      <c r="M3" s="45"/>
      <c r="N3" s="45"/>
      <c r="O3" s="45"/>
      <c r="P3" s="45"/>
      <c r="Q3" s="45"/>
      <c r="R3" s="48"/>
    </row>
    <row r="4" spans="1:18" ht="63" customHeight="1">
      <c r="A4" s="44" t="s">
        <v>2834</v>
      </c>
      <c r="B4" s="44"/>
      <c r="C4" s="44"/>
      <c r="D4" s="44"/>
      <c r="E4" s="44"/>
      <c r="F4" s="44"/>
      <c r="G4" s="44"/>
      <c r="H4" s="44"/>
      <c r="I4" s="44"/>
      <c r="J4" s="44"/>
      <c r="K4" s="44"/>
      <c r="L4" s="44"/>
      <c r="M4" s="44"/>
      <c r="N4" s="44"/>
      <c r="O4" s="44"/>
      <c r="P4" s="44"/>
      <c r="Q4" s="44"/>
      <c r="R4" s="48"/>
    </row>
    <row r="5" spans="1:18">
      <c r="A5" s="46"/>
      <c r="B5" s="46"/>
      <c r="C5" s="46"/>
      <c r="D5" s="46"/>
      <c r="E5" s="46"/>
      <c r="F5" s="46"/>
      <c r="G5" s="46"/>
      <c r="H5" s="46"/>
      <c r="I5" s="46"/>
      <c r="J5" s="46"/>
      <c r="K5" s="46"/>
      <c r="L5" s="46"/>
      <c r="M5" s="46"/>
      <c r="N5" s="46"/>
      <c r="O5" s="46"/>
      <c r="P5" s="46"/>
      <c r="Q5" s="46"/>
      <c r="R5" s="48"/>
    </row>
    <row r="6" spans="1:18" ht="21.95" customHeight="1">
      <c r="A6" s="57" t="s">
        <v>2835</v>
      </c>
      <c r="B6" s="57"/>
      <c r="C6" s="57"/>
      <c r="D6" s="57"/>
      <c r="E6" s="57"/>
      <c r="F6" s="57"/>
      <c r="G6" s="57"/>
      <c r="H6" s="57"/>
      <c r="I6" s="57"/>
      <c r="J6" s="57"/>
      <c r="K6" s="57"/>
      <c r="L6" s="57"/>
      <c r="M6" s="57"/>
      <c r="N6" s="57"/>
      <c r="O6" s="57"/>
      <c r="P6" s="57"/>
      <c r="Q6" s="57"/>
      <c r="R6" s="48"/>
    </row>
    <row r="7" spans="1:18" ht="33.950000000000003" customHeight="1">
      <c r="A7" s="36" t="s">
        <v>2836</v>
      </c>
      <c r="B7" s="36" t="s">
        <v>1742</v>
      </c>
      <c r="C7" s="36" t="s">
        <v>2837</v>
      </c>
      <c r="D7" s="36" t="s">
        <v>2838</v>
      </c>
      <c r="E7" s="36" t="s">
        <v>1744</v>
      </c>
      <c r="F7" s="36" t="s">
        <v>2839</v>
      </c>
      <c r="G7" s="36" t="s">
        <v>2840</v>
      </c>
      <c r="H7" s="36" t="s">
        <v>2841</v>
      </c>
      <c r="I7" s="36" t="s">
        <v>2842</v>
      </c>
      <c r="J7" s="36" t="s">
        <v>560</v>
      </c>
      <c r="K7" s="36" t="s">
        <v>2101</v>
      </c>
      <c r="L7" s="36" t="s">
        <v>2843</v>
      </c>
      <c r="M7" s="36" t="s">
        <v>2844</v>
      </c>
      <c r="N7" s="36" t="s">
        <v>2845</v>
      </c>
      <c r="O7" s="36" t="s">
        <v>2846</v>
      </c>
      <c r="P7" s="36" t="s">
        <v>144</v>
      </c>
      <c r="Q7" s="36" t="s">
        <v>145</v>
      </c>
      <c r="R7" s="36" t="s">
        <v>70</v>
      </c>
    </row>
    <row r="8" spans="1:18">
      <c r="A8" s="37" t="s">
        <v>2847</v>
      </c>
      <c r="B8" s="37"/>
      <c r="C8" s="37"/>
      <c r="D8" s="105" t="b">
        <v>0</v>
      </c>
      <c r="E8" s="37"/>
      <c r="F8" s="37"/>
      <c r="G8" s="37"/>
      <c r="H8" s="37"/>
      <c r="I8" s="37"/>
      <c r="J8" s="37"/>
      <c r="K8" s="37"/>
      <c r="L8" s="37"/>
      <c r="M8" s="37"/>
      <c r="N8" s="37"/>
      <c r="O8" s="37"/>
      <c r="P8" s="37"/>
      <c r="Q8" s="37" t="s">
        <v>152</v>
      </c>
      <c r="R8" s="37"/>
    </row>
    <row r="9" spans="1:18">
      <c r="A9" s="37" t="s">
        <v>2848</v>
      </c>
      <c r="B9" s="37"/>
      <c r="C9" s="37"/>
      <c r="D9" s="105" t="b">
        <v>0</v>
      </c>
      <c r="E9" s="37"/>
      <c r="F9" s="37"/>
      <c r="G9" s="37"/>
      <c r="H9" s="37"/>
      <c r="I9" s="37"/>
      <c r="J9" s="37"/>
      <c r="K9" s="37"/>
      <c r="L9" s="37"/>
      <c r="M9" s="37"/>
      <c r="N9" s="37"/>
      <c r="O9" s="37"/>
      <c r="P9" s="37"/>
      <c r="Q9" s="37" t="s">
        <v>152</v>
      </c>
      <c r="R9" s="37"/>
    </row>
    <row r="10" spans="1:18">
      <c r="A10" s="37" t="s">
        <v>2849</v>
      </c>
      <c r="B10" s="37"/>
      <c r="C10" s="37"/>
      <c r="D10" s="105" t="b">
        <v>0</v>
      </c>
      <c r="E10" s="37"/>
      <c r="F10" s="37"/>
      <c r="G10" s="37"/>
      <c r="H10" s="37"/>
      <c r="I10" s="37"/>
      <c r="J10" s="37"/>
      <c r="K10" s="37"/>
      <c r="L10" s="37"/>
      <c r="M10" s="37"/>
      <c r="N10" s="37"/>
      <c r="O10" s="37"/>
      <c r="P10" s="37"/>
      <c r="Q10" s="37" t="s">
        <v>152</v>
      </c>
      <c r="R10" s="37"/>
    </row>
    <row r="11" spans="1:18">
      <c r="A11" s="37" t="s">
        <v>2850</v>
      </c>
      <c r="B11" s="37"/>
      <c r="C11" s="37"/>
      <c r="D11" s="105" t="b">
        <v>0</v>
      </c>
      <c r="E11" s="37"/>
      <c r="F11" s="37"/>
      <c r="G11" s="37"/>
      <c r="H11" s="37"/>
      <c r="I11" s="37"/>
      <c r="J11" s="37"/>
      <c r="K11" s="37"/>
      <c r="L11" s="37"/>
      <c r="M11" s="37"/>
      <c r="N11" s="37"/>
      <c r="O11" s="37"/>
      <c r="P11" s="37"/>
      <c r="Q11" s="37" t="s">
        <v>152</v>
      </c>
      <c r="R11" s="37"/>
    </row>
    <row r="12" spans="1:18">
      <c r="A12" s="37" t="s">
        <v>2851</v>
      </c>
      <c r="B12" s="37"/>
      <c r="C12" s="37"/>
      <c r="D12" s="105" t="b">
        <v>0</v>
      </c>
      <c r="E12" s="37"/>
      <c r="F12" s="37"/>
      <c r="G12" s="37"/>
      <c r="H12" s="37"/>
      <c r="I12" s="37"/>
      <c r="J12" s="37"/>
      <c r="K12" s="37"/>
      <c r="L12" s="37"/>
      <c r="M12" s="37"/>
      <c r="N12" s="37"/>
      <c r="O12" s="37"/>
      <c r="P12" s="37"/>
      <c r="Q12" s="37" t="s">
        <v>152</v>
      </c>
      <c r="R12" s="37"/>
    </row>
    <row r="13" spans="1:18">
      <c r="A13" s="37" t="s">
        <v>2852</v>
      </c>
      <c r="B13" s="37"/>
      <c r="C13" s="37"/>
      <c r="D13" s="105" t="b">
        <v>0</v>
      </c>
      <c r="E13" s="37"/>
      <c r="F13" s="37"/>
      <c r="G13" s="37"/>
      <c r="H13" s="37"/>
      <c r="I13" s="37"/>
      <c r="J13" s="37"/>
      <c r="K13" s="37"/>
      <c r="L13" s="37"/>
      <c r="M13" s="37"/>
      <c r="N13" s="37"/>
      <c r="O13" s="37"/>
      <c r="P13" s="37"/>
      <c r="Q13" s="37" t="s">
        <v>152</v>
      </c>
      <c r="R13" s="37"/>
    </row>
    <row r="14" spans="1:18">
      <c r="A14" s="37" t="s">
        <v>2853</v>
      </c>
      <c r="B14" s="37"/>
      <c r="C14" s="37"/>
      <c r="D14" s="105" t="b">
        <v>0</v>
      </c>
      <c r="E14" s="37"/>
      <c r="F14" s="37"/>
      <c r="G14" s="37"/>
      <c r="H14" s="37"/>
      <c r="I14" s="37"/>
      <c r="J14" s="37"/>
      <c r="K14" s="37"/>
      <c r="L14" s="37"/>
      <c r="M14" s="37"/>
      <c r="N14" s="37"/>
      <c r="O14" s="37"/>
      <c r="P14" s="37"/>
      <c r="Q14" s="37" t="s">
        <v>152</v>
      </c>
      <c r="R14" s="37"/>
    </row>
    <row r="15" spans="1:18">
      <c r="A15" s="37" t="s">
        <v>2854</v>
      </c>
      <c r="B15" s="37"/>
      <c r="C15" s="37"/>
      <c r="D15" s="105" t="b">
        <v>0</v>
      </c>
      <c r="E15" s="37"/>
      <c r="F15" s="37"/>
      <c r="G15" s="37"/>
      <c r="H15" s="37"/>
      <c r="I15" s="37"/>
      <c r="J15" s="37"/>
      <c r="K15" s="37"/>
      <c r="L15" s="37"/>
      <c r="M15" s="37"/>
      <c r="N15" s="37"/>
      <c r="O15" s="37"/>
      <c r="P15" s="37"/>
      <c r="Q15" s="37" t="s">
        <v>152</v>
      </c>
      <c r="R15" s="37"/>
    </row>
    <row r="16" spans="1:18">
      <c r="A16" s="37" t="s">
        <v>2855</v>
      </c>
      <c r="B16" s="37"/>
      <c r="C16" s="37"/>
      <c r="D16" s="105" t="b">
        <v>0</v>
      </c>
      <c r="E16" s="37"/>
      <c r="F16" s="37"/>
      <c r="G16" s="37"/>
      <c r="H16" s="37"/>
      <c r="I16" s="37"/>
      <c r="J16" s="37"/>
      <c r="K16" s="37"/>
      <c r="L16" s="37"/>
      <c r="M16" s="37"/>
      <c r="N16" s="37"/>
      <c r="O16" s="37"/>
      <c r="P16" s="37"/>
      <c r="Q16" s="37" t="s">
        <v>152</v>
      </c>
      <c r="R16" s="37"/>
    </row>
    <row r="17" spans="1:18">
      <c r="A17" s="37" t="s">
        <v>2856</v>
      </c>
      <c r="B17" s="37"/>
      <c r="C17" s="37"/>
      <c r="D17" s="105" t="b">
        <v>0</v>
      </c>
      <c r="E17" s="37"/>
      <c r="F17" s="37"/>
      <c r="G17" s="37"/>
      <c r="H17" s="37"/>
      <c r="I17" s="37"/>
      <c r="J17" s="37"/>
      <c r="K17" s="37"/>
      <c r="L17" s="37"/>
      <c r="M17" s="37"/>
      <c r="N17" s="37"/>
      <c r="O17" s="37"/>
      <c r="P17" s="37"/>
      <c r="Q17" s="37" t="s">
        <v>152</v>
      </c>
      <c r="R17" s="37"/>
    </row>
    <row r="18" spans="1:18">
      <c r="A18" s="37" t="s">
        <v>2857</v>
      </c>
      <c r="B18" s="37"/>
      <c r="C18" s="37"/>
      <c r="D18" s="105" t="b">
        <v>0</v>
      </c>
      <c r="E18" s="37"/>
      <c r="F18" s="37"/>
      <c r="G18" s="37"/>
      <c r="H18" s="37"/>
      <c r="I18" s="37"/>
      <c r="J18" s="37"/>
      <c r="K18" s="37"/>
      <c r="L18" s="37"/>
      <c r="M18" s="37"/>
      <c r="N18" s="37"/>
      <c r="O18" s="37"/>
      <c r="P18" s="37"/>
      <c r="Q18" s="37" t="s">
        <v>152</v>
      </c>
      <c r="R18" s="37"/>
    </row>
    <row r="19" spans="1:18">
      <c r="A19" s="37" t="s">
        <v>2858</v>
      </c>
      <c r="B19" s="37"/>
      <c r="C19" s="37"/>
      <c r="D19" s="105" t="b">
        <v>0</v>
      </c>
      <c r="E19" s="37"/>
      <c r="F19" s="37"/>
      <c r="G19" s="37"/>
      <c r="H19" s="37"/>
      <c r="I19" s="37"/>
      <c r="J19" s="37"/>
      <c r="K19" s="37"/>
      <c r="L19" s="37"/>
      <c r="M19" s="37"/>
      <c r="N19" s="37"/>
      <c r="O19" s="37"/>
      <c r="P19" s="37"/>
      <c r="Q19" s="37" t="s">
        <v>152</v>
      </c>
      <c r="R19" s="37"/>
    </row>
    <row r="20" spans="1:18">
      <c r="A20" s="37" t="s">
        <v>2859</v>
      </c>
      <c r="B20" s="37"/>
      <c r="C20" s="37"/>
      <c r="D20" s="105" t="b">
        <v>0</v>
      </c>
      <c r="E20" s="37"/>
      <c r="F20" s="37"/>
      <c r="G20" s="37"/>
      <c r="H20" s="37"/>
      <c r="I20" s="37"/>
      <c r="J20" s="37"/>
      <c r="K20" s="37"/>
      <c r="L20" s="37"/>
      <c r="M20" s="37"/>
      <c r="N20" s="37"/>
      <c r="O20" s="37"/>
      <c r="P20" s="37"/>
      <c r="Q20" s="37" t="s">
        <v>152</v>
      </c>
      <c r="R20" s="37"/>
    </row>
    <row r="21" spans="1:18">
      <c r="A21" s="37" t="s">
        <v>2860</v>
      </c>
      <c r="B21" s="37"/>
      <c r="C21" s="37"/>
      <c r="D21" s="105" t="b">
        <v>0</v>
      </c>
      <c r="E21" s="37"/>
      <c r="F21" s="37"/>
      <c r="G21" s="37"/>
      <c r="H21" s="37"/>
      <c r="I21" s="37"/>
      <c r="J21" s="37"/>
      <c r="K21" s="37"/>
      <c r="L21" s="37"/>
      <c r="M21" s="37"/>
      <c r="N21" s="37"/>
      <c r="O21" s="37"/>
      <c r="P21" s="37"/>
      <c r="Q21" s="37" t="s">
        <v>152</v>
      </c>
      <c r="R21" s="37"/>
    </row>
    <row r="22" spans="1:18">
      <c r="A22" s="37" t="s">
        <v>2861</v>
      </c>
      <c r="B22" s="37"/>
      <c r="C22" s="37"/>
      <c r="D22" s="105" t="b">
        <v>0</v>
      </c>
      <c r="E22" s="37"/>
      <c r="F22" s="37"/>
      <c r="G22" s="37"/>
      <c r="H22" s="37"/>
      <c r="I22" s="37"/>
      <c r="J22" s="37"/>
      <c r="K22" s="37"/>
      <c r="L22" s="37"/>
      <c r="M22" s="37"/>
      <c r="N22" s="37"/>
      <c r="O22" s="37"/>
      <c r="P22" s="37"/>
      <c r="Q22" s="37" t="s">
        <v>152</v>
      </c>
      <c r="R22" s="37"/>
    </row>
    <row r="23" spans="1:18">
      <c r="A23" s="37" t="s">
        <v>2862</v>
      </c>
      <c r="B23" s="37"/>
      <c r="C23" s="37"/>
      <c r="D23" s="105" t="b">
        <v>0</v>
      </c>
      <c r="E23" s="37"/>
      <c r="F23" s="37"/>
      <c r="G23" s="37"/>
      <c r="H23" s="37"/>
      <c r="I23" s="37"/>
      <c r="J23" s="37"/>
      <c r="K23" s="37"/>
      <c r="L23" s="37"/>
      <c r="M23" s="37"/>
      <c r="N23" s="37"/>
      <c r="O23" s="37"/>
      <c r="P23" s="37"/>
      <c r="Q23" s="37" t="s">
        <v>152</v>
      </c>
      <c r="R23" s="37"/>
    </row>
    <row r="24" spans="1:18">
      <c r="A24" s="37" t="s">
        <v>2863</v>
      </c>
      <c r="B24" s="37"/>
      <c r="C24" s="37"/>
      <c r="D24" s="105" t="b">
        <v>0</v>
      </c>
      <c r="E24" s="37"/>
      <c r="F24" s="37"/>
      <c r="G24" s="37"/>
      <c r="H24" s="37"/>
      <c r="I24" s="37"/>
      <c r="J24" s="37"/>
      <c r="K24" s="37"/>
      <c r="L24" s="37"/>
      <c r="M24" s="37"/>
      <c r="N24" s="37"/>
      <c r="O24" s="37"/>
      <c r="P24" s="37"/>
      <c r="Q24" s="37" t="s">
        <v>152</v>
      </c>
      <c r="R24" s="37"/>
    </row>
    <row r="25" spans="1:18">
      <c r="A25" s="37" t="s">
        <v>2864</v>
      </c>
      <c r="B25" s="37"/>
      <c r="C25" s="37"/>
      <c r="D25" s="105" t="b">
        <v>0</v>
      </c>
      <c r="E25" s="37"/>
      <c r="F25" s="37"/>
      <c r="G25" s="37"/>
      <c r="H25" s="37"/>
      <c r="I25" s="37"/>
      <c r="J25" s="37"/>
      <c r="K25" s="37"/>
      <c r="L25" s="37"/>
      <c r="M25" s="37"/>
      <c r="N25" s="37"/>
      <c r="O25" s="37"/>
      <c r="P25" s="37"/>
      <c r="Q25" s="37" t="s">
        <v>152</v>
      </c>
      <c r="R25" s="37"/>
    </row>
    <row r="26" spans="1:18">
      <c r="A26" s="37" t="s">
        <v>2865</v>
      </c>
      <c r="B26" s="37"/>
      <c r="C26" s="37"/>
      <c r="D26" s="105" t="b">
        <v>0</v>
      </c>
      <c r="E26" s="37"/>
      <c r="F26" s="37"/>
      <c r="G26" s="37"/>
      <c r="H26" s="37"/>
      <c r="I26" s="37"/>
      <c r="J26" s="37"/>
      <c r="K26" s="37"/>
      <c r="L26" s="37"/>
      <c r="M26" s="37"/>
      <c r="N26" s="37"/>
      <c r="O26" s="37"/>
      <c r="P26" s="37"/>
      <c r="Q26" s="37" t="s">
        <v>152</v>
      </c>
      <c r="R26" s="37"/>
    </row>
    <row r="27" spans="1:18">
      <c r="A27" s="37" t="s">
        <v>2866</v>
      </c>
      <c r="B27" s="37"/>
      <c r="C27" s="37"/>
      <c r="D27" s="105" t="b">
        <v>0</v>
      </c>
      <c r="E27" s="37"/>
      <c r="F27" s="37"/>
      <c r="G27" s="37"/>
      <c r="H27" s="37"/>
      <c r="I27" s="37"/>
      <c r="J27" s="37"/>
      <c r="K27" s="37"/>
      <c r="L27" s="37"/>
      <c r="M27" s="37"/>
      <c r="N27" s="37"/>
      <c r="O27" s="37"/>
      <c r="P27" s="37"/>
      <c r="Q27" s="37" t="s">
        <v>152</v>
      </c>
      <c r="R27" s="37"/>
    </row>
    <row r="28" spans="1:18">
      <c r="A28" s="46"/>
      <c r="B28" s="46"/>
      <c r="C28" s="46"/>
      <c r="D28" s="46"/>
      <c r="E28" s="46"/>
      <c r="F28" s="46"/>
      <c r="G28" s="46"/>
      <c r="H28" s="46"/>
      <c r="I28" s="46"/>
      <c r="J28" s="46"/>
      <c r="K28" s="46"/>
      <c r="L28" s="46"/>
      <c r="M28" s="46"/>
      <c r="N28" s="46"/>
      <c r="O28" s="46"/>
      <c r="P28" s="46"/>
      <c r="Q28" s="46"/>
      <c r="R28" s="48"/>
    </row>
  </sheetData>
  <mergeCells count="1">
    <mergeCell ref="A1:R1"/>
  </mergeCells>
  <dataValidations count="1">
    <dataValidation type="list" allowBlank="1" sqref="N8:N27 Q8:Q27" xr:uid="{00000000-0002-0000-0D00-000000000000}">
      <formula1>"Not Started,In Progress,Needs Review,Complete,Not Applicable,Blocked"</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43C0C"/>
  </sheetPr>
  <dimension ref="A1:N20"/>
  <sheetViews>
    <sheetView showGridLines="0" workbookViewId="0"/>
  </sheetViews>
  <sheetFormatPr defaultRowHeight="15"/>
  <cols>
    <col min="1" max="1" width="39" customWidth="1"/>
    <col min="2" max="2" width="30" customWidth="1"/>
    <col min="3" max="3" width="24" customWidth="1"/>
    <col min="4" max="4" width="22" customWidth="1"/>
    <col min="5" max="5" width="30" customWidth="1"/>
    <col min="6" max="7" width="26" customWidth="1"/>
    <col min="8" max="8" width="28" customWidth="1"/>
    <col min="9" max="9" width="18" customWidth="1"/>
    <col min="10" max="10" width="30" customWidth="1"/>
    <col min="11" max="11" width="18" customWidth="1"/>
    <col min="12" max="12" width="20" customWidth="1"/>
    <col min="13" max="13" width="18" customWidth="1"/>
    <col min="14" max="14" width="32" customWidth="1"/>
  </cols>
  <sheetData>
    <row r="1" spans="1:14" s="48" customFormat="1">
      <c r="A1" s="187" t="s">
        <v>2832</v>
      </c>
      <c r="B1" s="187"/>
      <c r="C1" s="187"/>
      <c r="D1" s="187"/>
      <c r="E1" s="187"/>
      <c r="F1" s="187"/>
      <c r="G1" s="187"/>
      <c r="H1" s="187"/>
      <c r="I1" s="187"/>
      <c r="J1" s="187"/>
      <c r="K1" s="187"/>
      <c r="L1" s="187"/>
      <c r="M1" s="187"/>
      <c r="N1" s="187"/>
    </row>
    <row r="2" spans="1:14" ht="24" customHeight="1">
      <c r="A2" s="56" t="s">
        <v>0</v>
      </c>
      <c r="B2" s="56"/>
      <c r="C2" s="56"/>
      <c r="D2" s="56"/>
      <c r="E2" s="56"/>
      <c r="F2" s="56"/>
      <c r="G2" s="56"/>
      <c r="H2" s="56"/>
      <c r="I2" s="56"/>
      <c r="J2" s="56"/>
      <c r="K2" s="56"/>
      <c r="L2" s="56"/>
      <c r="M2" s="56"/>
      <c r="N2" s="56"/>
    </row>
    <row r="3" spans="1:14" ht="30" customHeight="1">
      <c r="A3" s="45" t="s">
        <v>2867</v>
      </c>
      <c r="B3" s="45"/>
      <c r="C3" s="45"/>
      <c r="D3" s="45"/>
      <c r="E3" s="45"/>
      <c r="F3" s="45"/>
      <c r="G3" s="45"/>
      <c r="H3" s="45"/>
      <c r="I3" s="45"/>
      <c r="J3" s="45"/>
      <c r="K3" s="45"/>
      <c r="L3" s="45"/>
      <c r="M3" s="45"/>
      <c r="N3" s="45"/>
    </row>
    <row r="4" spans="1:14" ht="53.25" customHeight="1">
      <c r="A4" s="44" t="s">
        <v>2868</v>
      </c>
      <c r="B4" s="44"/>
      <c r="C4" s="44"/>
      <c r="D4" s="44"/>
      <c r="E4" s="44"/>
      <c r="F4" s="44"/>
      <c r="G4" s="44"/>
      <c r="H4" s="44"/>
      <c r="I4" s="44"/>
      <c r="J4" s="44"/>
      <c r="K4" s="44"/>
      <c r="L4" s="44"/>
      <c r="M4" s="44"/>
      <c r="N4" s="44"/>
    </row>
    <row r="5" spans="1:14">
      <c r="A5" s="46"/>
      <c r="B5" s="46"/>
      <c r="C5" s="46"/>
      <c r="D5" s="46"/>
      <c r="E5" s="46"/>
      <c r="F5" s="46"/>
      <c r="G5" s="46"/>
      <c r="H5" s="46"/>
      <c r="I5" s="46"/>
      <c r="J5" s="46"/>
      <c r="K5" s="46"/>
      <c r="L5" s="46"/>
      <c r="M5" s="46"/>
      <c r="N5" s="46"/>
    </row>
    <row r="6" spans="1:14" ht="21.95" customHeight="1">
      <c r="A6" s="57" t="s">
        <v>2869</v>
      </c>
      <c r="B6" s="57"/>
      <c r="C6" s="57"/>
      <c r="D6" s="57"/>
      <c r="E6" s="57"/>
      <c r="F6" s="57"/>
      <c r="G6" s="57"/>
      <c r="H6" s="57"/>
      <c r="I6" s="57"/>
      <c r="J6" s="57"/>
      <c r="K6" s="57"/>
      <c r="L6" s="57"/>
      <c r="M6" s="57"/>
      <c r="N6" s="57"/>
    </row>
    <row r="7" spans="1:14" ht="33.950000000000003" customHeight="1">
      <c r="A7" s="36" t="s">
        <v>2870</v>
      </c>
      <c r="B7" s="36" t="s">
        <v>2871</v>
      </c>
      <c r="C7" s="36" t="s">
        <v>2872</v>
      </c>
      <c r="D7" s="36" t="s">
        <v>2873</v>
      </c>
      <c r="E7" s="36" t="s">
        <v>2874</v>
      </c>
      <c r="F7" s="36" t="s">
        <v>2875</v>
      </c>
      <c r="G7" s="36" t="s">
        <v>2876</v>
      </c>
      <c r="H7" s="36" t="s">
        <v>2877</v>
      </c>
      <c r="I7" s="36" t="s">
        <v>2878</v>
      </c>
      <c r="J7" s="36" t="s">
        <v>2879</v>
      </c>
      <c r="K7" s="36" t="s">
        <v>526</v>
      </c>
      <c r="L7" s="36" t="s">
        <v>144</v>
      </c>
      <c r="M7" s="36" t="s">
        <v>145</v>
      </c>
      <c r="N7" s="36" t="s">
        <v>70</v>
      </c>
    </row>
    <row r="8" spans="1:14">
      <c r="A8" s="37"/>
      <c r="B8" s="37"/>
      <c r="C8" s="37"/>
      <c r="D8" s="37"/>
      <c r="E8" s="37"/>
      <c r="F8" s="37"/>
      <c r="G8" s="37"/>
      <c r="H8" s="37"/>
      <c r="I8" s="37"/>
      <c r="J8" s="37"/>
      <c r="K8" s="37" t="s">
        <v>152</v>
      </c>
      <c r="L8" s="37"/>
      <c r="M8" s="37"/>
      <c r="N8" s="37"/>
    </row>
    <row r="9" spans="1:14">
      <c r="A9" s="37"/>
      <c r="B9" s="37"/>
      <c r="C9" s="37"/>
      <c r="D9" s="37"/>
      <c r="E9" s="37"/>
      <c r="F9" s="37"/>
      <c r="G9" s="37"/>
      <c r="H9" s="37"/>
      <c r="I9" s="37"/>
      <c r="J9" s="37"/>
      <c r="K9" s="37" t="s">
        <v>152</v>
      </c>
      <c r="L9" s="37"/>
      <c r="M9" s="37"/>
      <c r="N9" s="37"/>
    </row>
    <row r="10" spans="1:14">
      <c r="A10" s="37"/>
      <c r="B10" s="37"/>
      <c r="C10" s="37"/>
      <c r="D10" s="37"/>
      <c r="E10" s="37"/>
      <c r="F10" s="37"/>
      <c r="G10" s="37"/>
      <c r="H10" s="37"/>
      <c r="I10" s="37"/>
      <c r="J10" s="37"/>
      <c r="K10" s="37" t="s">
        <v>152</v>
      </c>
      <c r="L10" s="37"/>
      <c r="M10" s="37"/>
      <c r="N10" s="37"/>
    </row>
    <row r="11" spans="1:14">
      <c r="A11" s="37"/>
      <c r="B11" s="37"/>
      <c r="C11" s="37"/>
      <c r="D11" s="37"/>
      <c r="E11" s="37"/>
      <c r="F11" s="37"/>
      <c r="G11" s="37"/>
      <c r="H11" s="37"/>
      <c r="I11" s="37"/>
      <c r="J11" s="37"/>
      <c r="K11" s="37" t="s">
        <v>152</v>
      </c>
      <c r="L11" s="37"/>
      <c r="M11" s="37"/>
      <c r="N11" s="37"/>
    </row>
    <row r="12" spans="1:14">
      <c r="A12" s="37"/>
      <c r="B12" s="37"/>
      <c r="C12" s="37"/>
      <c r="D12" s="37"/>
      <c r="E12" s="37"/>
      <c r="F12" s="37"/>
      <c r="G12" s="37"/>
      <c r="H12" s="37"/>
      <c r="I12" s="37"/>
      <c r="J12" s="37"/>
      <c r="K12" s="37" t="s">
        <v>152</v>
      </c>
      <c r="L12" s="37"/>
      <c r="M12" s="37"/>
      <c r="N12" s="37"/>
    </row>
    <row r="13" spans="1:14">
      <c r="A13" s="37"/>
      <c r="B13" s="37"/>
      <c r="C13" s="37"/>
      <c r="D13" s="37"/>
      <c r="E13" s="37"/>
      <c r="F13" s="37"/>
      <c r="G13" s="37"/>
      <c r="H13" s="37"/>
      <c r="I13" s="37"/>
      <c r="J13" s="37"/>
      <c r="K13" s="37" t="s">
        <v>152</v>
      </c>
      <c r="L13" s="37"/>
      <c r="M13" s="37"/>
      <c r="N13" s="37"/>
    </row>
    <row r="14" spans="1:14">
      <c r="A14" s="37"/>
      <c r="B14" s="37"/>
      <c r="C14" s="37"/>
      <c r="D14" s="37"/>
      <c r="E14" s="37"/>
      <c r="F14" s="37"/>
      <c r="G14" s="37"/>
      <c r="H14" s="37"/>
      <c r="I14" s="37"/>
      <c r="J14" s="37"/>
      <c r="K14" s="37" t="s">
        <v>152</v>
      </c>
      <c r="L14" s="37"/>
      <c r="M14" s="37"/>
      <c r="N14" s="37"/>
    </row>
    <row r="15" spans="1:14">
      <c r="A15" s="37"/>
      <c r="B15" s="37"/>
      <c r="C15" s="37"/>
      <c r="D15" s="37"/>
      <c r="E15" s="37"/>
      <c r="F15" s="37"/>
      <c r="G15" s="37"/>
      <c r="H15" s="37"/>
      <c r="I15" s="37"/>
      <c r="J15" s="37"/>
      <c r="K15" s="37" t="s">
        <v>152</v>
      </c>
      <c r="L15" s="37"/>
      <c r="M15" s="37"/>
      <c r="N15" s="37"/>
    </row>
    <row r="16" spans="1:14">
      <c r="A16" s="37"/>
      <c r="B16" s="37"/>
      <c r="C16" s="37"/>
      <c r="D16" s="37"/>
      <c r="E16" s="37"/>
      <c r="F16" s="37"/>
      <c r="G16" s="37"/>
      <c r="H16" s="37"/>
      <c r="I16" s="37"/>
      <c r="J16" s="37"/>
      <c r="K16" s="37" t="s">
        <v>152</v>
      </c>
      <c r="L16" s="37"/>
      <c r="M16" s="37"/>
      <c r="N16" s="37"/>
    </row>
    <row r="17" spans="1:14">
      <c r="A17" s="37"/>
      <c r="B17" s="37"/>
      <c r="C17" s="37"/>
      <c r="D17" s="37"/>
      <c r="E17" s="37"/>
      <c r="F17" s="37"/>
      <c r="G17" s="37"/>
      <c r="H17" s="37"/>
      <c r="I17" s="37"/>
      <c r="J17" s="37"/>
      <c r="K17" s="37" t="s">
        <v>152</v>
      </c>
      <c r="L17" s="37"/>
      <c r="M17" s="37"/>
      <c r="N17" s="37"/>
    </row>
    <row r="18" spans="1:14">
      <c r="A18" s="37"/>
      <c r="B18" s="37"/>
      <c r="C18" s="37"/>
      <c r="D18" s="37"/>
      <c r="E18" s="37"/>
      <c r="F18" s="37"/>
      <c r="G18" s="37"/>
      <c r="H18" s="37"/>
      <c r="I18" s="37"/>
      <c r="J18" s="37"/>
      <c r="K18" s="37" t="s">
        <v>152</v>
      </c>
      <c r="L18" s="37"/>
      <c r="M18" s="37"/>
      <c r="N18" s="37"/>
    </row>
    <row r="19" spans="1:14">
      <c r="A19" s="37"/>
      <c r="B19" s="37"/>
      <c r="C19" s="37"/>
      <c r="D19" s="37"/>
      <c r="E19" s="37"/>
      <c r="F19" s="37"/>
      <c r="G19" s="37"/>
      <c r="H19" s="37"/>
      <c r="I19" s="37"/>
      <c r="J19" s="37"/>
      <c r="K19" s="37" t="s">
        <v>152</v>
      </c>
      <c r="L19" s="37"/>
      <c r="M19" s="37"/>
      <c r="N19" s="37"/>
    </row>
    <row r="20" spans="1:14">
      <c r="A20" s="46"/>
      <c r="B20" s="46"/>
      <c r="C20" s="46"/>
      <c r="D20" s="46"/>
      <c r="E20" s="46"/>
      <c r="F20" s="46"/>
      <c r="G20" s="46"/>
      <c r="H20" s="46"/>
      <c r="I20" s="46"/>
      <c r="J20" s="46"/>
      <c r="K20" s="46"/>
      <c r="L20" s="46"/>
      <c r="M20" s="46"/>
      <c r="N20" s="46"/>
    </row>
  </sheetData>
  <mergeCells count="1">
    <mergeCell ref="A1:N1"/>
  </mergeCells>
  <dataValidations count="2">
    <dataValidation type="list" allowBlank="1" sqref="K8:K19" xr:uid="{00000000-0002-0000-1100-000000000000}">
      <formula1>"Not Started,Approved,Conditional,Rejected,Needs Review,Not Applicable"</formula1>
    </dataValidation>
    <dataValidation type="list" allowBlank="1" sqref="M8:M19" xr:uid="{00000000-0002-0000-1100-000001000000}">
      <formula1>"Not Started,In Progress,Needs Review,Complete,Not Applicable,Blocked"</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1FCC2-4740-4614-AB4C-1B5C70815B5B}">
  <sheetPr>
    <tabColor rgb="FF843C0C"/>
  </sheetPr>
  <dimension ref="A1:N67"/>
  <sheetViews>
    <sheetView workbookViewId="0">
      <pane ySplit="7" topLeftCell="A8" activePane="bottomLeft" state="frozen"/>
      <selection pane="bottomLeft" activeCell="A3" sqref="A3"/>
    </sheetView>
  </sheetViews>
  <sheetFormatPr defaultRowHeight="15"/>
  <cols>
    <col min="1" max="1" width="28.5703125" customWidth="1"/>
    <col min="2" max="3" width="18.140625" customWidth="1"/>
    <col min="4" max="5" width="22.85546875" customWidth="1"/>
    <col min="6" max="8" width="17.140625" customWidth="1"/>
    <col min="9" max="9" width="18.140625" customWidth="1"/>
    <col min="10" max="11" width="20" customWidth="1"/>
    <col min="12" max="12" width="17.140625" customWidth="1"/>
    <col min="13" max="13" width="30.42578125" customWidth="1"/>
  </cols>
  <sheetData>
    <row r="1" spans="1:14" s="48" customFormat="1">
      <c r="A1" s="187" t="s">
        <v>2832</v>
      </c>
      <c r="B1" s="187"/>
      <c r="C1" s="187"/>
      <c r="D1" s="187"/>
      <c r="E1" s="187"/>
      <c r="F1" s="187"/>
      <c r="G1" s="187"/>
      <c r="H1" s="187"/>
      <c r="I1" s="187"/>
      <c r="J1" s="187"/>
      <c r="K1" s="187"/>
      <c r="L1" s="187"/>
      <c r="M1" s="187"/>
      <c r="N1" s="187"/>
    </row>
    <row r="2" spans="1:14">
      <c r="A2" s="205" t="s">
        <v>0</v>
      </c>
      <c r="B2" s="205"/>
      <c r="C2" s="205"/>
      <c r="D2" s="205"/>
      <c r="E2" s="205"/>
      <c r="F2" s="205"/>
      <c r="G2" s="205"/>
      <c r="H2" s="205"/>
      <c r="I2" s="205"/>
      <c r="J2" s="205"/>
      <c r="K2" s="205"/>
      <c r="L2" s="205"/>
      <c r="M2" s="205"/>
      <c r="N2" s="48"/>
    </row>
    <row r="3" spans="1:14">
      <c r="A3" s="202" t="s">
        <v>2880</v>
      </c>
      <c r="B3" s="202"/>
      <c r="C3" s="202"/>
      <c r="D3" s="202"/>
      <c r="E3" s="202"/>
      <c r="F3" s="202"/>
      <c r="G3" s="202"/>
      <c r="H3" s="202"/>
      <c r="I3" s="202"/>
      <c r="J3" s="202"/>
      <c r="K3" s="202"/>
      <c r="L3" s="202"/>
      <c r="M3" s="202"/>
      <c r="N3" s="48"/>
    </row>
    <row r="4" spans="1:14" ht="42" customHeight="1">
      <c r="A4" s="169" t="s">
        <v>2881</v>
      </c>
      <c r="B4" s="169"/>
      <c r="C4" s="169"/>
      <c r="D4" s="169"/>
      <c r="E4" s="169"/>
      <c r="F4" s="169"/>
      <c r="G4" s="169"/>
      <c r="H4" s="169"/>
      <c r="I4" s="169"/>
      <c r="J4" s="169"/>
      <c r="K4" s="169"/>
      <c r="L4" s="169"/>
      <c r="M4" s="169"/>
      <c r="N4" s="48"/>
    </row>
    <row r="6" spans="1:14">
      <c r="A6" s="203" t="s">
        <v>2882</v>
      </c>
      <c r="B6" s="203"/>
      <c r="C6" s="203"/>
      <c r="D6" s="203"/>
      <c r="E6" s="203"/>
      <c r="F6" s="203"/>
      <c r="G6" s="203"/>
      <c r="H6" s="203"/>
      <c r="I6" s="203"/>
      <c r="J6" s="203"/>
      <c r="K6" s="203"/>
      <c r="L6" s="203"/>
      <c r="M6" s="203"/>
      <c r="N6" s="48"/>
    </row>
    <row r="7" spans="1:14" ht="30" customHeight="1">
      <c r="A7" s="62" t="s">
        <v>2883</v>
      </c>
      <c r="B7" s="62" t="s">
        <v>2884</v>
      </c>
      <c r="C7" s="62" t="s">
        <v>2885</v>
      </c>
      <c r="D7" s="62" t="s">
        <v>2886</v>
      </c>
      <c r="E7" s="62" t="s">
        <v>2887</v>
      </c>
      <c r="F7" s="62" t="s">
        <v>2888</v>
      </c>
      <c r="G7" s="62" t="s">
        <v>2889</v>
      </c>
      <c r="H7" s="62" t="s">
        <v>2890</v>
      </c>
      <c r="I7" s="62" t="s">
        <v>2891</v>
      </c>
      <c r="J7" s="62" t="s">
        <v>2892</v>
      </c>
      <c r="K7" s="62" t="s">
        <v>1788</v>
      </c>
      <c r="L7" s="62" t="s">
        <v>144</v>
      </c>
      <c r="M7" s="62" t="s">
        <v>70</v>
      </c>
      <c r="N7" s="48"/>
    </row>
    <row r="8" spans="1:14">
      <c r="A8" s="63"/>
      <c r="B8" s="64"/>
      <c r="C8" s="64"/>
      <c r="D8" s="64"/>
      <c r="E8" s="64"/>
      <c r="F8" s="72"/>
      <c r="G8" s="72"/>
      <c r="H8" s="64"/>
      <c r="I8" s="64"/>
      <c r="J8" s="64"/>
      <c r="K8" s="64"/>
      <c r="L8" s="64"/>
      <c r="M8" s="65"/>
      <c r="N8" s="48"/>
    </row>
    <row r="9" spans="1:14">
      <c r="A9" s="66"/>
      <c r="B9" s="67"/>
      <c r="C9" s="67"/>
      <c r="D9" s="67"/>
      <c r="E9" s="67"/>
      <c r="F9" s="73"/>
      <c r="G9" s="73"/>
      <c r="H9" s="67"/>
      <c r="I9" s="67"/>
      <c r="J9" s="67"/>
      <c r="K9" s="67"/>
      <c r="L9" s="67"/>
      <c r="M9" s="68"/>
      <c r="N9" s="48"/>
    </row>
    <row r="10" spans="1:14">
      <c r="A10" s="66"/>
      <c r="B10" s="67"/>
      <c r="C10" s="67"/>
      <c r="D10" s="67"/>
      <c r="E10" s="67"/>
      <c r="F10" s="73"/>
      <c r="G10" s="73"/>
      <c r="H10" s="67"/>
      <c r="I10" s="67"/>
      <c r="J10" s="67"/>
      <c r="K10" s="67"/>
      <c r="L10" s="67"/>
      <c r="M10" s="68"/>
      <c r="N10" s="48"/>
    </row>
    <row r="11" spans="1:14">
      <c r="A11" s="66"/>
      <c r="B11" s="67"/>
      <c r="C11" s="67"/>
      <c r="D11" s="67"/>
      <c r="E11" s="67"/>
      <c r="F11" s="73"/>
      <c r="G11" s="73"/>
      <c r="H11" s="67"/>
      <c r="I11" s="67"/>
      <c r="J11" s="67"/>
      <c r="K11" s="67"/>
      <c r="L11" s="67"/>
      <c r="M11" s="68"/>
      <c r="N11" s="48"/>
    </row>
    <row r="12" spans="1:14">
      <c r="A12" s="66"/>
      <c r="B12" s="67"/>
      <c r="C12" s="67"/>
      <c r="D12" s="67"/>
      <c r="E12" s="67"/>
      <c r="F12" s="73"/>
      <c r="G12" s="73"/>
      <c r="H12" s="67"/>
      <c r="I12" s="67"/>
      <c r="J12" s="67"/>
      <c r="K12" s="67"/>
      <c r="L12" s="67"/>
      <c r="M12" s="68"/>
      <c r="N12" s="48"/>
    </row>
    <row r="13" spans="1:14">
      <c r="A13" s="66"/>
      <c r="B13" s="67"/>
      <c r="C13" s="67"/>
      <c r="D13" s="67"/>
      <c r="E13" s="67"/>
      <c r="F13" s="73"/>
      <c r="G13" s="73"/>
      <c r="H13" s="67"/>
      <c r="I13" s="67"/>
      <c r="J13" s="67"/>
      <c r="K13" s="67"/>
      <c r="L13" s="67"/>
      <c r="M13" s="68"/>
      <c r="N13" s="48"/>
    </row>
    <row r="14" spans="1:14">
      <c r="A14" s="66"/>
      <c r="B14" s="67"/>
      <c r="C14" s="67"/>
      <c r="D14" s="67"/>
      <c r="E14" s="67"/>
      <c r="F14" s="73"/>
      <c r="G14" s="73"/>
      <c r="H14" s="67"/>
      <c r="I14" s="67"/>
      <c r="J14" s="67"/>
      <c r="K14" s="67"/>
      <c r="L14" s="67"/>
      <c r="M14" s="68"/>
      <c r="N14" s="48"/>
    </row>
    <row r="15" spans="1:14">
      <c r="A15" s="66"/>
      <c r="B15" s="67"/>
      <c r="C15" s="67"/>
      <c r="D15" s="67"/>
      <c r="E15" s="67"/>
      <c r="F15" s="73"/>
      <c r="G15" s="73"/>
      <c r="H15" s="67"/>
      <c r="I15" s="67"/>
      <c r="J15" s="67"/>
      <c r="K15" s="67"/>
      <c r="L15" s="67"/>
      <c r="M15" s="68"/>
      <c r="N15" s="48"/>
    </row>
    <row r="16" spans="1:14">
      <c r="A16" s="66"/>
      <c r="B16" s="67"/>
      <c r="C16" s="67"/>
      <c r="D16" s="67"/>
      <c r="E16" s="67"/>
      <c r="F16" s="73"/>
      <c r="G16" s="73"/>
      <c r="H16" s="67"/>
      <c r="I16" s="67"/>
      <c r="J16" s="67"/>
      <c r="K16" s="67"/>
      <c r="L16" s="67"/>
      <c r="M16" s="68"/>
      <c r="N16" s="48"/>
    </row>
    <row r="17" spans="1:14">
      <c r="A17" s="66"/>
      <c r="B17" s="67"/>
      <c r="C17" s="67"/>
      <c r="D17" s="67"/>
      <c r="E17" s="67"/>
      <c r="F17" s="73"/>
      <c r="G17" s="73"/>
      <c r="H17" s="67"/>
      <c r="I17" s="67"/>
      <c r="J17" s="67"/>
      <c r="K17" s="67"/>
      <c r="L17" s="67"/>
      <c r="M17" s="68"/>
      <c r="N17" s="48"/>
    </row>
    <row r="18" spans="1:14">
      <c r="A18" s="66"/>
      <c r="B18" s="67"/>
      <c r="C18" s="67"/>
      <c r="D18" s="67"/>
      <c r="E18" s="67"/>
      <c r="F18" s="73"/>
      <c r="G18" s="73"/>
      <c r="H18" s="67"/>
      <c r="I18" s="67"/>
      <c r="J18" s="67"/>
      <c r="K18" s="67"/>
      <c r="L18" s="67"/>
      <c r="M18" s="68"/>
      <c r="N18" s="48"/>
    </row>
    <row r="19" spans="1:14">
      <c r="A19" s="66"/>
      <c r="B19" s="67"/>
      <c r="C19" s="67"/>
      <c r="D19" s="67"/>
      <c r="E19" s="67"/>
      <c r="F19" s="73"/>
      <c r="G19" s="73"/>
      <c r="H19" s="67"/>
      <c r="I19" s="67"/>
      <c r="J19" s="67"/>
      <c r="K19" s="67"/>
      <c r="L19" s="67"/>
      <c r="M19" s="68"/>
      <c r="N19" s="48"/>
    </row>
    <row r="20" spans="1:14">
      <c r="A20" s="66"/>
      <c r="B20" s="67"/>
      <c r="C20" s="67"/>
      <c r="D20" s="67"/>
      <c r="E20" s="67"/>
      <c r="F20" s="73"/>
      <c r="G20" s="73"/>
      <c r="H20" s="67"/>
      <c r="I20" s="67"/>
      <c r="J20" s="67"/>
      <c r="K20" s="67"/>
      <c r="L20" s="67"/>
      <c r="M20" s="68"/>
      <c r="N20" s="48"/>
    </row>
    <row r="21" spans="1:14">
      <c r="A21" s="66"/>
      <c r="B21" s="67"/>
      <c r="C21" s="67"/>
      <c r="D21" s="67"/>
      <c r="E21" s="67"/>
      <c r="F21" s="73"/>
      <c r="G21" s="73"/>
      <c r="H21" s="67"/>
      <c r="I21" s="67"/>
      <c r="J21" s="67"/>
      <c r="K21" s="67"/>
      <c r="L21" s="67"/>
      <c r="M21" s="68"/>
      <c r="N21" s="48"/>
    </row>
    <row r="22" spans="1:14">
      <c r="A22" s="66"/>
      <c r="B22" s="67"/>
      <c r="C22" s="67"/>
      <c r="D22" s="67"/>
      <c r="E22" s="67"/>
      <c r="F22" s="73"/>
      <c r="G22" s="73"/>
      <c r="H22" s="67"/>
      <c r="I22" s="67"/>
      <c r="J22" s="67"/>
      <c r="K22" s="67"/>
      <c r="L22" s="67"/>
      <c r="M22" s="68"/>
      <c r="N22" s="48"/>
    </row>
    <row r="23" spans="1:14">
      <c r="A23" s="66"/>
      <c r="B23" s="67"/>
      <c r="C23" s="67"/>
      <c r="D23" s="67"/>
      <c r="E23" s="67"/>
      <c r="F23" s="73"/>
      <c r="G23" s="73"/>
      <c r="H23" s="67"/>
      <c r="I23" s="67"/>
      <c r="J23" s="67"/>
      <c r="K23" s="67"/>
      <c r="L23" s="67"/>
      <c r="M23" s="68"/>
      <c r="N23" s="48"/>
    </row>
    <row r="24" spans="1:14">
      <c r="A24" s="66"/>
      <c r="B24" s="67"/>
      <c r="C24" s="67"/>
      <c r="D24" s="67"/>
      <c r="E24" s="67"/>
      <c r="F24" s="73"/>
      <c r="G24" s="73"/>
      <c r="H24" s="67"/>
      <c r="I24" s="67"/>
      <c r="J24" s="67"/>
      <c r="K24" s="67"/>
      <c r="L24" s="67"/>
      <c r="M24" s="68"/>
      <c r="N24" s="48"/>
    </row>
    <row r="25" spans="1:14">
      <c r="A25" s="66"/>
      <c r="B25" s="67"/>
      <c r="C25" s="67"/>
      <c r="D25" s="67"/>
      <c r="E25" s="67"/>
      <c r="F25" s="73"/>
      <c r="G25" s="73"/>
      <c r="H25" s="67"/>
      <c r="I25" s="67"/>
      <c r="J25" s="67"/>
      <c r="K25" s="67"/>
      <c r="L25" s="67"/>
      <c r="M25" s="68"/>
      <c r="N25" s="48"/>
    </row>
    <row r="26" spans="1:14">
      <c r="A26" s="66"/>
      <c r="B26" s="67"/>
      <c r="C26" s="67"/>
      <c r="D26" s="67"/>
      <c r="E26" s="67"/>
      <c r="F26" s="73"/>
      <c r="G26" s="73"/>
      <c r="H26" s="67"/>
      <c r="I26" s="67"/>
      <c r="J26" s="67"/>
      <c r="K26" s="67"/>
      <c r="L26" s="67"/>
      <c r="M26" s="68"/>
      <c r="N26" s="48"/>
    </row>
    <row r="27" spans="1:14">
      <c r="A27" s="66"/>
      <c r="B27" s="67"/>
      <c r="C27" s="67"/>
      <c r="D27" s="67"/>
      <c r="E27" s="67"/>
      <c r="F27" s="73"/>
      <c r="G27" s="73"/>
      <c r="H27" s="67"/>
      <c r="I27" s="67"/>
      <c r="J27" s="67"/>
      <c r="K27" s="67"/>
      <c r="L27" s="67"/>
      <c r="M27" s="68"/>
      <c r="N27" s="48"/>
    </row>
    <row r="28" spans="1:14">
      <c r="A28" s="66"/>
      <c r="B28" s="67"/>
      <c r="C28" s="67"/>
      <c r="D28" s="67"/>
      <c r="E28" s="67"/>
      <c r="F28" s="73"/>
      <c r="G28" s="73"/>
      <c r="H28" s="67"/>
      <c r="I28" s="67"/>
      <c r="J28" s="67"/>
      <c r="K28" s="67"/>
      <c r="L28" s="67"/>
      <c r="M28" s="68"/>
      <c r="N28" s="48"/>
    </row>
    <row r="29" spans="1:14">
      <c r="A29" s="66"/>
      <c r="B29" s="67"/>
      <c r="C29" s="67"/>
      <c r="D29" s="67"/>
      <c r="E29" s="67"/>
      <c r="F29" s="73"/>
      <c r="G29" s="73"/>
      <c r="H29" s="67"/>
      <c r="I29" s="67"/>
      <c r="J29" s="67"/>
      <c r="K29" s="67"/>
      <c r="L29" s="67"/>
      <c r="M29" s="68"/>
      <c r="N29" s="48"/>
    </row>
    <row r="30" spans="1:14">
      <c r="A30" s="66"/>
      <c r="B30" s="67"/>
      <c r="C30" s="67"/>
      <c r="D30" s="67"/>
      <c r="E30" s="67"/>
      <c r="F30" s="73"/>
      <c r="G30" s="73"/>
      <c r="H30" s="67"/>
      <c r="I30" s="67"/>
      <c r="J30" s="67"/>
      <c r="K30" s="67"/>
      <c r="L30" s="67"/>
      <c r="M30" s="68"/>
      <c r="N30" s="48"/>
    </row>
    <row r="31" spans="1:14">
      <c r="A31" s="66"/>
      <c r="B31" s="67"/>
      <c r="C31" s="67"/>
      <c r="D31" s="67"/>
      <c r="E31" s="67"/>
      <c r="F31" s="73"/>
      <c r="G31" s="73"/>
      <c r="H31" s="67"/>
      <c r="I31" s="67"/>
      <c r="J31" s="67"/>
      <c r="K31" s="67"/>
      <c r="L31" s="67"/>
      <c r="M31" s="68"/>
      <c r="N31" s="48"/>
    </row>
    <row r="32" spans="1:14">
      <c r="A32" s="66"/>
      <c r="B32" s="67"/>
      <c r="C32" s="67"/>
      <c r="D32" s="67"/>
      <c r="E32" s="67"/>
      <c r="F32" s="73"/>
      <c r="G32" s="73"/>
      <c r="H32" s="67"/>
      <c r="I32" s="67"/>
      <c r="J32" s="67"/>
      <c r="K32" s="67"/>
      <c r="L32" s="67"/>
      <c r="M32" s="68"/>
      <c r="N32" s="48"/>
    </row>
    <row r="33" spans="1:14">
      <c r="A33" s="66"/>
      <c r="B33" s="67"/>
      <c r="C33" s="67"/>
      <c r="D33" s="67"/>
      <c r="E33" s="67"/>
      <c r="F33" s="73"/>
      <c r="G33" s="73"/>
      <c r="H33" s="67"/>
      <c r="I33" s="67"/>
      <c r="J33" s="67"/>
      <c r="K33" s="67"/>
      <c r="L33" s="67"/>
      <c r="M33" s="68"/>
      <c r="N33" s="48"/>
    </row>
    <row r="34" spans="1:14">
      <c r="A34" s="66"/>
      <c r="B34" s="67"/>
      <c r="C34" s="67"/>
      <c r="D34" s="67"/>
      <c r="E34" s="67"/>
      <c r="F34" s="73"/>
      <c r="G34" s="73"/>
      <c r="H34" s="67"/>
      <c r="I34" s="67"/>
      <c r="J34" s="67"/>
      <c r="K34" s="67"/>
      <c r="L34" s="67"/>
      <c r="M34" s="68"/>
      <c r="N34" s="48"/>
    </row>
    <row r="35" spans="1:14">
      <c r="A35" s="66"/>
      <c r="B35" s="67"/>
      <c r="C35" s="67"/>
      <c r="D35" s="67"/>
      <c r="E35" s="67"/>
      <c r="F35" s="73"/>
      <c r="G35" s="73"/>
      <c r="H35" s="67"/>
      <c r="I35" s="67"/>
      <c r="J35" s="67"/>
      <c r="K35" s="67"/>
      <c r="L35" s="67"/>
      <c r="M35" s="68"/>
      <c r="N35" s="48"/>
    </row>
    <row r="36" spans="1:14">
      <c r="A36" s="66"/>
      <c r="B36" s="67"/>
      <c r="C36" s="67"/>
      <c r="D36" s="67"/>
      <c r="E36" s="67"/>
      <c r="F36" s="73"/>
      <c r="G36" s="73"/>
      <c r="H36" s="67"/>
      <c r="I36" s="67"/>
      <c r="J36" s="67"/>
      <c r="K36" s="67"/>
      <c r="L36" s="67"/>
      <c r="M36" s="68"/>
      <c r="N36" s="48"/>
    </row>
    <row r="37" spans="1:14">
      <c r="A37" s="66"/>
      <c r="B37" s="67"/>
      <c r="C37" s="67"/>
      <c r="D37" s="67"/>
      <c r="E37" s="67"/>
      <c r="F37" s="73"/>
      <c r="G37" s="73"/>
      <c r="H37" s="67"/>
      <c r="I37" s="67"/>
      <c r="J37" s="67"/>
      <c r="K37" s="67"/>
      <c r="L37" s="67"/>
      <c r="M37" s="68"/>
      <c r="N37" s="48"/>
    </row>
    <row r="38" spans="1:14">
      <c r="A38" s="66"/>
      <c r="B38" s="67"/>
      <c r="C38" s="67"/>
      <c r="D38" s="67"/>
      <c r="E38" s="67"/>
      <c r="F38" s="73"/>
      <c r="G38" s="73"/>
      <c r="H38" s="67"/>
      <c r="I38" s="67"/>
      <c r="J38" s="67"/>
      <c r="K38" s="67"/>
      <c r="L38" s="67"/>
      <c r="M38" s="68"/>
      <c r="N38" s="48"/>
    </row>
    <row r="39" spans="1:14">
      <c r="A39" s="66"/>
      <c r="B39" s="67"/>
      <c r="C39" s="67"/>
      <c r="D39" s="67"/>
      <c r="E39" s="67"/>
      <c r="F39" s="73"/>
      <c r="G39" s="73"/>
      <c r="H39" s="67"/>
      <c r="I39" s="67"/>
      <c r="J39" s="67"/>
      <c r="K39" s="67"/>
      <c r="L39" s="67"/>
      <c r="M39" s="68"/>
      <c r="N39" s="48"/>
    </row>
    <row r="40" spans="1:14">
      <c r="A40" s="66"/>
      <c r="B40" s="67"/>
      <c r="C40" s="67"/>
      <c r="D40" s="67"/>
      <c r="E40" s="67"/>
      <c r="F40" s="73"/>
      <c r="G40" s="73"/>
      <c r="H40" s="67"/>
      <c r="I40" s="67"/>
      <c r="J40" s="67"/>
      <c r="K40" s="67"/>
      <c r="L40" s="67"/>
      <c r="M40" s="68"/>
      <c r="N40" s="48"/>
    </row>
    <row r="41" spans="1:14">
      <c r="A41" s="66"/>
      <c r="B41" s="67"/>
      <c r="C41" s="67"/>
      <c r="D41" s="67"/>
      <c r="E41" s="67"/>
      <c r="F41" s="73"/>
      <c r="G41" s="73"/>
      <c r="H41" s="67"/>
      <c r="I41" s="67"/>
      <c r="J41" s="67"/>
      <c r="K41" s="67"/>
      <c r="L41" s="67"/>
      <c r="M41" s="68"/>
      <c r="N41" s="48"/>
    </row>
    <row r="42" spans="1:14">
      <c r="A42" s="66"/>
      <c r="B42" s="67"/>
      <c r="C42" s="67"/>
      <c r="D42" s="67"/>
      <c r="E42" s="67"/>
      <c r="F42" s="73"/>
      <c r="G42" s="73"/>
      <c r="H42" s="67"/>
      <c r="I42" s="67"/>
      <c r="J42" s="67"/>
      <c r="K42" s="67"/>
      <c r="L42" s="67"/>
      <c r="M42" s="68"/>
      <c r="N42" s="48"/>
    </row>
    <row r="43" spans="1:14">
      <c r="A43" s="66"/>
      <c r="B43" s="67"/>
      <c r="C43" s="67"/>
      <c r="D43" s="67"/>
      <c r="E43" s="67"/>
      <c r="F43" s="73"/>
      <c r="G43" s="73"/>
      <c r="H43" s="67"/>
      <c r="I43" s="67"/>
      <c r="J43" s="67"/>
      <c r="K43" s="67"/>
      <c r="L43" s="67"/>
      <c r="M43" s="68"/>
      <c r="N43" s="48"/>
    </row>
    <row r="44" spans="1:14">
      <c r="A44" s="66"/>
      <c r="B44" s="67"/>
      <c r="C44" s="67"/>
      <c r="D44" s="67"/>
      <c r="E44" s="67"/>
      <c r="F44" s="73"/>
      <c r="G44" s="73"/>
      <c r="H44" s="67"/>
      <c r="I44" s="67"/>
      <c r="J44" s="67"/>
      <c r="K44" s="67"/>
      <c r="L44" s="67"/>
      <c r="M44" s="68"/>
      <c r="N44" s="48"/>
    </row>
    <row r="45" spans="1:14">
      <c r="A45" s="66"/>
      <c r="B45" s="67"/>
      <c r="C45" s="67"/>
      <c r="D45" s="67"/>
      <c r="E45" s="67"/>
      <c r="F45" s="73"/>
      <c r="G45" s="73"/>
      <c r="H45" s="67"/>
      <c r="I45" s="67"/>
      <c r="J45" s="67"/>
      <c r="K45" s="67"/>
      <c r="L45" s="67"/>
      <c r="M45" s="68"/>
      <c r="N45" s="48"/>
    </row>
    <row r="46" spans="1:14">
      <c r="A46" s="66"/>
      <c r="B46" s="67"/>
      <c r="C46" s="67"/>
      <c r="D46" s="67"/>
      <c r="E46" s="67"/>
      <c r="F46" s="73"/>
      <c r="G46" s="73"/>
      <c r="H46" s="67"/>
      <c r="I46" s="67"/>
      <c r="J46" s="67"/>
      <c r="K46" s="67"/>
      <c r="L46" s="67"/>
      <c r="M46" s="68"/>
      <c r="N46" s="48"/>
    </row>
    <row r="47" spans="1:14">
      <c r="A47" s="69"/>
      <c r="B47" s="70"/>
      <c r="C47" s="70"/>
      <c r="D47" s="70"/>
      <c r="E47" s="70"/>
      <c r="F47" s="74"/>
      <c r="G47" s="74"/>
      <c r="H47" s="70"/>
      <c r="I47" s="70"/>
      <c r="J47" s="70"/>
      <c r="K47" s="70"/>
      <c r="L47" s="70"/>
      <c r="M47" s="71"/>
      <c r="N47" s="48"/>
    </row>
    <row r="48" spans="1:14">
      <c r="A48" s="48"/>
      <c r="B48" s="48"/>
      <c r="C48" s="48"/>
      <c r="D48" s="48"/>
      <c r="E48" s="48"/>
      <c r="F48" s="48"/>
      <c r="G48" s="48"/>
      <c r="H48" s="48"/>
      <c r="I48" s="48"/>
      <c r="J48" s="48"/>
      <c r="K48" s="48"/>
      <c r="L48" s="48"/>
      <c r="M48" s="48"/>
      <c r="N48" s="48"/>
    </row>
    <row r="49" spans="1:14">
      <c r="A49" s="48"/>
      <c r="B49" s="48"/>
      <c r="C49" s="48"/>
      <c r="D49" s="48"/>
      <c r="E49" s="48"/>
      <c r="F49" s="48"/>
      <c r="G49" s="48"/>
      <c r="H49" s="48"/>
      <c r="I49" s="48"/>
      <c r="J49" s="48"/>
      <c r="K49" s="48"/>
      <c r="L49" s="48"/>
      <c r="M49" s="48"/>
      <c r="N49" s="48"/>
    </row>
    <row r="50" spans="1:14">
      <c r="A50" s="203" t="s">
        <v>2893</v>
      </c>
      <c r="B50" s="203"/>
      <c r="C50" s="203"/>
      <c r="D50" s="203"/>
      <c r="E50" s="203"/>
      <c r="F50" s="203"/>
      <c r="G50" s="203"/>
      <c r="H50" s="203"/>
      <c r="I50" s="203"/>
      <c r="J50" s="203"/>
      <c r="K50" s="203"/>
      <c r="L50" s="203"/>
      <c r="M50" s="203"/>
      <c r="N50" s="48"/>
    </row>
    <row r="51" spans="1:14" ht="30" customHeight="1">
      <c r="A51" s="62" t="s">
        <v>2884</v>
      </c>
      <c r="B51" s="62" t="s">
        <v>2883</v>
      </c>
      <c r="C51" s="62" t="s">
        <v>2894</v>
      </c>
      <c r="D51" s="62" t="s">
        <v>2895</v>
      </c>
      <c r="E51" s="62" t="s">
        <v>2896</v>
      </c>
      <c r="F51" s="48"/>
      <c r="G51" s="48"/>
      <c r="H51" s="48"/>
      <c r="I51" s="48"/>
      <c r="J51" s="48"/>
      <c r="K51" s="48"/>
      <c r="L51" s="48"/>
      <c r="M51" s="48"/>
      <c r="N51" s="48"/>
    </row>
    <row r="52" spans="1:14">
      <c r="A52" s="63"/>
      <c r="B52" s="64" t="str">
        <f>IF($A52="","",IFERROR(INDEX($A$8:$A$47,MATCH($A52,$B$8:$B$47,0)),"— code not found —"))</f>
        <v/>
      </c>
      <c r="C52" s="64" t="str">
        <f>IF($A52="","",COUNTIF($B$8:$B$47,$A52))</f>
        <v/>
      </c>
      <c r="D52" s="64" t="str" cm="1">
        <f t="array" ref="D52">IF($A52="","",IFERROR(INDEX($D$8:$D$47,MATCH(1,INDEX(($B$8:$B$47=$A52)*($H$8:$H$47="Yes"),0),0)),"none marked current"))</f>
        <v/>
      </c>
      <c r="E52" s="65" t="str">
        <f>IF($A52="","",IF(COUNTIFS($B$8:$B$47,$A52,$J$8:$J$47,"Yes")&gt;0,"YES - comms needed",IF(COUNTIFS($B$8:$B$47,$A52,$J$8:$J$47,"To assess")&gt;0,"To assess","No")))</f>
        <v/>
      </c>
      <c r="F52" s="48"/>
      <c r="G52" s="48"/>
      <c r="H52" s="48"/>
      <c r="I52" s="48"/>
      <c r="J52" s="48"/>
      <c r="K52" s="48"/>
      <c r="L52" s="48"/>
      <c r="M52" s="48"/>
      <c r="N52" s="48"/>
    </row>
    <row r="53" spans="1:14">
      <c r="A53" s="66"/>
      <c r="B53" s="67" t="str">
        <f t="shared" ref="B53:B66" si="0">IF($A53="","",IFERROR(INDEX($A$8:$A$47,MATCH($A53,$B$8:$B$47,0)),"— code not found —"))</f>
        <v/>
      </c>
      <c r="C53" s="67" t="str">
        <f t="shared" ref="C53:C66" si="1">IF($A53="","",COUNTIF($B$8:$B$47,$A53))</f>
        <v/>
      </c>
      <c r="D53" s="67" t="str" cm="1">
        <f t="array" ref="D53">IF($A53="","",IFERROR(INDEX($D$8:$D$47,MATCH(1,INDEX(($B$8:$B$47=$A53)*($H$8:$H$47="Yes"),0),0)),"none marked current"))</f>
        <v/>
      </c>
      <c r="E53" s="68" t="str">
        <f t="shared" ref="E53:E66" si="2">IF($A53="","",IF(COUNTIFS($B$8:$B$47,$A53,$J$8:$J$47,"Yes")&gt;0,"YES - comms needed",IF(COUNTIFS($B$8:$B$47,$A53,$J$8:$J$47,"To assess")&gt;0,"To assess","No")))</f>
        <v/>
      </c>
      <c r="F53" s="48"/>
      <c r="G53" s="48"/>
      <c r="H53" s="48"/>
      <c r="I53" s="48"/>
      <c r="J53" s="48"/>
      <c r="K53" s="48"/>
      <c r="L53" s="48"/>
      <c r="M53" s="48"/>
      <c r="N53" s="48"/>
    </row>
    <row r="54" spans="1:14">
      <c r="A54" s="66"/>
      <c r="B54" s="67" t="str">
        <f t="shared" si="0"/>
        <v/>
      </c>
      <c r="C54" s="67" t="str">
        <f t="shared" si="1"/>
        <v/>
      </c>
      <c r="D54" s="67" t="str" cm="1">
        <f t="array" ref="D54">IF($A54="","",IFERROR(INDEX($D$8:$D$47,MATCH(1,INDEX(($B$8:$B$47=$A54)*($H$8:$H$47="Yes"),0),0)),"none marked current"))</f>
        <v/>
      </c>
      <c r="E54" s="68" t="str">
        <f t="shared" si="2"/>
        <v/>
      </c>
      <c r="F54" s="48"/>
      <c r="G54" s="48"/>
      <c r="H54" s="48"/>
      <c r="I54" s="48"/>
      <c r="J54" s="48"/>
      <c r="K54" s="48"/>
      <c r="L54" s="48"/>
      <c r="M54" s="48"/>
      <c r="N54" s="48"/>
    </row>
    <row r="55" spans="1:14">
      <c r="A55" s="66"/>
      <c r="B55" s="67" t="str">
        <f t="shared" si="0"/>
        <v/>
      </c>
      <c r="C55" s="67" t="str">
        <f t="shared" si="1"/>
        <v/>
      </c>
      <c r="D55" s="67" t="str" cm="1">
        <f t="array" ref="D55">IF($A55="","",IFERROR(INDEX($D$8:$D$47,MATCH(1,INDEX(($B$8:$B$47=$A55)*($H$8:$H$47="Yes"),0),0)),"none marked current"))</f>
        <v/>
      </c>
      <c r="E55" s="68" t="str">
        <f t="shared" si="2"/>
        <v/>
      </c>
      <c r="F55" s="48"/>
      <c r="G55" s="48"/>
      <c r="H55" s="48"/>
      <c r="I55" s="48"/>
      <c r="J55" s="48"/>
      <c r="K55" s="48"/>
      <c r="L55" s="48"/>
      <c r="M55" s="48"/>
      <c r="N55" s="48"/>
    </row>
    <row r="56" spans="1:14">
      <c r="A56" s="66"/>
      <c r="B56" s="67" t="str">
        <f t="shared" si="0"/>
        <v/>
      </c>
      <c r="C56" s="67" t="str">
        <f t="shared" si="1"/>
        <v/>
      </c>
      <c r="D56" s="67" t="str" cm="1">
        <f t="array" ref="D56">IF($A56="","",IFERROR(INDEX($D$8:$D$47,MATCH(1,INDEX(($B$8:$B$47=$A56)*($H$8:$H$47="Yes"),0),0)),"none marked current"))</f>
        <v/>
      </c>
      <c r="E56" s="68" t="str">
        <f t="shared" si="2"/>
        <v/>
      </c>
      <c r="F56" s="48"/>
      <c r="G56" s="48"/>
      <c r="H56" s="48"/>
      <c r="I56" s="48"/>
      <c r="J56" s="48"/>
      <c r="K56" s="48"/>
      <c r="L56" s="48"/>
      <c r="M56" s="48"/>
      <c r="N56" s="48"/>
    </row>
    <row r="57" spans="1:14">
      <c r="A57" s="66"/>
      <c r="B57" s="67" t="str">
        <f t="shared" si="0"/>
        <v/>
      </c>
      <c r="C57" s="67" t="str">
        <f t="shared" si="1"/>
        <v/>
      </c>
      <c r="D57" s="67" t="str" cm="1">
        <f t="array" ref="D57">IF($A57="","",IFERROR(INDEX($D$8:$D$47,MATCH(1,INDEX(($B$8:$B$47=$A57)*($H$8:$H$47="Yes"),0),0)),"none marked current"))</f>
        <v/>
      </c>
      <c r="E57" s="68" t="str">
        <f t="shared" si="2"/>
        <v/>
      </c>
      <c r="F57" s="48"/>
      <c r="G57" s="48"/>
      <c r="H57" s="48"/>
      <c r="I57" s="48"/>
      <c r="J57" s="48"/>
      <c r="K57" s="48"/>
      <c r="L57" s="48"/>
      <c r="M57" s="48"/>
      <c r="N57" s="48"/>
    </row>
    <row r="58" spans="1:14">
      <c r="A58" s="66"/>
      <c r="B58" s="67" t="str">
        <f t="shared" si="0"/>
        <v/>
      </c>
      <c r="C58" s="67" t="str">
        <f t="shared" si="1"/>
        <v/>
      </c>
      <c r="D58" s="67" t="str" cm="1">
        <f t="array" ref="D58">IF($A58="","",IFERROR(INDEX($D$8:$D$47,MATCH(1,INDEX(($B$8:$B$47=$A58)*($H$8:$H$47="Yes"),0),0)),"none marked current"))</f>
        <v/>
      </c>
      <c r="E58" s="68" t="str">
        <f t="shared" si="2"/>
        <v/>
      </c>
      <c r="F58" s="48"/>
      <c r="G58" s="48"/>
      <c r="H58" s="48"/>
      <c r="I58" s="48"/>
      <c r="J58" s="48"/>
      <c r="K58" s="48"/>
      <c r="L58" s="48"/>
      <c r="M58" s="48"/>
      <c r="N58" s="48"/>
    </row>
    <row r="59" spans="1:14">
      <c r="A59" s="66"/>
      <c r="B59" s="67" t="str">
        <f t="shared" si="0"/>
        <v/>
      </c>
      <c r="C59" s="67" t="str">
        <f t="shared" si="1"/>
        <v/>
      </c>
      <c r="D59" s="67" t="str" cm="1">
        <f t="array" ref="D59">IF($A59="","",IFERROR(INDEX($D$8:$D$47,MATCH(1,INDEX(($B$8:$B$47=$A59)*($H$8:$H$47="Yes"),0),0)),"none marked current"))</f>
        <v/>
      </c>
      <c r="E59" s="68" t="str">
        <f t="shared" si="2"/>
        <v/>
      </c>
      <c r="F59" s="48"/>
      <c r="G59" s="48"/>
      <c r="H59" s="48"/>
      <c r="I59" s="48"/>
      <c r="J59" s="48"/>
      <c r="K59" s="48"/>
      <c r="L59" s="48"/>
      <c r="M59" s="48"/>
      <c r="N59" s="48"/>
    </row>
    <row r="60" spans="1:14">
      <c r="A60" s="66"/>
      <c r="B60" s="67" t="str">
        <f t="shared" si="0"/>
        <v/>
      </c>
      <c r="C60" s="67" t="str">
        <f t="shared" si="1"/>
        <v/>
      </c>
      <c r="D60" s="67" t="str" cm="1">
        <f t="array" ref="D60">IF($A60="","",IFERROR(INDEX($D$8:$D$47,MATCH(1,INDEX(($B$8:$B$47=$A60)*($H$8:$H$47="Yes"),0),0)),"none marked current"))</f>
        <v/>
      </c>
      <c r="E60" s="68" t="str">
        <f t="shared" si="2"/>
        <v/>
      </c>
      <c r="F60" s="48"/>
      <c r="G60" s="48"/>
      <c r="H60" s="48"/>
      <c r="I60" s="48"/>
      <c r="J60" s="48"/>
      <c r="K60" s="48"/>
      <c r="L60" s="48"/>
      <c r="M60" s="48"/>
      <c r="N60" s="48"/>
    </row>
    <row r="61" spans="1:14">
      <c r="A61" s="66"/>
      <c r="B61" s="67" t="str">
        <f t="shared" si="0"/>
        <v/>
      </c>
      <c r="C61" s="67" t="str">
        <f t="shared" si="1"/>
        <v/>
      </c>
      <c r="D61" s="67" t="str" cm="1">
        <f t="array" ref="D61">IF($A61="","",IFERROR(INDEX($D$8:$D$47,MATCH(1,INDEX(($B$8:$B$47=$A61)*($H$8:$H$47="Yes"),0),0)),"none marked current"))</f>
        <v/>
      </c>
      <c r="E61" s="68" t="str">
        <f t="shared" si="2"/>
        <v/>
      </c>
      <c r="F61" s="48"/>
      <c r="G61" s="48"/>
      <c r="H61" s="48"/>
      <c r="I61" s="48"/>
      <c r="J61" s="48"/>
      <c r="K61" s="48"/>
      <c r="L61" s="48"/>
      <c r="M61" s="48"/>
      <c r="N61" s="48"/>
    </row>
    <row r="62" spans="1:14">
      <c r="A62" s="66"/>
      <c r="B62" s="67" t="str">
        <f t="shared" si="0"/>
        <v/>
      </c>
      <c r="C62" s="67" t="str">
        <f t="shared" si="1"/>
        <v/>
      </c>
      <c r="D62" s="67" t="str" cm="1">
        <f t="array" ref="D62">IF($A62="","",IFERROR(INDEX($D$8:$D$47,MATCH(1,INDEX(($B$8:$B$47=$A62)*($H$8:$H$47="Yes"),0),0)),"none marked current"))</f>
        <v/>
      </c>
      <c r="E62" s="68" t="str">
        <f t="shared" si="2"/>
        <v/>
      </c>
      <c r="F62" s="48"/>
      <c r="G62" s="48"/>
      <c r="H62" s="48"/>
      <c r="I62" s="48"/>
      <c r="J62" s="48"/>
      <c r="K62" s="48"/>
      <c r="L62" s="48"/>
      <c r="M62" s="48"/>
      <c r="N62" s="48"/>
    </row>
    <row r="63" spans="1:14">
      <c r="A63" s="66"/>
      <c r="B63" s="67" t="str">
        <f t="shared" si="0"/>
        <v/>
      </c>
      <c r="C63" s="67" t="str">
        <f t="shared" si="1"/>
        <v/>
      </c>
      <c r="D63" s="67" t="str" cm="1">
        <f t="array" ref="D63">IF($A63="","",IFERROR(INDEX($D$8:$D$47,MATCH(1,INDEX(($B$8:$B$47=$A63)*($H$8:$H$47="Yes"),0),0)),"none marked current"))</f>
        <v/>
      </c>
      <c r="E63" s="68" t="str">
        <f t="shared" si="2"/>
        <v/>
      </c>
      <c r="F63" s="48"/>
      <c r="G63" s="48"/>
      <c r="H63" s="48"/>
      <c r="I63" s="48"/>
      <c r="J63" s="48"/>
      <c r="K63" s="48"/>
      <c r="L63" s="48"/>
      <c r="M63" s="48"/>
      <c r="N63" s="48"/>
    </row>
    <row r="64" spans="1:14">
      <c r="A64" s="66"/>
      <c r="B64" s="67" t="str">
        <f t="shared" si="0"/>
        <v/>
      </c>
      <c r="C64" s="67" t="str">
        <f t="shared" si="1"/>
        <v/>
      </c>
      <c r="D64" s="67" t="str" cm="1">
        <f t="array" ref="D64">IF($A64="","",IFERROR(INDEX($D$8:$D$47,MATCH(1,INDEX(($B$8:$B$47=$A64)*($H$8:$H$47="Yes"),0),0)),"none marked current"))</f>
        <v/>
      </c>
      <c r="E64" s="68" t="str">
        <f t="shared" si="2"/>
        <v/>
      </c>
      <c r="F64" s="48"/>
      <c r="G64" s="48"/>
      <c r="H64" s="48"/>
      <c r="I64" s="48"/>
      <c r="J64" s="48"/>
      <c r="K64" s="48"/>
      <c r="L64" s="48"/>
      <c r="M64" s="48"/>
      <c r="N64" s="48"/>
    </row>
    <row r="65" spans="1:14">
      <c r="A65" s="66"/>
      <c r="B65" s="67" t="str">
        <f t="shared" si="0"/>
        <v/>
      </c>
      <c r="C65" s="67" t="str">
        <f t="shared" si="1"/>
        <v/>
      </c>
      <c r="D65" s="67" t="str" cm="1">
        <f t="array" ref="D65">IF($A65="","",IFERROR(INDEX($D$8:$D$47,MATCH(1,INDEX(($B$8:$B$47=$A65)*($H$8:$H$47="Yes"),0),0)),"none marked current"))</f>
        <v/>
      </c>
      <c r="E65" s="68" t="str">
        <f t="shared" si="2"/>
        <v/>
      </c>
      <c r="F65" s="48"/>
      <c r="G65" s="48"/>
      <c r="H65" s="48"/>
      <c r="I65" s="48"/>
      <c r="J65" s="48"/>
      <c r="K65" s="48"/>
      <c r="L65" s="48"/>
      <c r="M65" s="48"/>
      <c r="N65" s="48"/>
    </row>
    <row r="66" spans="1:14">
      <c r="A66" s="69"/>
      <c r="B66" s="70" t="str">
        <f t="shared" si="0"/>
        <v/>
      </c>
      <c r="C66" s="70" t="str">
        <f t="shared" si="1"/>
        <v/>
      </c>
      <c r="D66" s="70" t="str" cm="1">
        <f t="array" ref="D66">IF($A66="","",IFERROR(INDEX($D$8:$D$47,MATCH(1,INDEX(($B$8:$B$47=$A66)*($H$8:$H$47="Yes"),0),0)),"none marked current"))</f>
        <v/>
      </c>
      <c r="E66" s="71" t="str">
        <f t="shared" si="2"/>
        <v/>
      </c>
      <c r="F66" s="48"/>
      <c r="G66" s="48"/>
      <c r="H66" s="48"/>
      <c r="I66" s="48"/>
      <c r="J66" s="48"/>
      <c r="K66" s="48"/>
      <c r="L66" s="48"/>
      <c r="M66" s="48"/>
      <c r="N66" s="48"/>
    </row>
    <row r="67" spans="1:14">
      <c r="A67" s="48"/>
      <c r="B67" s="48"/>
      <c r="C67" s="48"/>
      <c r="D67" s="48"/>
      <c r="E67" s="48"/>
      <c r="F67" s="48"/>
      <c r="G67" s="48"/>
      <c r="H67" s="48"/>
      <c r="I67" s="48"/>
      <c r="J67" s="48"/>
      <c r="K67" s="48"/>
      <c r="L67" s="48"/>
      <c r="M67" s="48"/>
      <c r="N67" s="48"/>
    </row>
  </sheetData>
  <mergeCells count="6">
    <mergeCell ref="A50:M50"/>
    <mergeCell ref="A1:N1"/>
    <mergeCell ref="A2:M2"/>
    <mergeCell ref="A3:M3"/>
    <mergeCell ref="A4:M4"/>
    <mergeCell ref="A6:M6"/>
  </mergeCells>
  <dataValidations count="3">
    <dataValidation type="list" allowBlank="1" showInputMessage="1" showErrorMessage="1" sqref="H8:H47" xr:uid="{6C124964-1A85-4CFE-A9D9-0F0761A91E73}">
      <formula1>"Yes,No"</formula1>
    </dataValidation>
    <dataValidation type="list" allowBlank="1" showInputMessage="1" showErrorMessage="1" sqref="J8:J47" xr:uid="{744C4889-B67C-4EB0-AB8C-F7CA996A47B5}">
      <formula1>"Yes,No,NA,To assess"</formula1>
    </dataValidation>
    <dataValidation type="list" allowBlank="1" showInputMessage="1" showErrorMessage="1" sqref="K8:K47" xr:uid="{7F26540C-334F-4F50-8D22-6B457A03E7CE}">
      <formula1>"Yes,No,NA,In progress"</formula1>
    </dataValidation>
  </dataValidation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57B5-90AD-43B8-BB52-CF7C47630887}">
  <sheetPr>
    <tabColor rgb="FFFF66CC"/>
  </sheetPr>
  <dimension ref="A1:N58"/>
  <sheetViews>
    <sheetView workbookViewId="0">
      <pane ySplit="7" topLeftCell="A8" activePane="bottomLeft" state="frozen"/>
      <selection pane="bottomLeft" activeCell="F23" sqref="F23"/>
    </sheetView>
  </sheetViews>
  <sheetFormatPr defaultRowHeight="15"/>
  <cols>
    <col min="1" max="1" width="19" customWidth="1"/>
    <col min="2" max="2" width="24.7109375" customWidth="1"/>
    <col min="3" max="3" width="21" customWidth="1"/>
    <col min="4" max="4" width="28.5703125" customWidth="1"/>
    <col min="5" max="5" width="34.28515625" customWidth="1"/>
    <col min="6" max="6" width="41.85546875" customWidth="1"/>
    <col min="7" max="9" width="17.140625" customWidth="1"/>
    <col min="10" max="10" width="19" customWidth="1"/>
    <col min="11" max="11" width="21" customWidth="1"/>
    <col min="12" max="12" width="17.140625" customWidth="1"/>
    <col min="13" max="13" width="30.42578125" customWidth="1"/>
  </cols>
  <sheetData>
    <row r="1" spans="1:14" s="48" customFormat="1">
      <c r="A1" s="188" t="s">
        <v>2897</v>
      </c>
      <c r="B1" s="188"/>
      <c r="C1" s="188"/>
      <c r="D1" s="188"/>
      <c r="E1" s="188"/>
      <c r="F1" s="188"/>
      <c r="G1" s="188"/>
      <c r="H1" s="188"/>
      <c r="I1" s="188"/>
      <c r="J1" s="188"/>
      <c r="K1" s="188"/>
      <c r="L1" s="188"/>
      <c r="M1" s="188"/>
      <c r="N1" s="188"/>
    </row>
    <row r="2" spans="1:14">
      <c r="A2" s="205" t="s">
        <v>0</v>
      </c>
      <c r="B2" s="205"/>
      <c r="C2" s="205"/>
      <c r="D2" s="205"/>
      <c r="E2" s="205"/>
      <c r="F2" s="205"/>
      <c r="G2" s="205"/>
      <c r="H2" s="205"/>
      <c r="I2" s="205"/>
      <c r="J2" s="205"/>
      <c r="K2" s="205"/>
      <c r="L2" s="205"/>
      <c r="M2" s="205"/>
      <c r="N2" s="48"/>
    </row>
    <row r="3" spans="1:14">
      <c r="A3" s="202" t="s">
        <v>2898</v>
      </c>
      <c r="B3" s="202"/>
      <c r="C3" s="202"/>
      <c r="D3" s="202"/>
      <c r="E3" s="202"/>
      <c r="F3" s="202"/>
      <c r="G3" s="202"/>
      <c r="H3" s="202"/>
      <c r="I3" s="202"/>
      <c r="J3" s="202"/>
      <c r="K3" s="202"/>
      <c r="L3" s="202"/>
      <c r="M3" s="202"/>
      <c r="N3" s="48"/>
    </row>
    <row r="4" spans="1:14" ht="42" customHeight="1">
      <c r="A4" s="169" t="s">
        <v>2899</v>
      </c>
      <c r="B4" s="169"/>
      <c r="C4" s="169"/>
      <c r="D4" s="169"/>
      <c r="E4" s="169"/>
      <c r="F4" s="169"/>
      <c r="G4" s="169"/>
      <c r="H4" s="169"/>
      <c r="I4" s="169"/>
      <c r="J4" s="169"/>
      <c r="K4" s="169"/>
      <c r="L4" s="169"/>
      <c r="M4" s="169"/>
      <c r="N4" s="48"/>
    </row>
    <row r="6" spans="1:14">
      <c r="A6" s="203" t="s">
        <v>2900</v>
      </c>
      <c r="B6" s="203"/>
      <c r="C6" s="203"/>
      <c r="D6" s="203"/>
      <c r="E6" s="203"/>
      <c r="F6" s="203"/>
      <c r="G6" s="203"/>
      <c r="H6" s="203"/>
      <c r="I6" s="203"/>
      <c r="J6" s="203"/>
      <c r="K6" s="203"/>
      <c r="L6" s="203"/>
      <c r="M6" s="203"/>
      <c r="N6" s="48"/>
    </row>
    <row r="7" spans="1:14" ht="30" customHeight="1">
      <c r="A7" s="62" t="s">
        <v>2901</v>
      </c>
      <c r="B7" s="62" t="s">
        <v>1773</v>
      </c>
      <c r="C7" s="62" t="s">
        <v>2902</v>
      </c>
      <c r="D7" s="62" t="s">
        <v>2903</v>
      </c>
      <c r="E7" s="62" t="s">
        <v>2904</v>
      </c>
      <c r="F7" s="62" t="s">
        <v>2905</v>
      </c>
      <c r="G7" s="62" t="s">
        <v>2906</v>
      </c>
      <c r="H7" s="62" t="s">
        <v>2907</v>
      </c>
      <c r="I7" s="62" t="s">
        <v>144</v>
      </c>
      <c r="J7" s="62" t="s">
        <v>1881</v>
      </c>
      <c r="K7" s="62" t="s">
        <v>2908</v>
      </c>
      <c r="L7" s="62" t="s">
        <v>145</v>
      </c>
      <c r="M7" s="62" t="s">
        <v>70</v>
      </c>
      <c r="N7" s="48"/>
    </row>
    <row r="8" spans="1:14">
      <c r="A8" s="63"/>
      <c r="B8" s="64"/>
      <c r="C8" s="64"/>
      <c r="D8" s="64"/>
      <c r="E8" s="64"/>
      <c r="F8" s="64"/>
      <c r="G8" s="72"/>
      <c r="H8" s="72"/>
      <c r="I8" s="64"/>
      <c r="J8" s="64"/>
      <c r="K8" s="64"/>
      <c r="L8" s="64"/>
      <c r="M8" s="65"/>
      <c r="N8" s="48"/>
    </row>
    <row r="9" spans="1:14">
      <c r="A9" s="66"/>
      <c r="B9" s="67"/>
      <c r="C9" s="67"/>
      <c r="D9" s="67"/>
      <c r="E9" s="67"/>
      <c r="F9" s="67"/>
      <c r="G9" s="73"/>
      <c r="H9" s="73"/>
      <c r="I9" s="67"/>
      <c r="J9" s="67"/>
      <c r="K9" s="67"/>
      <c r="L9" s="67"/>
      <c r="M9" s="68"/>
      <c r="N9" s="48"/>
    </row>
    <row r="10" spans="1:14">
      <c r="A10" s="66"/>
      <c r="B10" s="67"/>
      <c r="C10" s="67"/>
      <c r="D10" s="67"/>
      <c r="E10" s="67"/>
      <c r="F10" s="67"/>
      <c r="G10" s="73"/>
      <c r="H10" s="73"/>
      <c r="I10" s="67"/>
      <c r="J10" s="67"/>
      <c r="K10" s="67"/>
      <c r="L10" s="67"/>
      <c r="M10" s="68"/>
      <c r="N10" s="48"/>
    </row>
    <row r="11" spans="1:14">
      <c r="A11" s="66"/>
      <c r="B11" s="67"/>
      <c r="C11" s="67"/>
      <c r="D11" s="67"/>
      <c r="E11" s="67"/>
      <c r="F11" s="67"/>
      <c r="G11" s="73"/>
      <c r="H11" s="73"/>
      <c r="I11" s="67"/>
      <c r="J11" s="67"/>
      <c r="K11" s="67"/>
      <c r="L11" s="67"/>
      <c r="M11" s="68"/>
      <c r="N11" s="48"/>
    </row>
    <row r="12" spans="1:14">
      <c r="A12" s="66"/>
      <c r="B12" s="67"/>
      <c r="C12" s="67"/>
      <c r="D12" s="67"/>
      <c r="E12" s="67"/>
      <c r="F12" s="67"/>
      <c r="G12" s="73"/>
      <c r="H12" s="73"/>
      <c r="I12" s="67"/>
      <c r="J12" s="67"/>
      <c r="K12" s="67"/>
      <c r="L12" s="67"/>
      <c r="M12" s="68"/>
      <c r="N12" s="48"/>
    </row>
    <row r="13" spans="1:14">
      <c r="A13" s="66"/>
      <c r="B13" s="67"/>
      <c r="C13" s="67"/>
      <c r="D13" s="67"/>
      <c r="E13" s="67"/>
      <c r="F13" s="67"/>
      <c r="G13" s="73"/>
      <c r="H13" s="73"/>
      <c r="I13" s="67"/>
      <c r="J13" s="67"/>
      <c r="K13" s="67"/>
      <c r="L13" s="67"/>
      <c r="M13" s="68"/>
      <c r="N13" s="48"/>
    </row>
    <row r="14" spans="1:14">
      <c r="A14" s="66"/>
      <c r="B14" s="67"/>
      <c r="C14" s="67"/>
      <c r="D14" s="67"/>
      <c r="E14" s="67"/>
      <c r="F14" s="67"/>
      <c r="G14" s="73"/>
      <c r="H14" s="73"/>
      <c r="I14" s="67"/>
      <c r="J14" s="67"/>
      <c r="K14" s="67"/>
      <c r="L14" s="67"/>
      <c r="M14" s="68"/>
      <c r="N14" s="48"/>
    </row>
    <row r="15" spans="1:14">
      <c r="A15" s="66"/>
      <c r="B15" s="67"/>
      <c r="C15" s="67"/>
      <c r="D15" s="67"/>
      <c r="E15" s="67"/>
      <c r="F15" s="67"/>
      <c r="G15" s="73"/>
      <c r="H15" s="73"/>
      <c r="I15" s="67"/>
      <c r="J15" s="67"/>
      <c r="K15" s="67"/>
      <c r="L15" s="67"/>
      <c r="M15" s="68"/>
      <c r="N15" s="48"/>
    </row>
    <row r="16" spans="1:14">
      <c r="A16" s="66"/>
      <c r="B16" s="67"/>
      <c r="C16" s="67"/>
      <c r="D16" s="67"/>
      <c r="E16" s="67"/>
      <c r="F16" s="67"/>
      <c r="G16" s="73"/>
      <c r="H16" s="73"/>
      <c r="I16" s="67"/>
      <c r="J16" s="67"/>
      <c r="K16" s="67"/>
      <c r="L16" s="67"/>
      <c r="M16" s="68"/>
      <c r="N16" s="48"/>
    </row>
    <row r="17" spans="1:14">
      <c r="A17" s="66"/>
      <c r="B17" s="67"/>
      <c r="C17" s="67"/>
      <c r="D17" s="67"/>
      <c r="E17" s="67"/>
      <c r="F17" s="67"/>
      <c r="G17" s="73"/>
      <c r="H17" s="73"/>
      <c r="I17" s="67"/>
      <c r="J17" s="67"/>
      <c r="K17" s="67"/>
      <c r="L17" s="67"/>
      <c r="M17" s="68"/>
      <c r="N17" s="48"/>
    </row>
    <row r="18" spans="1:14">
      <c r="A18" s="66"/>
      <c r="B18" s="67"/>
      <c r="C18" s="67"/>
      <c r="D18" s="67"/>
      <c r="E18" s="67"/>
      <c r="F18" s="67"/>
      <c r="G18" s="73"/>
      <c r="H18" s="73"/>
      <c r="I18" s="67"/>
      <c r="J18" s="67"/>
      <c r="K18" s="67"/>
      <c r="L18" s="67"/>
      <c r="M18" s="68"/>
      <c r="N18" s="48"/>
    </row>
    <row r="19" spans="1:14">
      <c r="A19" s="66"/>
      <c r="B19" s="67"/>
      <c r="C19" s="67"/>
      <c r="D19" s="67"/>
      <c r="E19" s="67"/>
      <c r="F19" s="67"/>
      <c r="G19" s="73"/>
      <c r="H19" s="73"/>
      <c r="I19" s="67"/>
      <c r="J19" s="67"/>
      <c r="K19" s="67"/>
      <c r="L19" s="67"/>
      <c r="M19" s="68"/>
      <c r="N19" s="48"/>
    </row>
    <row r="20" spans="1:14">
      <c r="A20" s="66"/>
      <c r="B20" s="67"/>
      <c r="C20" s="67"/>
      <c r="D20" s="67"/>
      <c r="E20" s="67"/>
      <c r="F20" s="67"/>
      <c r="G20" s="73"/>
      <c r="H20" s="73"/>
      <c r="I20" s="67"/>
      <c r="J20" s="67"/>
      <c r="K20" s="67"/>
      <c r="L20" s="67"/>
      <c r="M20" s="68"/>
      <c r="N20" s="48"/>
    </row>
    <row r="21" spans="1:14">
      <c r="A21" s="66"/>
      <c r="B21" s="67"/>
      <c r="C21" s="67"/>
      <c r="D21" s="67"/>
      <c r="E21" s="67"/>
      <c r="F21" s="67"/>
      <c r="G21" s="73"/>
      <c r="H21" s="73"/>
      <c r="I21" s="67"/>
      <c r="J21" s="67"/>
      <c r="K21" s="67"/>
      <c r="L21" s="67"/>
      <c r="M21" s="68"/>
      <c r="N21" s="48"/>
    </row>
    <row r="22" spans="1:14">
      <c r="A22" s="66"/>
      <c r="B22" s="67"/>
      <c r="C22" s="67"/>
      <c r="D22" s="67"/>
      <c r="E22" s="67"/>
      <c r="F22" s="67"/>
      <c r="G22" s="73"/>
      <c r="H22" s="73"/>
      <c r="I22" s="67"/>
      <c r="J22" s="67"/>
      <c r="K22" s="67"/>
      <c r="L22" s="67"/>
      <c r="M22" s="68"/>
      <c r="N22" s="48"/>
    </row>
    <row r="23" spans="1:14">
      <c r="A23" s="66"/>
      <c r="B23" s="67"/>
      <c r="C23" s="67"/>
      <c r="D23" s="67"/>
      <c r="E23" s="67"/>
      <c r="F23" s="67"/>
      <c r="G23" s="73"/>
      <c r="H23" s="73"/>
      <c r="I23" s="67"/>
      <c r="J23" s="67"/>
      <c r="K23" s="67"/>
      <c r="L23" s="67"/>
      <c r="M23" s="68"/>
      <c r="N23" s="48"/>
    </row>
    <row r="24" spans="1:14">
      <c r="A24" s="66"/>
      <c r="B24" s="67"/>
      <c r="C24" s="67"/>
      <c r="D24" s="67"/>
      <c r="E24" s="67"/>
      <c r="F24" s="67"/>
      <c r="G24" s="73"/>
      <c r="H24" s="73"/>
      <c r="I24" s="67"/>
      <c r="J24" s="67"/>
      <c r="K24" s="67"/>
      <c r="L24" s="67"/>
      <c r="M24" s="68"/>
      <c r="N24" s="48"/>
    </row>
    <row r="25" spans="1:14">
      <c r="A25" s="66"/>
      <c r="B25" s="67"/>
      <c r="C25" s="67"/>
      <c r="D25" s="67"/>
      <c r="E25" s="67"/>
      <c r="F25" s="67"/>
      <c r="G25" s="73"/>
      <c r="H25" s="73"/>
      <c r="I25" s="67"/>
      <c r="J25" s="67"/>
      <c r="K25" s="67"/>
      <c r="L25" s="67"/>
      <c r="M25" s="68"/>
      <c r="N25" s="48"/>
    </row>
    <row r="26" spans="1:14">
      <c r="A26" s="66"/>
      <c r="B26" s="67"/>
      <c r="C26" s="67"/>
      <c r="D26" s="67"/>
      <c r="E26" s="67"/>
      <c r="F26" s="67"/>
      <c r="G26" s="73"/>
      <c r="H26" s="73"/>
      <c r="I26" s="67"/>
      <c r="J26" s="67"/>
      <c r="K26" s="67"/>
      <c r="L26" s="67"/>
      <c r="M26" s="68"/>
      <c r="N26" s="48"/>
    </row>
    <row r="27" spans="1:14">
      <c r="A27" s="66"/>
      <c r="B27" s="67"/>
      <c r="C27" s="67"/>
      <c r="D27" s="67"/>
      <c r="E27" s="67"/>
      <c r="F27" s="67"/>
      <c r="G27" s="73"/>
      <c r="H27" s="73"/>
      <c r="I27" s="67"/>
      <c r="J27" s="67"/>
      <c r="K27" s="67"/>
      <c r="L27" s="67"/>
      <c r="M27" s="68"/>
      <c r="N27" s="48"/>
    </row>
    <row r="28" spans="1:14">
      <c r="A28" s="66"/>
      <c r="B28" s="67"/>
      <c r="C28" s="67"/>
      <c r="D28" s="67"/>
      <c r="E28" s="67"/>
      <c r="F28" s="67"/>
      <c r="G28" s="73"/>
      <c r="H28" s="73"/>
      <c r="I28" s="67"/>
      <c r="J28" s="67"/>
      <c r="K28" s="67"/>
      <c r="L28" s="67"/>
      <c r="M28" s="68"/>
      <c r="N28" s="48"/>
    </row>
    <row r="29" spans="1:14">
      <c r="A29" s="66"/>
      <c r="B29" s="67"/>
      <c r="C29" s="67"/>
      <c r="D29" s="67"/>
      <c r="E29" s="67"/>
      <c r="F29" s="67"/>
      <c r="G29" s="73"/>
      <c r="H29" s="73"/>
      <c r="I29" s="67"/>
      <c r="J29" s="67"/>
      <c r="K29" s="67"/>
      <c r="L29" s="67"/>
      <c r="M29" s="68"/>
      <c r="N29" s="48"/>
    </row>
    <row r="30" spans="1:14">
      <c r="A30" s="66"/>
      <c r="B30" s="67"/>
      <c r="C30" s="67"/>
      <c r="D30" s="67"/>
      <c r="E30" s="67"/>
      <c r="F30" s="67"/>
      <c r="G30" s="73"/>
      <c r="H30" s="73"/>
      <c r="I30" s="67"/>
      <c r="J30" s="67"/>
      <c r="K30" s="67"/>
      <c r="L30" s="67"/>
      <c r="M30" s="68"/>
      <c r="N30" s="48"/>
    </row>
    <row r="31" spans="1:14">
      <c r="A31" s="66"/>
      <c r="B31" s="67"/>
      <c r="C31" s="67"/>
      <c r="D31" s="67"/>
      <c r="E31" s="67"/>
      <c r="F31" s="67"/>
      <c r="G31" s="73"/>
      <c r="H31" s="73"/>
      <c r="I31" s="67"/>
      <c r="J31" s="67"/>
      <c r="K31" s="67"/>
      <c r="L31" s="67"/>
      <c r="M31" s="68"/>
      <c r="N31" s="48"/>
    </row>
    <row r="32" spans="1:14">
      <c r="A32" s="66"/>
      <c r="B32" s="67"/>
      <c r="C32" s="67"/>
      <c r="D32" s="67"/>
      <c r="E32" s="67"/>
      <c r="F32" s="67"/>
      <c r="G32" s="73"/>
      <c r="H32" s="73"/>
      <c r="I32" s="67"/>
      <c r="J32" s="67"/>
      <c r="K32" s="67"/>
      <c r="L32" s="67"/>
      <c r="M32" s="68"/>
      <c r="N32" s="48"/>
    </row>
    <row r="33" spans="1:14">
      <c r="A33" s="66"/>
      <c r="B33" s="67"/>
      <c r="C33" s="67"/>
      <c r="D33" s="67"/>
      <c r="E33" s="67"/>
      <c r="F33" s="67"/>
      <c r="G33" s="73"/>
      <c r="H33" s="73"/>
      <c r="I33" s="67"/>
      <c r="J33" s="67"/>
      <c r="K33" s="67"/>
      <c r="L33" s="67"/>
      <c r="M33" s="68"/>
      <c r="N33" s="48"/>
    </row>
    <row r="34" spans="1:14">
      <c r="A34" s="66"/>
      <c r="B34" s="67"/>
      <c r="C34" s="67"/>
      <c r="D34" s="67"/>
      <c r="E34" s="67"/>
      <c r="F34" s="67"/>
      <c r="G34" s="73"/>
      <c r="H34" s="73"/>
      <c r="I34" s="67"/>
      <c r="J34" s="67"/>
      <c r="K34" s="67"/>
      <c r="L34" s="67"/>
      <c r="M34" s="68"/>
      <c r="N34" s="48"/>
    </row>
    <row r="35" spans="1:14">
      <c r="A35" s="66"/>
      <c r="B35" s="67"/>
      <c r="C35" s="67"/>
      <c r="D35" s="67"/>
      <c r="E35" s="67"/>
      <c r="F35" s="67"/>
      <c r="G35" s="73"/>
      <c r="H35" s="73"/>
      <c r="I35" s="67"/>
      <c r="J35" s="67"/>
      <c r="K35" s="67"/>
      <c r="L35" s="67"/>
      <c r="M35" s="68"/>
      <c r="N35" s="48"/>
    </row>
    <row r="36" spans="1:14">
      <c r="A36" s="66"/>
      <c r="B36" s="67"/>
      <c r="C36" s="67"/>
      <c r="D36" s="67"/>
      <c r="E36" s="67"/>
      <c r="F36" s="67"/>
      <c r="G36" s="73"/>
      <c r="H36" s="73"/>
      <c r="I36" s="67"/>
      <c r="J36" s="67"/>
      <c r="K36" s="67"/>
      <c r="L36" s="67"/>
      <c r="M36" s="68"/>
      <c r="N36" s="48"/>
    </row>
    <row r="37" spans="1:14">
      <c r="A37" s="66"/>
      <c r="B37" s="67"/>
      <c r="C37" s="67"/>
      <c r="D37" s="67"/>
      <c r="E37" s="67"/>
      <c r="F37" s="67"/>
      <c r="G37" s="73"/>
      <c r="H37" s="73"/>
      <c r="I37" s="67"/>
      <c r="J37" s="67"/>
      <c r="K37" s="67"/>
      <c r="L37" s="67"/>
      <c r="M37" s="68"/>
      <c r="N37" s="48"/>
    </row>
    <row r="38" spans="1:14">
      <c r="A38" s="66"/>
      <c r="B38" s="67"/>
      <c r="C38" s="67"/>
      <c r="D38" s="67"/>
      <c r="E38" s="67"/>
      <c r="F38" s="67"/>
      <c r="G38" s="73"/>
      <c r="H38" s="73"/>
      <c r="I38" s="67"/>
      <c r="J38" s="67"/>
      <c r="K38" s="67"/>
      <c r="L38" s="67"/>
      <c r="M38" s="68"/>
      <c r="N38" s="48"/>
    </row>
    <row r="39" spans="1:14">
      <c r="A39" s="66"/>
      <c r="B39" s="67"/>
      <c r="C39" s="67"/>
      <c r="D39" s="67"/>
      <c r="E39" s="67"/>
      <c r="F39" s="67"/>
      <c r="G39" s="73"/>
      <c r="H39" s="73"/>
      <c r="I39" s="67"/>
      <c r="J39" s="67"/>
      <c r="K39" s="67"/>
      <c r="L39" s="67"/>
      <c r="M39" s="68"/>
      <c r="N39" s="48"/>
    </row>
    <row r="40" spans="1:14">
      <c r="A40" s="66"/>
      <c r="B40" s="67"/>
      <c r="C40" s="67"/>
      <c r="D40" s="67"/>
      <c r="E40" s="67"/>
      <c r="F40" s="67"/>
      <c r="G40" s="73"/>
      <c r="H40" s="73"/>
      <c r="I40" s="67"/>
      <c r="J40" s="67"/>
      <c r="K40" s="67"/>
      <c r="L40" s="67"/>
      <c r="M40" s="68"/>
      <c r="N40" s="48"/>
    </row>
    <row r="41" spans="1:14">
      <c r="A41" s="66"/>
      <c r="B41" s="67"/>
      <c r="C41" s="67"/>
      <c r="D41" s="67"/>
      <c r="E41" s="67"/>
      <c r="F41" s="67"/>
      <c r="G41" s="73"/>
      <c r="H41" s="73"/>
      <c r="I41" s="67"/>
      <c r="J41" s="67"/>
      <c r="K41" s="67"/>
      <c r="L41" s="67"/>
      <c r="M41" s="68"/>
      <c r="N41" s="48"/>
    </row>
    <row r="42" spans="1:14">
      <c r="A42" s="66"/>
      <c r="B42" s="67"/>
      <c r="C42" s="67"/>
      <c r="D42" s="67"/>
      <c r="E42" s="67"/>
      <c r="F42" s="67"/>
      <c r="G42" s="73"/>
      <c r="H42" s="73"/>
      <c r="I42" s="67"/>
      <c r="J42" s="67"/>
      <c r="K42" s="67"/>
      <c r="L42" s="67"/>
      <c r="M42" s="68"/>
      <c r="N42" s="48"/>
    </row>
    <row r="43" spans="1:14">
      <c r="A43" s="66"/>
      <c r="B43" s="67"/>
      <c r="C43" s="67"/>
      <c r="D43" s="67"/>
      <c r="E43" s="67"/>
      <c r="F43" s="67"/>
      <c r="G43" s="73"/>
      <c r="H43" s="73"/>
      <c r="I43" s="67"/>
      <c r="J43" s="67"/>
      <c r="K43" s="67"/>
      <c r="L43" s="67"/>
      <c r="M43" s="68"/>
      <c r="N43" s="48"/>
    </row>
    <row r="44" spans="1:14">
      <c r="A44" s="66"/>
      <c r="B44" s="67"/>
      <c r="C44" s="67"/>
      <c r="D44" s="67"/>
      <c r="E44" s="67"/>
      <c r="F44" s="67"/>
      <c r="G44" s="73"/>
      <c r="H44" s="73"/>
      <c r="I44" s="67"/>
      <c r="J44" s="67"/>
      <c r="K44" s="67"/>
      <c r="L44" s="67"/>
      <c r="M44" s="68"/>
      <c r="N44" s="48"/>
    </row>
    <row r="45" spans="1:14">
      <c r="A45" s="66"/>
      <c r="B45" s="67"/>
      <c r="C45" s="67"/>
      <c r="D45" s="67"/>
      <c r="E45" s="67"/>
      <c r="F45" s="67"/>
      <c r="G45" s="73"/>
      <c r="H45" s="73"/>
      <c r="I45" s="67"/>
      <c r="J45" s="67"/>
      <c r="K45" s="67"/>
      <c r="L45" s="67"/>
      <c r="M45" s="68"/>
      <c r="N45" s="48"/>
    </row>
    <row r="46" spans="1:14">
      <c r="A46" s="66"/>
      <c r="B46" s="67"/>
      <c r="C46" s="67"/>
      <c r="D46" s="67"/>
      <c r="E46" s="67"/>
      <c r="F46" s="67"/>
      <c r="G46" s="73"/>
      <c r="H46" s="73"/>
      <c r="I46" s="67"/>
      <c r="J46" s="67"/>
      <c r="K46" s="67"/>
      <c r="L46" s="67"/>
      <c r="M46" s="68"/>
      <c r="N46" s="48"/>
    </row>
    <row r="47" spans="1:14">
      <c r="A47" s="66"/>
      <c r="B47" s="67"/>
      <c r="C47" s="67"/>
      <c r="D47" s="67"/>
      <c r="E47" s="67"/>
      <c r="F47" s="67"/>
      <c r="G47" s="73"/>
      <c r="H47" s="73"/>
      <c r="I47" s="67"/>
      <c r="J47" s="67"/>
      <c r="K47" s="67"/>
      <c r="L47" s="67"/>
      <c r="M47" s="68"/>
      <c r="N47" s="48"/>
    </row>
    <row r="48" spans="1:14">
      <c r="A48" s="66"/>
      <c r="B48" s="67"/>
      <c r="C48" s="67"/>
      <c r="D48" s="67"/>
      <c r="E48" s="67"/>
      <c r="F48" s="67"/>
      <c r="G48" s="73"/>
      <c r="H48" s="73"/>
      <c r="I48" s="67"/>
      <c r="J48" s="67"/>
      <c r="K48" s="67"/>
      <c r="L48" s="67"/>
      <c r="M48" s="68"/>
      <c r="N48" s="48"/>
    </row>
    <row r="49" spans="1:14">
      <c r="A49" s="66"/>
      <c r="B49" s="67"/>
      <c r="C49" s="67"/>
      <c r="D49" s="67"/>
      <c r="E49" s="67"/>
      <c r="F49" s="67"/>
      <c r="G49" s="73"/>
      <c r="H49" s="73"/>
      <c r="I49" s="67"/>
      <c r="J49" s="67"/>
      <c r="K49" s="67"/>
      <c r="L49" s="67"/>
      <c r="M49" s="68"/>
      <c r="N49" s="48"/>
    </row>
    <row r="50" spans="1:14">
      <c r="A50" s="66"/>
      <c r="B50" s="67"/>
      <c r="C50" s="67"/>
      <c r="D50" s="67"/>
      <c r="E50" s="67"/>
      <c r="F50" s="67"/>
      <c r="G50" s="73"/>
      <c r="H50" s="73"/>
      <c r="I50" s="67"/>
      <c r="J50" s="67"/>
      <c r="K50" s="67"/>
      <c r="L50" s="67"/>
      <c r="M50" s="68"/>
      <c r="N50" s="48"/>
    </row>
    <row r="51" spans="1:14">
      <c r="A51" s="66"/>
      <c r="B51" s="67"/>
      <c r="C51" s="67"/>
      <c r="D51" s="67"/>
      <c r="E51" s="67"/>
      <c r="F51" s="67"/>
      <c r="G51" s="73"/>
      <c r="H51" s="73"/>
      <c r="I51" s="67"/>
      <c r="J51" s="67"/>
      <c r="K51" s="67"/>
      <c r="L51" s="67"/>
      <c r="M51" s="68"/>
      <c r="N51" s="48"/>
    </row>
    <row r="52" spans="1:14">
      <c r="A52" s="66"/>
      <c r="B52" s="67"/>
      <c r="C52" s="67"/>
      <c r="D52" s="67"/>
      <c r="E52" s="67"/>
      <c r="F52" s="67"/>
      <c r="G52" s="73"/>
      <c r="H52" s="73"/>
      <c r="I52" s="67"/>
      <c r="J52" s="67"/>
      <c r="K52" s="67"/>
      <c r="L52" s="67"/>
      <c r="M52" s="68"/>
      <c r="N52" s="48"/>
    </row>
    <row r="53" spans="1:14">
      <c r="A53" s="66"/>
      <c r="B53" s="67"/>
      <c r="C53" s="67"/>
      <c r="D53" s="67"/>
      <c r="E53" s="67"/>
      <c r="F53" s="67"/>
      <c r="G53" s="73"/>
      <c r="H53" s="73"/>
      <c r="I53" s="67"/>
      <c r="J53" s="67"/>
      <c r="K53" s="67"/>
      <c r="L53" s="67"/>
      <c r="M53" s="68"/>
      <c r="N53" s="48"/>
    </row>
    <row r="54" spans="1:14">
      <c r="A54" s="66"/>
      <c r="B54" s="67"/>
      <c r="C54" s="67"/>
      <c r="D54" s="67"/>
      <c r="E54" s="67"/>
      <c r="F54" s="67"/>
      <c r="G54" s="73"/>
      <c r="H54" s="73"/>
      <c r="I54" s="67"/>
      <c r="J54" s="67"/>
      <c r="K54" s="67"/>
      <c r="L54" s="67"/>
      <c r="M54" s="68"/>
      <c r="N54" s="48"/>
    </row>
    <row r="55" spans="1:14">
      <c r="A55" s="66"/>
      <c r="B55" s="67"/>
      <c r="C55" s="67"/>
      <c r="D55" s="67"/>
      <c r="E55" s="67"/>
      <c r="F55" s="67"/>
      <c r="G55" s="73"/>
      <c r="H55" s="73"/>
      <c r="I55" s="67"/>
      <c r="J55" s="67"/>
      <c r="K55" s="67"/>
      <c r="L55" s="67"/>
      <c r="M55" s="68"/>
      <c r="N55" s="48"/>
    </row>
    <row r="56" spans="1:14">
      <c r="A56" s="66"/>
      <c r="B56" s="67"/>
      <c r="C56" s="67"/>
      <c r="D56" s="67"/>
      <c r="E56" s="67"/>
      <c r="F56" s="67"/>
      <c r="G56" s="73"/>
      <c r="H56" s="73"/>
      <c r="I56" s="67"/>
      <c r="J56" s="67"/>
      <c r="K56" s="67"/>
      <c r="L56" s="67"/>
      <c r="M56" s="68"/>
      <c r="N56" s="48"/>
    </row>
    <row r="57" spans="1:14">
      <c r="A57" s="69"/>
      <c r="B57" s="70"/>
      <c r="C57" s="70"/>
      <c r="D57" s="70"/>
      <c r="E57" s="70"/>
      <c r="F57" s="70"/>
      <c r="G57" s="74"/>
      <c r="H57" s="74"/>
      <c r="I57" s="70"/>
      <c r="J57" s="70"/>
      <c r="K57" s="70"/>
      <c r="L57" s="70"/>
      <c r="M57" s="71"/>
      <c r="N57" s="48"/>
    </row>
    <row r="58" spans="1:14">
      <c r="A58" s="48"/>
      <c r="B58" s="48"/>
      <c r="C58" s="48"/>
      <c r="D58" s="48"/>
      <c r="E58" s="48"/>
      <c r="F58" s="48"/>
      <c r="G58" s="48"/>
      <c r="H58" s="48"/>
      <c r="I58" s="48"/>
      <c r="J58" s="48"/>
      <c r="K58" s="48"/>
      <c r="L58" s="48"/>
      <c r="M58" s="48"/>
      <c r="N58" s="48"/>
    </row>
  </sheetData>
  <mergeCells count="5">
    <mergeCell ref="A2:M2"/>
    <mergeCell ref="A3:M3"/>
    <mergeCell ref="A4:M4"/>
    <mergeCell ref="A6:M6"/>
    <mergeCell ref="A1:N1"/>
  </mergeCells>
  <dataValidations count="3">
    <dataValidation type="list" allowBlank="1" showInputMessage="1" showErrorMessage="1" sqref="C8:C57" xr:uid="{EBC5E61C-675C-4C97-A728-08B542BECCA6}">
      <formula1>"Facebook,Instagram,TikTok,YouTube,LinkedIn,Website,Email/EDM,Distributor material,In-store,Other"</formula1>
    </dataValidation>
    <dataValidation type="list" allowBlank="1" showInputMessage="1" showErrorMessage="1" sqref="K8:K57" xr:uid="{90E8D5E5-843D-48FB-A413-A5C162DF5776}">
      <formula1>"Yes,No,Pending,NA"</formula1>
    </dataValidation>
    <dataValidation type="list" allowBlank="1" showInputMessage="1" showErrorMessage="1" sqref="L8:L57" xr:uid="{3BD951A2-3090-4386-BD53-95A45EF1A6C4}">
      <formula1>"Planned,Live,Paused,Completed,Cancelled"</formula1>
    </dataValidation>
  </dataValidation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66CC"/>
  </sheetPr>
  <dimension ref="A1:I121"/>
  <sheetViews>
    <sheetView showGridLines="0" topLeftCell="A13" workbookViewId="0"/>
  </sheetViews>
  <sheetFormatPr defaultRowHeight="15"/>
  <cols>
    <col min="1" max="1" width="40.42578125" customWidth="1"/>
    <col min="2" max="2" width="42" customWidth="1"/>
    <col min="3" max="3" width="28" customWidth="1"/>
    <col min="4" max="5" width="30" customWidth="1"/>
    <col min="6" max="6" width="34" customWidth="1"/>
    <col min="7" max="7" width="18" customWidth="1"/>
    <col min="8" max="8" width="20" customWidth="1"/>
    <col min="9" max="9" width="34" customWidth="1"/>
  </cols>
  <sheetData>
    <row r="1" spans="1:9" s="48" customFormat="1">
      <c r="A1" s="188" t="s">
        <v>2897</v>
      </c>
      <c r="B1" s="188"/>
      <c r="C1" s="188"/>
      <c r="D1" s="188"/>
      <c r="E1" s="188"/>
      <c r="F1" s="188"/>
      <c r="G1" s="188"/>
      <c r="H1" s="188"/>
      <c r="I1" s="188"/>
    </row>
    <row r="2" spans="1:9" ht="24" customHeight="1">
      <c r="A2" s="56" t="s">
        <v>0</v>
      </c>
      <c r="B2" s="56"/>
      <c r="C2" s="56"/>
      <c r="D2" s="56"/>
      <c r="E2" s="56"/>
      <c r="F2" s="56"/>
      <c r="G2" s="56"/>
      <c r="H2" s="56"/>
      <c r="I2" s="56"/>
    </row>
    <row r="3" spans="1:9" ht="30" customHeight="1">
      <c r="A3" s="168" t="s">
        <v>2909</v>
      </c>
      <c r="B3" s="193"/>
      <c r="C3" s="193"/>
      <c r="D3" s="193"/>
      <c r="E3" s="193"/>
      <c r="F3" s="193"/>
      <c r="G3" s="193"/>
      <c r="H3" s="193"/>
      <c r="I3" s="45"/>
    </row>
    <row r="4" spans="1:9" ht="30" customHeight="1">
      <c r="A4" s="167" t="s">
        <v>2910</v>
      </c>
      <c r="B4" s="193"/>
      <c r="C4" s="193"/>
      <c r="D4" s="193"/>
      <c r="E4" s="193"/>
      <c r="F4" s="193"/>
      <c r="G4" s="193"/>
      <c r="H4" s="193"/>
      <c r="I4" s="44"/>
    </row>
    <row r="5" spans="1:9" ht="36" customHeight="1">
      <c r="A5" s="46"/>
      <c r="B5" s="46"/>
      <c r="C5" s="46"/>
      <c r="D5" s="46"/>
      <c r="E5" s="46"/>
      <c r="F5" s="46"/>
      <c r="G5" s="46"/>
      <c r="H5" s="46"/>
      <c r="I5" s="46"/>
    </row>
    <row r="6" spans="1:9" ht="21.95" customHeight="1">
      <c r="A6" s="57" t="s">
        <v>2911</v>
      </c>
      <c r="B6" s="57"/>
      <c r="C6" s="57"/>
      <c r="D6" s="57"/>
      <c r="E6" s="57"/>
      <c r="F6" s="57"/>
      <c r="G6" s="57"/>
      <c r="H6" s="57"/>
      <c r="I6" s="57"/>
    </row>
    <row r="7" spans="1:9" ht="33.950000000000003" customHeight="1">
      <c r="A7" s="36" t="s">
        <v>2912</v>
      </c>
      <c r="B7" s="36" t="s">
        <v>2263</v>
      </c>
      <c r="C7" s="36" t="s">
        <v>2252</v>
      </c>
      <c r="D7" s="36" t="s">
        <v>578</v>
      </c>
      <c r="E7" s="36" t="s">
        <v>2265</v>
      </c>
      <c r="F7" s="36" t="s">
        <v>2913</v>
      </c>
      <c r="G7" s="36" t="s">
        <v>145</v>
      </c>
      <c r="H7" s="36" t="s">
        <v>144</v>
      </c>
      <c r="I7" s="36" t="s">
        <v>70</v>
      </c>
    </row>
    <row r="8" spans="1:9" ht="81.95" customHeight="1">
      <c r="A8" s="37"/>
      <c r="B8" s="37"/>
      <c r="C8" s="37"/>
      <c r="D8" s="37"/>
      <c r="E8" s="37"/>
      <c r="F8" s="37"/>
      <c r="G8" s="37" t="s">
        <v>152</v>
      </c>
      <c r="H8" s="37"/>
      <c r="I8" s="37"/>
    </row>
    <row r="9" spans="1:9" ht="81.95" customHeight="1">
      <c r="A9" s="37"/>
      <c r="B9" s="37"/>
      <c r="C9" s="37"/>
      <c r="D9" s="37"/>
      <c r="E9" s="37"/>
      <c r="F9" s="37"/>
      <c r="G9" s="37" t="s">
        <v>152</v>
      </c>
      <c r="H9" s="37"/>
      <c r="I9" s="37"/>
    </row>
    <row r="10" spans="1:9" ht="81.95" customHeight="1">
      <c r="A10" s="37"/>
      <c r="B10" s="37"/>
      <c r="C10" s="37"/>
      <c r="D10" s="37"/>
      <c r="E10" s="37"/>
      <c r="F10" s="37"/>
      <c r="G10" s="37" t="s">
        <v>152</v>
      </c>
      <c r="H10" s="37"/>
      <c r="I10" s="37"/>
    </row>
    <row r="11" spans="1:9" ht="81.95" customHeight="1">
      <c r="A11" s="37"/>
      <c r="B11" s="37"/>
      <c r="C11" s="37"/>
      <c r="D11" s="37"/>
      <c r="E11" s="37"/>
      <c r="F11" s="37"/>
      <c r="G11" s="37" t="s">
        <v>152</v>
      </c>
      <c r="H11" s="37"/>
      <c r="I11" s="37"/>
    </row>
    <row r="12" spans="1:9" ht="81.95" customHeight="1">
      <c r="A12" s="37"/>
      <c r="B12" s="37"/>
      <c r="C12" s="37"/>
      <c r="D12" s="37"/>
      <c r="E12" s="37"/>
      <c r="F12" s="37"/>
      <c r="G12" s="37" t="s">
        <v>152</v>
      </c>
      <c r="H12" s="37"/>
      <c r="I12" s="37"/>
    </row>
    <row r="13" spans="1:9" ht="81.95" customHeight="1">
      <c r="A13" s="37"/>
      <c r="B13" s="37"/>
      <c r="C13" s="37"/>
      <c r="D13" s="37"/>
      <c r="E13" s="37"/>
      <c r="F13" s="37"/>
      <c r="G13" s="37" t="s">
        <v>152</v>
      </c>
      <c r="H13" s="37"/>
      <c r="I13" s="37"/>
    </row>
    <row r="14" spans="1:9" ht="36" customHeight="1">
      <c r="A14" s="37"/>
      <c r="B14" s="37"/>
      <c r="C14" s="37"/>
      <c r="D14" s="37"/>
      <c r="E14" s="37"/>
      <c r="F14" s="37"/>
      <c r="G14" s="37" t="s">
        <v>152</v>
      </c>
      <c r="H14" s="37"/>
      <c r="I14" s="37"/>
    </row>
    <row r="15" spans="1:9" ht="36" customHeight="1">
      <c r="A15" s="37"/>
      <c r="B15" s="37"/>
      <c r="C15" s="37"/>
      <c r="D15" s="37"/>
      <c r="E15" s="37"/>
      <c r="F15" s="37"/>
      <c r="G15" s="37" t="s">
        <v>152</v>
      </c>
      <c r="H15" s="37"/>
      <c r="I15" s="37"/>
    </row>
    <row r="16" spans="1:9" ht="36" customHeight="1">
      <c r="A16" s="37"/>
      <c r="B16" s="37"/>
      <c r="C16" s="37"/>
      <c r="D16" s="37"/>
      <c r="E16" s="37"/>
      <c r="F16" s="37"/>
      <c r="G16" s="37" t="s">
        <v>152</v>
      </c>
      <c r="H16" s="37"/>
      <c r="I16" s="37"/>
    </row>
    <row r="17" spans="1:9" ht="36" customHeight="1">
      <c r="A17" s="37"/>
      <c r="B17" s="37"/>
      <c r="C17" s="37"/>
      <c r="D17" s="37"/>
      <c r="E17" s="37"/>
      <c r="F17" s="37"/>
      <c r="G17" s="37" t="s">
        <v>152</v>
      </c>
      <c r="H17" s="37"/>
      <c r="I17" s="37"/>
    </row>
    <row r="18" spans="1:9" ht="36" customHeight="1">
      <c r="A18" s="37"/>
      <c r="B18" s="37"/>
      <c r="C18" s="37"/>
      <c r="D18" s="37"/>
      <c r="E18" s="37"/>
      <c r="F18" s="37"/>
      <c r="G18" s="37" t="s">
        <v>152</v>
      </c>
      <c r="H18" s="37"/>
      <c r="I18" s="37"/>
    </row>
    <row r="19" spans="1:9" ht="36" customHeight="1">
      <c r="A19" s="37"/>
      <c r="B19" s="37"/>
      <c r="C19" s="37"/>
      <c r="D19" s="37"/>
      <c r="E19" s="37"/>
      <c r="F19" s="37"/>
      <c r="G19" s="37" t="s">
        <v>152</v>
      </c>
      <c r="H19" s="37"/>
      <c r="I19" s="37"/>
    </row>
    <row r="20" spans="1:9" ht="36" customHeight="1">
      <c r="A20" s="46"/>
      <c r="B20" s="46"/>
      <c r="C20" s="46"/>
      <c r="D20" s="46"/>
      <c r="E20" s="46"/>
      <c r="F20" s="46"/>
      <c r="G20" s="46"/>
      <c r="H20" s="46"/>
      <c r="I20" s="46"/>
    </row>
    <row r="21" spans="1:9" ht="36" customHeight="1">
      <c r="A21" s="48"/>
      <c r="B21" s="48"/>
      <c r="C21" s="48"/>
      <c r="D21" s="48"/>
      <c r="E21" s="48"/>
      <c r="F21" s="48"/>
      <c r="G21" s="48"/>
      <c r="H21" s="48"/>
      <c r="I21" s="48"/>
    </row>
    <row r="22" spans="1:9" ht="36" customHeight="1">
      <c r="A22" s="48"/>
      <c r="B22" s="48"/>
      <c r="C22" s="48"/>
      <c r="D22" s="48"/>
      <c r="E22" s="48"/>
      <c r="F22" s="48"/>
      <c r="G22" s="48"/>
      <c r="H22" s="48"/>
      <c r="I22" s="48"/>
    </row>
    <row r="23" spans="1:9" ht="36" customHeight="1">
      <c r="A23" s="48"/>
      <c r="B23" s="48"/>
      <c r="C23" s="48"/>
      <c r="D23" s="48"/>
      <c r="E23" s="48"/>
      <c r="F23" s="48"/>
      <c r="G23" s="48"/>
      <c r="H23" s="48"/>
      <c r="I23" s="48"/>
    </row>
    <row r="24" spans="1:9" ht="36" customHeight="1">
      <c r="A24" s="48"/>
      <c r="B24" s="48"/>
      <c r="C24" s="48"/>
      <c r="D24" s="48"/>
      <c r="E24" s="48"/>
      <c r="F24" s="48"/>
      <c r="G24" s="48"/>
      <c r="H24" s="48"/>
      <c r="I24" s="48"/>
    </row>
    <row r="25" spans="1:9" ht="36" customHeight="1">
      <c r="A25" s="48"/>
      <c r="B25" s="48"/>
      <c r="C25" s="48"/>
      <c r="D25" s="48"/>
      <c r="E25" s="48"/>
      <c r="F25" s="48"/>
      <c r="G25" s="48"/>
      <c r="H25" s="48"/>
      <c r="I25" s="48"/>
    </row>
    <row r="26" spans="1:9" ht="36" customHeight="1">
      <c r="A26" s="48"/>
      <c r="B26" s="48"/>
      <c r="C26" s="48"/>
      <c r="D26" s="48"/>
      <c r="E26" s="48"/>
      <c r="F26" s="48"/>
      <c r="G26" s="48"/>
      <c r="H26" s="48"/>
      <c r="I26" s="48"/>
    </row>
    <row r="27" spans="1:9" ht="36" customHeight="1">
      <c r="A27" s="48"/>
      <c r="B27" s="48"/>
      <c r="C27" s="48"/>
      <c r="D27" s="48"/>
      <c r="E27" s="48"/>
      <c r="F27" s="48"/>
      <c r="G27" s="48"/>
      <c r="H27" s="48"/>
      <c r="I27" s="48"/>
    </row>
    <row r="28" spans="1:9" ht="36" customHeight="1">
      <c r="A28" s="48"/>
      <c r="B28" s="48"/>
      <c r="C28" s="48"/>
      <c r="D28" s="48"/>
      <c r="E28" s="48"/>
      <c r="F28" s="48"/>
      <c r="G28" s="48"/>
      <c r="H28" s="48"/>
      <c r="I28" s="48"/>
    </row>
    <row r="29" spans="1:9" ht="36" customHeight="1">
      <c r="A29" s="48"/>
      <c r="B29" s="48"/>
      <c r="C29" s="48"/>
      <c r="D29" s="48"/>
      <c r="E29" s="48"/>
      <c r="F29" s="48"/>
      <c r="G29" s="48"/>
      <c r="H29" s="48"/>
      <c r="I29" s="48"/>
    </row>
    <row r="30" spans="1:9" ht="36" customHeight="1">
      <c r="A30" s="48"/>
      <c r="B30" s="48"/>
      <c r="C30" s="48"/>
      <c r="D30" s="48"/>
      <c r="E30" s="48"/>
      <c r="F30" s="48"/>
      <c r="G30" s="48"/>
      <c r="H30" s="48"/>
      <c r="I30" s="48"/>
    </row>
    <row r="31" spans="1:9" ht="36" customHeight="1">
      <c r="A31" s="48"/>
      <c r="B31" s="48"/>
      <c r="C31" s="48"/>
      <c r="D31" s="48"/>
      <c r="E31" s="48"/>
      <c r="F31" s="48"/>
      <c r="G31" s="48"/>
      <c r="H31" s="48"/>
      <c r="I31" s="48"/>
    </row>
    <row r="32" spans="1:9" ht="36" customHeight="1">
      <c r="A32" s="48"/>
      <c r="B32" s="48"/>
      <c r="C32" s="48"/>
      <c r="D32" s="48"/>
      <c r="E32" s="48"/>
      <c r="F32" s="48"/>
      <c r="G32" s="48"/>
      <c r="H32" s="48"/>
      <c r="I32" s="48"/>
    </row>
    <row r="33" spans="1:9" ht="36" customHeight="1">
      <c r="A33" s="48"/>
      <c r="B33" s="48"/>
      <c r="C33" s="48"/>
      <c r="D33" s="48"/>
      <c r="E33" s="48"/>
      <c r="F33" s="48"/>
      <c r="G33" s="48"/>
      <c r="H33" s="48"/>
      <c r="I33" s="48"/>
    </row>
    <row r="34" spans="1:9" ht="36" customHeight="1">
      <c r="A34" s="48"/>
      <c r="B34" s="48"/>
      <c r="C34" s="48"/>
      <c r="D34" s="48"/>
      <c r="E34" s="48"/>
      <c r="F34" s="48"/>
      <c r="G34" s="48"/>
      <c r="H34" s="48"/>
      <c r="I34" s="48"/>
    </row>
    <row r="35" spans="1:9" ht="36" customHeight="1">
      <c r="A35" s="48"/>
      <c r="B35" s="48"/>
      <c r="C35" s="48"/>
      <c r="D35" s="48"/>
      <c r="E35" s="48"/>
      <c r="F35" s="48"/>
      <c r="G35" s="48"/>
      <c r="H35" s="48"/>
      <c r="I35" s="48"/>
    </row>
    <row r="36" spans="1:9" ht="36" customHeight="1">
      <c r="A36" s="48"/>
      <c r="B36" s="48"/>
      <c r="C36" s="48"/>
      <c r="D36" s="48"/>
      <c r="E36" s="48"/>
      <c r="F36" s="48"/>
      <c r="G36" s="48"/>
      <c r="H36" s="48"/>
      <c r="I36" s="48"/>
    </row>
    <row r="37" spans="1:9" ht="36" customHeight="1">
      <c r="A37" s="48"/>
      <c r="B37" s="48"/>
      <c r="C37" s="48"/>
      <c r="D37" s="48"/>
      <c r="E37" s="48"/>
      <c r="F37" s="48"/>
      <c r="G37" s="48"/>
      <c r="H37" s="48"/>
      <c r="I37" s="48"/>
    </row>
    <row r="38" spans="1:9" ht="36" customHeight="1">
      <c r="A38" s="48"/>
      <c r="B38" s="48"/>
      <c r="C38" s="48"/>
      <c r="D38" s="48"/>
      <c r="E38" s="48"/>
      <c r="F38" s="48"/>
      <c r="G38" s="48"/>
      <c r="H38" s="48"/>
      <c r="I38" s="48"/>
    </row>
    <row r="39" spans="1:9" ht="36" customHeight="1">
      <c r="A39" s="48"/>
      <c r="B39" s="48"/>
      <c r="C39" s="48"/>
      <c r="D39" s="48"/>
      <c r="E39" s="48"/>
      <c r="F39" s="48"/>
      <c r="G39" s="48"/>
      <c r="H39" s="48"/>
      <c r="I39" s="48"/>
    </row>
    <row r="40" spans="1:9" ht="36" customHeight="1">
      <c r="A40" s="48"/>
      <c r="B40" s="48"/>
      <c r="C40" s="48"/>
      <c r="D40" s="48"/>
      <c r="E40" s="48"/>
      <c r="F40" s="48"/>
      <c r="G40" s="48"/>
      <c r="H40" s="48"/>
      <c r="I40" s="48"/>
    </row>
    <row r="41" spans="1:9" ht="36" customHeight="1">
      <c r="A41" s="48"/>
      <c r="B41" s="48"/>
      <c r="C41" s="48"/>
      <c r="D41" s="48"/>
      <c r="E41" s="48"/>
      <c r="F41" s="48"/>
      <c r="G41" s="48"/>
      <c r="H41" s="48"/>
      <c r="I41" s="48"/>
    </row>
    <row r="42" spans="1:9" ht="36" customHeight="1">
      <c r="A42" s="48"/>
      <c r="B42" s="48"/>
      <c r="C42" s="48"/>
      <c r="D42" s="48"/>
      <c r="E42" s="48"/>
      <c r="F42" s="48"/>
      <c r="G42" s="48"/>
      <c r="H42" s="48"/>
      <c r="I42" s="48"/>
    </row>
    <row r="43" spans="1:9" ht="36" customHeight="1">
      <c r="A43" s="48"/>
      <c r="B43" s="48"/>
      <c r="C43" s="48"/>
      <c r="D43" s="48"/>
      <c r="E43" s="48"/>
      <c r="F43" s="48"/>
      <c r="G43" s="48"/>
      <c r="H43" s="48"/>
      <c r="I43" s="48"/>
    </row>
    <row r="44" spans="1:9" ht="36" customHeight="1">
      <c r="A44" s="48"/>
      <c r="B44" s="48"/>
      <c r="C44" s="48"/>
      <c r="D44" s="48"/>
      <c r="E44" s="48"/>
      <c r="F44" s="48"/>
      <c r="G44" s="48"/>
      <c r="H44" s="48"/>
      <c r="I44" s="48"/>
    </row>
    <row r="45" spans="1:9" ht="36" customHeight="1">
      <c r="A45" s="48"/>
      <c r="B45" s="48"/>
      <c r="C45" s="48"/>
      <c r="D45" s="48"/>
      <c r="E45" s="48"/>
      <c r="F45" s="48"/>
      <c r="G45" s="48"/>
      <c r="H45" s="48"/>
      <c r="I45" s="48"/>
    </row>
    <row r="46" spans="1:9" ht="36" customHeight="1">
      <c r="A46" s="48"/>
      <c r="B46" s="48"/>
      <c r="C46" s="48"/>
      <c r="D46" s="48"/>
      <c r="E46" s="48"/>
      <c r="F46" s="48"/>
      <c r="G46" s="48"/>
      <c r="H46" s="48"/>
      <c r="I46" s="48"/>
    </row>
    <row r="47" spans="1:9" ht="36" customHeight="1">
      <c r="A47" s="48"/>
      <c r="B47" s="48"/>
      <c r="C47" s="48"/>
      <c r="D47" s="48"/>
      <c r="E47" s="48"/>
      <c r="F47" s="48"/>
      <c r="G47" s="48"/>
      <c r="H47" s="48"/>
      <c r="I47" s="48"/>
    </row>
    <row r="48" spans="1:9" ht="36" customHeight="1">
      <c r="A48" s="48"/>
      <c r="B48" s="48"/>
      <c r="C48" s="48"/>
      <c r="D48" s="48"/>
      <c r="E48" s="48"/>
      <c r="F48" s="48"/>
      <c r="G48" s="48"/>
      <c r="H48" s="48"/>
      <c r="I48" s="48"/>
    </row>
    <row r="49" spans="1:9" ht="36" customHeight="1">
      <c r="A49" s="48"/>
      <c r="B49" s="48"/>
      <c r="C49" s="48"/>
      <c r="D49" s="48"/>
      <c r="E49" s="48"/>
      <c r="F49" s="48"/>
      <c r="G49" s="48"/>
      <c r="H49" s="48"/>
      <c r="I49" s="48"/>
    </row>
    <row r="50" spans="1:9" ht="36" customHeight="1">
      <c r="A50" s="48"/>
      <c r="B50" s="48"/>
      <c r="C50" s="48"/>
      <c r="D50" s="48"/>
      <c r="E50" s="48"/>
      <c r="F50" s="48"/>
      <c r="G50" s="48"/>
      <c r="H50" s="48"/>
      <c r="I50" s="48"/>
    </row>
    <row r="51" spans="1:9" ht="36" customHeight="1">
      <c r="A51" s="48"/>
      <c r="B51" s="48"/>
      <c r="C51" s="48"/>
      <c r="D51" s="48"/>
      <c r="E51" s="48"/>
      <c r="F51" s="48"/>
      <c r="G51" s="48"/>
      <c r="H51" s="48"/>
      <c r="I51" s="48"/>
    </row>
    <row r="52" spans="1:9" ht="36" customHeight="1">
      <c r="A52" s="48"/>
      <c r="B52" s="48"/>
      <c r="C52" s="48"/>
      <c r="D52" s="48"/>
      <c r="E52" s="48"/>
      <c r="F52" s="48"/>
      <c r="G52" s="48"/>
      <c r="H52" s="48"/>
      <c r="I52" s="48"/>
    </row>
    <row r="53" spans="1:9" ht="36" customHeight="1">
      <c r="A53" s="48"/>
      <c r="B53" s="48"/>
      <c r="C53" s="48"/>
      <c r="D53" s="48"/>
      <c r="E53" s="48"/>
      <c r="F53" s="48"/>
      <c r="G53" s="48"/>
      <c r="H53" s="48"/>
      <c r="I53" s="48"/>
    </row>
    <row r="54" spans="1:9" ht="36" customHeight="1">
      <c r="A54" s="48"/>
      <c r="B54" s="48"/>
      <c r="C54" s="48"/>
      <c r="D54" s="48"/>
      <c r="E54" s="48"/>
      <c r="F54" s="48"/>
      <c r="G54" s="48"/>
      <c r="H54" s="48"/>
      <c r="I54" s="48"/>
    </row>
    <row r="55" spans="1:9" ht="36" customHeight="1">
      <c r="A55" s="48"/>
      <c r="B55" s="48"/>
      <c r="C55" s="48"/>
      <c r="D55" s="48"/>
      <c r="E55" s="48"/>
      <c r="F55" s="48"/>
      <c r="G55" s="48"/>
      <c r="H55" s="48"/>
      <c r="I55" s="48"/>
    </row>
    <row r="56" spans="1:9" ht="36" customHeight="1">
      <c r="A56" s="48"/>
      <c r="B56" s="48"/>
      <c r="C56" s="48"/>
      <c r="D56" s="48"/>
      <c r="E56" s="48"/>
      <c r="F56" s="48"/>
      <c r="G56" s="48"/>
      <c r="H56" s="48"/>
      <c r="I56" s="48"/>
    </row>
    <row r="57" spans="1:9" ht="36" customHeight="1">
      <c r="A57" s="48"/>
      <c r="B57" s="48"/>
      <c r="C57" s="48"/>
      <c r="D57" s="48"/>
      <c r="E57" s="48"/>
      <c r="F57" s="48"/>
      <c r="G57" s="48"/>
      <c r="H57" s="48"/>
      <c r="I57" s="48"/>
    </row>
    <row r="58" spans="1:9" ht="36" customHeight="1">
      <c r="A58" s="48"/>
      <c r="B58" s="48"/>
      <c r="C58" s="48"/>
      <c r="D58" s="48"/>
      <c r="E58" s="48"/>
      <c r="F58" s="48"/>
      <c r="G58" s="48"/>
      <c r="H58" s="48"/>
      <c r="I58" s="48"/>
    </row>
    <row r="59" spans="1:9" ht="36" customHeight="1">
      <c r="A59" s="48"/>
      <c r="B59" s="48"/>
      <c r="C59" s="48"/>
      <c r="D59" s="48"/>
      <c r="E59" s="48"/>
      <c r="F59" s="48"/>
      <c r="G59" s="48"/>
      <c r="H59" s="48"/>
      <c r="I59" s="48"/>
    </row>
    <row r="60" spans="1:9" ht="36" customHeight="1">
      <c r="A60" s="48"/>
      <c r="B60" s="48"/>
      <c r="C60" s="48"/>
      <c r="D60" s="48"/>
      <c r="E60" s="48"/>
      <c r="F60" s="48"/>
      <c r="G60" s="48"/>
      <c r="H60" s="48"/>
      <c r="I60" s="48"/>
    </row>
    <row r="61" spans="1:9" ht="36" customHeight="1">
      <c r="A61" s="48"/>
      <c r="B61" s="48"/>
      <c r="C61" s="48"/>
      <c r="D61" s="48"/>
      <c r="E61" s="48"/>
      <c r="F61" s="48"/>
      <c r="G61" s="48"/>
      <c r="H61" s="48"/>
      <c r="I61" s="48"/>
    </row>
    <row r="62" spans="1:9" ht="36" customHeight="1">
      <c r="A62" s="48"/>
      <c r="B62" s="48"/>
      <c r="C62" s="48"/>
      <c r="D62" s="48"/>
      <c r="E62" s="48"/>
      <c r="F62" s="48"/>
      <c r="G62" s="48"/>
      <c r="H62" s="48"/>
      <c r="I62" s="48"/>
    </row>
    <row r="63" spans="1:9" ht="36" customHeight="1">
      <c r="A63" s="48"/>
      <c r="B63" s="48"/>
      <c r="C63" s="48"/>
      <c r="D63" s="48"/>
      <c r="E63" s="48"/>
      <c r="F63" s="48"/>
      <c r="G63" s="48"/>
      <c r="H63" s="48"/>
      <c r="I63" s="48"/>
    </row>
    <row r="64" spans="1:9" ht="36" customHeight="1">
      <c r="A64" s="48"/>
      <c r="B64" s="48"/>
      <c r="C64" s="48"/>
      <c r="D64" s="48"/>
      <c r="E64" s="48"/>
      <c r="F64" s="48"/>
      <c r="G64" s="48"/>
      <c r="H64" s="48"/>
      <c r="I64" s="48"/>
    </row>
    <row r="65" spans="1:9" ht="36" customHeight="1">
      <c r="A65" s="48"/>
      <c r="B65" s="48"/>
      <c r="C65" s="48"/>
      <c r="D65" s="48"/>
      <c r="E65" s="48"/>
      <c r="F65" s="48"/>
      <c r="G65" s="48"/>
      <c r="H65" s="48"/>
      <c r="I65" s="48"/>
    </row>
    <row r="66" spans="1:9" ht="36" customHeight="1">
      <c r="A66" s="48"/>
      <c r="B66" s="48"/>
      <c r="C66" s="48"/>
      <c r="D66" s="48"/>
      <c r="E66" s="48"/>
      <c r="F66" s="48"/>
      <c r="G66" s="48"/>
      <c r="H66" s="48"/>
      <c r="I66" s="48"/>
    </row>
    <row r="67" spans="1:9" ht="36" customHeight="1">
      <c r="A67" s="48"/>
      <c r="B67" s="48"/>
      <c r="C67" s="48"/>
      <c r="D67" s="48"/>
      <c r="E67" s="48"/>
      <c r="F67" s="48"/>
      <c r="G67" s="48"/>
      <c r="H67" s="48"/>
      <c r="I67" s="48"/>
    </row>
    <row r="68" spans="1:9" ht="36" customHeight="1">
      <c r="A68" s="48"/>
      <c r="B68" s="48"/>
      <c r="C68" s="48"/>
      <c r="D68" s="48"/>
      <c r="E68" s="48"/>
      <c r="F68" s="48"/>
      <c r="G68" s="48"/>
      <c r="H68" s="48"/>
      <c r="I68" s="48"/>
    </row>
    <row r="69" spans="1:9" ht="36" customHeight="1">
      <c r="A69" s="48"/>
      <c r="B69" s="48"/>
      <c r="C69" s="48"/>
      <c r="D69" s="48"/>
      <c r="E69" s="48"/>
      <c r="F69" s="48"/>
      <c r="G69" s="48"/>
      <c r="H69" s="48"/>
      <c r="I69" s="48"/>
    </row>
    <row r="70" spans="1:9" ht="36" customHeight="1">
      <c r="A70" s="48"/>
      <c r="B70" s="48"/>
      <c r="C70" s="48"/>
      <c r="D70" s="48"/>
      <c r="E70" s="48"/>
      <c r="F70" s="48"/>
      <c r="G70" s="48"/>
      <c r="H70" s="48"/>
      <c r="I70" s="48"/>
    </row>
    <row r="71" spans="1:9" ht="36" customHeight="1">
      <c r="A71" s="48"/>
      <c r="B71" s="48"/>
      <c r="C71" s="48"/>
      <c r="D71" s="48"/>
      <c r="E71" s="48"/>
      <c r="F71" s="48"/>
      <c r="G71" s="48"/>
      <c r="H71" s="48"/>
      <c r="I71" s="48"/>
    </row>
    <row r="72" spans="1:9" ht="36" customHeight="1">
      <c r="A72" s="48"/>
      <c r="B72" s="48"/>
      <c r="C72" s="48"/>
      <c r="D72" s="48"/>
      <c r="E72" s="48"/>
      <c r="F72" s="48"/>
      <c r="G72" s="48"/>
      <c r="H72" s="48"/>
      <c r="I72" s="48"/>
    </row>
    <row r="73" spans="1:9" ht="36" customHeight="1">
      <c r="A73" s="48"/>
      <c r="B73" s="48"/>
      <c r="C73" s="48"/>
      <c r="D73" s="48"/>
      <c r="E73" s="48"/>
      <c r="F73" s="48"/>
      <c r="G73" s="48"/>
      <c r="H73" s="48"/>
      <c r="I73" s="48"/>
    </row>
    <row r="74" spans="1:9" ht="36" customHeight="1">
      <c r="A74" s="48"/>
      <c r="B74" s="48"/>
      <c r="C74" s="48"/>
      <c r="D74" s="48"/>
      <c r="E74" s="48"/>
      <c r="F74" s="48"/>
      <c r="G74" s="48"/>
      <c r="H74" s="48"/>
      <c r="I74" s="48"/>
    </row>
    <row r="75" spans="1:9" ht="36" customHeight="1">
      <c r="A75" s="48"/>
      <c r="B75" s="48"/>
      <c r="C75" s="48"/>
      <c r="D75" s="48"/>
      <c r="E75" s="48"/>
      <c r="F75" s="48"/>
      <c r="G75" s="48"/>
      <c r="H75" s="48"/>
      <c r="I75" s="48"/>
    </row>
    <row r="76" spans="1:9" ht="36" customHeight="1">
      <c r="A76" s="48"/>
      <c r="B76" s="48"/>
      <c r="C76" s="48"/>
      <c r="D76" s="48"/>
      <c r="E76" s="48"/>
      <c r="F76" s="48"/>
      <c r="G76" s="48"/>
      <c r="H76" s="48"/>
      <c r="I76" s="48"/>
    </row>
    <row r="77" spans="1:9" ht="36" customHeight="1">
      <c r="A77" s="48"/>
      <c r="B77" s="48"/>
      <c r="C77" s="48"/>
      <c r="D77" s="48"/>
      <c r="E77" s="48"/>
      <c r="F77" s="48"/>
      <c r="G77" s="48"/>
      <c r="H77" s="48"/>
      <c r="I77" s="48"/>
    </row>
    <row r="78" spans="1:9" ht="36" customHeight="1">
      <c r="A78" s="48"/>
      <c r="B78" s="48"/>
      <c r="C78" s="48"/>
      <c r="D78" s="48"/>
      <c r="E78" s="48"/>
      <c r="F78" s="48"/>
      <c r="G78" s="48"/>
      <c r="H78" s="48"/>
      <c r="I78" s="48"/>
    </row>
    <row r="79" spans="1:9" ht="36" customHeight="1">
      <c r="A79" s="48"/>
      <c r="B79" s="48"/>
      <c r="C79" s="48"/>
      <c r="D79" s="48"/>
      <c r="E79" s="48"/>
      <c r="F79" s="48"/>
      <c r="G79" s="48"/>
      <c r="H79" s="48"/>
      <c r="I79" s="48"/>
    </row>
    <row r="80" spans="1:9" ht="36" customHeight="1">
      <c r="A80" s="48"/>
      <c r="B80" s="48"/>
      <c r="C80" s="48"/>
      <c r="D80" s="48"/>
      <c r="E80" s="48"/>
      <c r="F80" s="48"/>
      <c r="G80" s="48"/>
      <c r="H80" s="48"/>
      <c r="I80" s="48"/>
    </row>
    <row r="81" spans="1:9" ht="36" customHeight="1">
      <c r="A81" s="48"/>
      <c r="B81" s="48"/>
      <c r="C81" s="48"/>
      <c r="D81" s="48"/>
      <c r="E81" s="48"/>
      <c r="F81" s="48"/>
      <c r="G81" s="48"/>
      <c r="H81" s="48"/>
      <c r="I81" s="48"/>
    </row>
    <row r="82" spans="1:9" ht="36" customHeight="1">
      <c r="A82" s="48"/>
      <c r="B82" s="48"/>
      <c r="C82" s="48"/>
      <c r="D82" s="48"/>
      <c r="E82" s="48"/>
      <c r="F82" s="48"/>
      <c r="G82" s="48"/>
      <c r="H82" s="48"/>
      <c r="I82" s="48"/>
    </row>
    <row r="83" spans="1:9" ht="36" customHeight="1">
      <c r="A83" s="48"/>
      <c r="B83" s="48"/>
      <c r="C83" s="48"/>
      <c r="D83" s="48"/>
      <c r="E83" s="48"/>
      <c r="F83" s="48"/>
      <c r="G83" s="48"/>
      <c r="H83" s="48"/>
      <c r="I83" s="48"/>
    </row>
    <row r="84" spans="1:9" ht="36" customHeight="1">
      <c r="A84" s="48"/>
      <c r="B84" s="48"/>
      <c r="C84" s="48"/>
      <c r="D84" s="48"/>
      <c r="E84" s="48"/>
      <c r="F84" s="48"/>
      <c r="G84" s="48"/>
      <c r="H84" s="48"/>
      <c r="I84" s="48"/>
    </row>
    <row r="85" spans="1:9" ht="36" customHeight="1">
      <c r="A85" s="48"/>
      <c r="B85" s="48"/>
      <c r="C85" s="48"/>
      <c r="D85" s="48"/>
      <c r="E85" s="48"/>
      <c r="F85" s="48"/>
      <c r="G85" s="48"/>
      <c r="H85" s="48"/>
      <c r="I85" s="48"/>
    </row>
    <row r="86" spans="1:9" ht="36" customHeight="1">
      <c r="A86" s="48"/>
      <c r="B86" s="48"/>
      <c r="C86" s="48"/>
      <c r="D86" s="48"/>
      <c r="E86" s="48"/>
      <c r="F86" s="48"/>
      <c r="G86" s="48"/>
      <c r="H86" s="48"/>
      <c r="I86" s="48"/>
    </row>
    <row r="87" spans="1:9" ht="36" customHeight="1">
      <c r="A87" s="48"/>
      <c r="B87" s="48"/>
      <c r="C87" s="48"/>
      <c r="D87" s="48"/>
      <c r="E87" s="48"/>
      <c r="F87" s="48"/>
      <c r="G87" s="48"/>
      <c r="H87" s="48"/>
      <c r="I87" s="48"/>
    </row>
    <row r="88" spans="1:9" ht="36" customHeight="1">
      <c r="A88" s="48"/>
      <c r="B88" s="48"/>
      <c r="C88" s="48"/>
      <c r="D88" s="48"/>
      <c r="E88" s="48"/>
      <c r="F88" s="48"/>
      <c r="G88" s="48"/>
      <c r="H88" s="48"/>
      <c r="I88" s="48"/>
    </row>
    <row r="89" spans="1:9" ht="36" customHeight="1">
      <c r="A89" s="48"/>
      <c r="B89" s="48"/>
      <c r="C89" s="48"/>
      <c r="D89" s="48"/>
      <c r="E89" s="48"/>
      <c r="F89" s="48"/>
      <c r="G89" s="48"/>
      <c r="H89" s="48"/>
      <c r="I89" s="48"/>
    </row>
    <row r="90" spans="1:9" ht="36" customHeight="1">
      <c r="A90" s="48"/>
      <c r="B90" s="48"/>
      <c r="C90" s="48"/>
      <c r="D90" s="48"/>
      <c r="E90" s="48"/>
      <c r="F90" s="48"/>
      <c r="G90" s="48"/>
      <c r="H90" s="48"/>
      <c r="I90" s="48"/>
    </row>
    <row r="91" spans="1:9" ht="36" customHeight="1">
      <c r="A91" s="48"/>
      <c r="B91" s="48"/>
      <c r="C91" s="48"/>
      <c r="D91" s="48"/>
      <c r="E91" s="48"/>
      <c r="F91" s="48"/>
      <c r="G91" s="48"/>
      <c r="H91" s="48"/>
      <c r="I91" s="48"/>
    </row>
    <row r="92" spans="1:9" ht="36" customHeight="1">
      <c r="A92" s="48"/>
      <c r="B92" s="48"/>
      <c r="C92" s="48"/>
      <c r="D92" s="48"/>
      <c r="E92" s="48"/>
      <c r="F92" s="48"/>
      <c r="G92" s="48"/>
      <c r="H92" s="48"/>
      <c r="I92" s="48"/>
    </row>
    <row r="93" spans="1:9" ht="36" customHeight="1">
      <c r="A93" s="48"/>
      <c r="B93" s="48"/>
      <c r="C93" s="48"/>
      <c r="D93" s="48"/>
      <c r="E93" s="48"/>
      <c r="F93" s="48"/>
      <c r="G93" s="48"/>
      <c r="H93" s="48"/>
      <c r="I93" s="48"/>
    </row>
    <row r="94" spans="1:9" ht="36" customHeight="1">
      <c r="A94" s="48"/>
      <c r="B94" s="48"/>
      <c r="C94" s="48"/>
      <c r="D94" s="48"/>
      <c r="E94" s="48"/>
      <c r="F94" s="48"/>
      <c r="G94" s="48"/>
      <c r="H94" s="48"/>
      <c r="I94" s="48"/>
    </row>
    <row r="95" spans="1:9" ht="36" customHeight="1">
      <c r="A95" s="48"/>
      <c r="B95" s="48"/>
      <c r="C95" s="48"/>
      <c r="D95" s="48"/>
      <c r="E95" s="48"/>
      <c r="F95" s="48"/>
      <c r="G95" s="48"/>
      <c r="H95" s="48"/>
      <c r="I95" s="48"/>
    </row>
    <row r="96" spans="1:9" ht="36" customHeight="1">
      <c r="A96" s="48"/>
      <c r="B96" s="48"/>
      <c r="C96" s="48"/>
      <c r="D96" s="48"/>
      <c r="E96" s="48"/>
      <c r="F96" s="48"/>
      <c r="G96" s="48"/>
      <c r="H96" s="48"/>
      <c r="I96" s="48"/>
    </row>
    <row r="97" spans="1:9" ht="36" customHeight="1">
      <c r="A97" s="48"/>
      <c r="B97" s="48"/>
      <c r="C97" s="48"/>
      <c r="D97" s="48"/>
      <c r="E97" s="48"/>
      <c r="F97" s="48"/>
      <c r="G97" s="48"/>
      <c r="H97" s="48"/>
      <c r="I97" s="48"/>
    </row>
    <row r="98" spans="1:9" ht="36" customHeight="1">
      <c r="A98" s="48"/>
      <c r="B98" s="48"/>
      <c r="C98" s="48"/>
      <c r="D98" s="48"/>
      <c r="E98" s="48"/>
      <c r="F98" s="48"/>
      <c r="G98" s="48"/>
      <c r="H98" s="48"/>
      <c r="I98" s="48"/>
    </row>
    <row r="99" spans="1:9" ht="36" customHeight="1">
      <c r="A99" s="48"/>
      <c r="B99" s="48"/>
      <c r="C99" s="48"/>
      <c r="D99" s="48"/>
      <c r="E99" s="48"/>
      <c r="F99" s="48"/>
      <c r="G99" s="48"/>
      <c r="H99" s="48"/>
      <c r="I99" s="48"/>
    </row>
    <row r="100" spans="1:9" ht="36" customHeight="1">
      <c r="A100" s="48"/>
      <c r="B100" s="48"/>
      <c r="C100" s="48"/>
      <c r="D100" s="48"/>
      <c r="E100" s="48"/>
      <c r="F100" s="48"/>
      <c r="G100" s="48"/>
      <c r="H100" s="48"/>
      <c r="I100" s="48"/>
    </row>
    <row r="101" spans="1:9" ht="36" customHeight="1">
      <c r="A101" s="48"/>
      <c r="B101" s="48"/>
      <c r="C101" s="48"/>
      <c r="D101" s="48"/>
      <c r="E101" s="48"/>
      <c r="F101" s="48"/>
      <c r="G101" s="48"/>
      <c r="H101" s="48"/>
      <c r="I101" s="48"/>
    </row>
    <row r="102" spans="1:9" ht="36" customHeight="1">
      <c r="A102" s="48"/>
      <c r="B102" s="48"/>
      <c r="C102" s="48"/>
      <c r="D102" s="48"/>
      <c r="E102" s="48"/>
      <c r="F102" s="48"/>
      <c r="G102" s="48"/>
      <c r="H102" s="48"/>
      <c r="I102" s="48"/>
    </row>
    <row r="103" spans="1:9" ht="36" customHeight="1">
      <c r="A103" s="48"/>
      <c r="B103" s="48"/>
      <c r="C103" s="48"/>
      <c r="D103" s="48"/>
      <c r="E103" s="48"/>
      <c r="F103" s="48"/>
      <c r="G103" s="48"/>
      <c r="H103" s="48"/>
      <c r="I103" s="48"/>
    </row>
    <row r="104" spans="1:9" ht="36" customHeight="1">
      <c r="A104" s="48"/>
      <c r="B104" s="48"/>
      <c r="C104" s="48"/>
      <c r="D104" s="48"/>
      <c r="E104" s="48"/>
      <c r="F104" s="48"/>
      <c r="G104" s="48"/>
      <c r="H104" s="48"/>
      <c r="I104" s="48"/>
    </row>
    <row r="105" spans="1:9" ht="36" customHeight="1">
      <c r="A105" s="48"/>
      <c r="B105" s="48"/>
      <c r="C105" s="48"/>
      <c r="D105" s="48"/>
      <c r="E105" s="48"/>
      <c r="F105" s="48"/>
      <c r="G105" s="48"/>
      <c r="H105" s="48"/>
      <c r="I105" s="48"/>
    </row>
    <row r="106" spans="1:9" ht="36" customHeight="1">
      <c r="A106" s="48"/>
      <c r="B106" s="48"/>
      <c r="C106" s="48"/>
      <c r="D106" s="48"/>
      <c r="E106" s="48"/>
      <c r="F106" s="48"/>
      <c r="G106" s="48"/>
      <c r="H106" s="48"/>
      <c r="I106" s="48"/>
    </row>
    <row r="107" spans="1:9" ht="36" customHeight="1">
      <c r="A107" s="48"/>
      <c r="B107" s="48"/>
      <c r="C107" s="48"/>
      <c r="D107" s="48"/>
      <c r="E107" s="48"/>
      <c r="F107" s="48"/>
      <c r="G107" s="48"/>
      <c r="H107" s="48"/>
      <c r="I107" s="48"/>
    </row>
    <row r="108" spans="1:9" ht="36" customHeight="1">
      <c r="A108" s="48"/>
      <c r="B108" s="48"/>
      <c r="C108" s="48"/>
      <c r="D108" s="48"/>
      <c r="E108" s="48"/>
      <c r="F108" s="48"/>
      <c r="G108" s="48"/>
      <c r="H108" s="48"/>
      <c r="I108" s="48"/>
    </row>
    <row r="109" spans="1:9" ht="36" customHeight="1">
      <c r="A109" s="48"/>
      <c r="B109" s="48"/>
      <c r="C109" s="48"/>
      <c r="D109" s="48"/>
      <c r="E109" s="48"/>
      <c r="F109" s="48"/>
      <c r="G109" s="48"/>
      <c r="H109" s="48"/>
      <c r="I109" s="48"/>
    </row>
    <row r="110" spans="1:9" ht="36" customHeight="1">
      <c r="A110" s="48"/>
      <c r="B110" s="48"/>
      <c r="C110" s="48"/>
      <c r="D110" s="48"/>
      <c r="E110" s="48"/>
      <c r="F110" s="48"/>
      <c r="G110" s="48"/>
      <c r="H110" s="48"/>
      <c r="I110" s="48"/>
    </row>
    <row r="111" spans="1:9" ht="36" customHeight="1">
      <c r="A111" s="48"/>
      <c r="B111" s="48"/>
      <c r="C111" s="48"/>
      <c r="D111" s="48"/>
      <c r="E111" s="48"/>
      <c r="F111" s="48"/>
      <c r="G111" s="48"/>
      <c r="H111" s="48"/>
      <c r="I111" s="48"/>
    </row>
    <row r="112" spans="1:9" ht="36" customHeight="1">
      <c r="A112" s="48"/>
      <c r="B112" s="48"/>
      <c r="C112" s="48"/>
      <c r="D112" s="48"/>
      <c r="E112" s="48"/>
      <c r="F112" s="48"/>
      <c r="G112" s="48"/>
      <c r="H112" s="48"/>
      <c r="I112" s="48"/>
    </row>
    <row r="113" spans="1:9" ht="36" customHeight="1">
      <c r="A113" s="48"/>
      <c r="B113" s="48"/>
      <c r="C113" s="48"/>
      <c r="D113" s="48"/>
      <c r="E113" s="48"/>
      <c r="F113" s="48"/>
      <c r="G113" s="48"/>
      <c r="H113" s="48"/>
      <c r="I113" s="48"/>
    </row>
    <row r="114" spans="1:9" ht="36" customHeight="1">
      <c r="A114" s="48"/>
      <c r="B114" s="48"/>
      <c r="C114" s="48"/>
      <c r="D114" s="48"/>
      <c r="E114" s="48"/>
      <c r="F114" s="48"/>
      <c r="G114" s="48"/>
      <c r="H114" s="48"/>
      <c r="I114" s="48"/>
    </row>
    <row r="115" spans="1:9" ht="36" customHeight="1">
      <c r="A115" s="48"/>
      <c r="B115" s="48"/>
      <c r="C115" s="48"/>
      <c r="D115" s="48"/>
      <c r="E115" s="48"/>
      <c r="F115" s="48"/>
      <c r="G115" s="48"/>
      <c r="H115" s="48"/>
      <c r="I115" s="48"/>
    </row>
    <row r="116" spans="1:9" ht="36" customHeight="1">
      <c r="A116" s="48"/>
      <c r="B116" s="48"/>
      <c r="C116" s="48"/>
      <c r="D116" s="48"/>
      <c r="E116" s="48"/>
      <c r="F116" s="48"/>
      <c r="G116" s="48"/>
      <c r="H116" s="48"/>
      <c r="I116" s="48"/>
    </row>
    <row r="117" spans="1:9" ht="36" customHeight="1">
      <c r="A117" s="48"/>
      <c r="B117" s="48"/>
      <c r="C117" s="48"/>
      <c r="D117" s="48"/>
      <c r="E117" s="48"/>
      <c r="F117" s="48"/>
      <c r="G117" s="48"/>
      <c r="H117" s="48"/>
      <c r="I117" s="48"/>
    </row>
    <row r="118" spans="1:9" ht="36" customHeight="1">
      <c r="A118" s="48"/>
      <c r="B118" s="48"/>
      <c r="C118" s="48"/>
      <c r="D118" s="48"/>
      <c r="E118" s="48"/>
      <c r="F118" s="48"/>
      <c r="G118" s="48"/>
      <c r="H118" s="48"/>
      <c r="I118" s="48"/>
    </row>
    <row r="119" spans="1:9" ht="36" customHeight="1">
      <c r="A119" s="48"/>
      <c r="B119" s="48"/>
      <c r="C119" s="48"/>
      <c r="D119" s="48"/>
      <c r="E119" s="48"/>
      <c r="F119" s="48"/>
      <c r="G119" s="48"/>
      <c r="H119" s="48"/>
      <c r="I119" s="48"/>
    </row>
    <row r="120" spans="1:9" ht="36" customHeight="1">
      <c r="A120" s="48"/>
      <c r="B120" s="48"/>
      <c r="C120" s="48"/>
      <c r="D120" s="48"/>
      <c r="E120" s="48"/>
      <c r="F120" s="48"/>
      <c r="G120" s="48"/>
      <c r="H120" s="48"/>
      <c r="I120" s="48"/>
    </row>
    <row r="121" spans="1:9" ht="36" customHeight="1">
      <c r="A121" s="48"/>
      <c r="B121" s="48"/>
      <c r="C121" s="48"/>
      <c r="D121" s="48"/>
      <c r="E121" s="48"/>
      <c r="F121" s="48"/>
      <c r="G121" s="48"/>
      <c r="H121" s="48"/>
      <c r="I121" s="48"/>
    </row>
  </sheetData>
  <mergeCells count="3">
    <mergeCell ref="A4:H4"/>
    <mergeCell ref="A3:H3"/>
    <mergeCell ref="A1:I1"/>
  </mergeCells>
  <dataValidations count="2">
    <dataValidation type="list" sqref="D7:D201" xr:uid="{00000000-0002-0000-1F00-000000000000}">
      <formula1>"Not Started,In Progress,Complete,Gap,Hold,N/A"</formula1>
    </dataValidation>
    <dataValidation type="list" allowBlank="1" sqref="G8:G19" xr:uid="{00000000-0002-0000-1F00-000001000000}">
      <formula1>"Not Started,In Progress,Needs Review,Complete,Not Applicable,Blocked"</formula1>
    </dataValidation>
  </dataValidation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66CC"/>
  </sheetPr>
  <dimension ref="A1:I121"/>
  <sheetViews>
    <sheetView showGridLines="0" workbookViewId="0"/>
  </sheetViews>
  <sheetFormatPr defaultRowHeight="15"/>
  <cols>
    <col min="1" max="1" width="24" customWidth="1"/>
    <col min="2" max="2" width="30" customWidth="1"/>
    <col min="3" max="3" width="32" customWidth="1"/>
    <col min="4" max="4" width="42" customWidth="1"/>
    <col min="5" max="5" width="34" customWidth="1"/>
    <col min="6" max="6" width="30" customWidth="1"/>
    <col min="7" max="7" width="18" customWidth="1"/>
    <col min="8" max="8" width="20" customWidth="1"/>
    <col min="9" max="9" width="34" customWidth="1"/>
  </cols>
  <sheetData>
    <row r="1" spans="1:9" s="48" customFormat="1">
      <c r="A1" s="188" t="s">
        <v>2897</v>
      </c>
      <c r="B1" s="188"/>
      <c r="C1" s="188"/>
      <c r="D1" s="188"/>
      <c r="E1" s="188"/>
      <c r="F1" s="188"/>
      <c r="G1" s="188"/>
      <c r="H1" s="188"/>
      <c r="I1" s="188"/>
    </row>
    <row r="2" spans="1:9" ht="24" customHeight="1">
      <c r="A2" s="56" t="s">
        <v>0</v>
      </c>
      <c r="B2" s="56"/>
      <c r="C2" s="56"/>
      <c r="D2" s="56"/>
      <c r="E2" s="56"/>
      <c r="F2" s="56"/>
      <c r="G2" s="56"/>
      <c r="H2" s="56"/>
      <c r="I2" s="56"/>
    </row>
    <row r="3" spans="1:9" ht="30" customHeight="1">
      <c r="A3" s="168" t="s">
        <v>2914</v>
      </c>
      <c r="B3" s="193"/>
      <c r="C3" s="193"/>
      <c r="D3" s="193"/>
      <c r="E3" s="193"/>
      <c r="F3" s="193"/>
      <c r="G3" s="193"/>
      <c r="H3" s="193"/>
      <c r="I3" s="193"/>
    </row>
    <row r="4" spans="1:9" ht="30" customHeight="1">
      <c r="A4" s="167" t="s">
        <v>2915</v>
      </c>
      <c r="B4" s="193"/>
      <c r="C4" s="193"/>
      <c r="D4" s="193"/>
      <c r="E4" s="193"/>
      <c r="F4" s="193"/>
      <c r="G4" s="193"/>
      <c r="H4" s="193"/>
      <c r="I4" s="193"/>
    </row>
    <row r="5" spans="1:9">
      <c r="A5" s="46"/>
      <c r="B5" s="46"/>
      <c r="C5" s="46"/>
      <c r="D5" s="46"/>
      <c r="E5" s="46"/>
      <c r="F5" s="46"/>
      <c r="G5" s="46"/>
      <c r="H5" s="46"/>
      <c r="I5" s="46"/>
    </row>
    <row r="6" spans="1:9" ht="21.95" customHeight="1">
      <c r="A6" s="57" t="s">
        <v>2916</v>
      </c>
      <c r="B6" s="57"/>
      <c r="C6" s="57"/>
      <c r="D6" s="57"/>
      <c r="E6" s="57"/>
      <c r="F6" s="57"/>
      <c r="G6" s="57"/>
      <c r="H6" s="57"/>
      <c r="I6" s="57"/>
    </row>
    <row r="7" spans="1:9" ht="33.950000000000003" customHeight="1">
      <c r="A7" s="36" t="s">
        <v>2917</v>
      </c>
      <c r="B7" s="36" t="s">
        <v>2918</v>
      </c>
      <c r="C7" s="36" t="s">
        <v>2919</v>
      </c>
      <c r="D7" s="36" t="s">
        <v>2920</v>
      </c>
      <c r="E7" s="36" t="s">
        <v>2573</v>
      </c>
      <c r="F7" s="36" t="s">
        <v>1765</v>
      </c>
      <c r="G7" s="36" t="s">
        <v>145</v>
      </c>
      <c r="H7" s="36" t="s">
        <v>144</v>
      </c>
      <c r="I7" s="36" t="s">
        <v>70</v>
      </c>
    </row>
    <row r="8" spans="1:9" ht="30" customHeight="1">
      <c r="A8" s="37"/>
      <c r="B8" s="37"/>
      <c r="C8" s="37"/>
      <c r="D8" s="37"/>
      <c r="E8" s="37"/>
      <c r="F8" s="37"/>
      <c r="G8" s="37" t="s">
        <v>152</v>
      </c>
      <c r="H8" s="37"/>
      <c r="I8" s="37"/>
    </row>
    <row r="9" spans="1:9" ht="30" customHeight="1">
      <c r="A9" s="37"/>
      <c r="B9" s="37"/>
      <c r="C9" s="37"/>
      <c r="D9" s="37"/>
      <c r="E9" s="37"/>
      <c r="F9" s="37"/>
      <c r="G9" s="37" t="s">
        <v>152</v>
      </c>
      <c r="H9" s="37"/>
      <c r="I9" s="37"/>
    </row>
    <row r="10" spans="1:9" ht="30" customHeight="1">
      <c r="A10" s="37"/>
      <c r="B10" s="37"/>
      <c r="C10" s="37"/>
      <c r="D10" s="37"/>
      <c r="E10" s="37"/>
      <c r="F10" s="37"/>
      <c r="G10" s="37" t="s">
        <v>152</v>
      </c>
      <c r="H10" s="37"/>
      <c r="I10" s="37"/>
    </row>
    <row r="11" spans="1:9" ht="30" customHeight="1">
      <c r="A11" s="37"/>
      <c r="B11" s="37"/>
      <c r="C11" s="37"/>
      <c r="D11" s="37"/>
      <c r="E11" s="37"/>
      <c r="F11" s="37"/>
      <c r="G11" s="37" t="s">
        <v>152</v>
      </c>
      <c r="H11" s="37"/>
      <c r="I11" s="37"/>
    </row>
    <row r="12" spans="1:9" ht="30" customHeight="1">
      <c r="A12" s="37"/>
      <c r="B12" s="37"/>
      <c r="C12" s="37"/>
      <c r="D12" s="37"/>
      <c r="E12" s="37"/>
      <c r="F12" s="37"/>
      <c r="G12" s="37" t="s">
        <v>152</v>
      </c>
      <c r="H12" s="37"/>
      <c r="I12" s="37"/>
    </row>
    <row r="13" spans="1:9" ht="30" customHeight="1">
      <c r="A13" s="37"/>
      <c r="B13" s="37"/>
      <c r="C13" s="37"/>
      <c r="D13" s="37"/>
      <c r="E13" s="37"/>
      <c r="F13" s="37"/>
      <c r="G13" s="37" t="s">
        <v>152</v>
      </c>
      <c r="H13" s="37"/>
      <c r="I13" s="37"/>
    </row>
    <row r="14" spans="1:9" ht="30" customHeight="1">
      <c r="A14" s="37"/>
      <c r="B14" s="37"/>
      <c r="C14" s="37"/>
      <c r="D14" s="37"/>
      <c r="E14" s="37"/>
      <c r="F14" s="37"/>
      <c r="G14" s="37" t="s">
        <v>152</v>
      </c>
      <c r="H14" s="37"/>
      <c r="I14" s="37"/>
    </row>
    <row r="15" spans="1:9" ht="30" customHeight="1">
      <c r="A15" s="37"/>
      <c r="B15" s="37"/>
      <c r="C15" s="37"/>
      <c r="D15" s="37"/>
      <c r="E15" s="37"/>
      <c r="F15" s="37"/>
      <c r="G15" s="37" t="s">
        <v>152</v>
      </c>
      <c r="H15" s="37"/>
      <c r="I15" s="37"/>
    </row>
    <row r="16" spans="1:9" ht="30" customHeight="1">
      <c r="A16" s="37"/>
      <c r="B16" s="37"/>
      <c r="C16" s="37"/>
      <c r="D16" s="37"/>
      <c r="E16" s="37"/>
      <c r="F16" s="37"/>
      <c r="G16" s="37" t="s">
        <v>152</v>
      </c>
      <c r="H16" s="37"/>
      <c r="I16" s="37"/>
    </row>
    <row r="17" spans="1:9" ht="30" customHeight="1">
      <c r="A17" s="37"/>
      <c r="B17" s="37"/>
      <c r="C17" s="37"/>
      <c r="D17" s="37"/>
      <c r="E17" s="37"/>
      <c r="F17" s="37"/>
      <c r="G17" s="37" t="s">
        <v>152</v>
      </c>
      <c r="H17" s="37"/>
      <c r="I17" s="37"/>
    </row>
    <row r="18" spans="1:9" ht="30" customHeight="1">
      <c r="A18" s="37"/>
      <c r="B18" s="37"/>
      <c r="C18" s="37"/>
      <c r="D18" s="37"/>
      <c r="E18" s="37"/>
      <c r="F18" s="37"/>
      <c r="G18" s="37" t="s">
        <v>152</v>
      </c>
      <c r="H18" s="37"/>
      <c r="I18" s="37"/>
    </row>
    <row r="19" spans="1:9" ht="30" customHeight="1">
      <c r="A19" s="37"/>
      <c r="B19" s="37"/>
      <c r="C19" s="37"/>
      <c r="D19" s="37"/>
      <c r="E19" s="37"/>
      <c r="F19" s="37"/>
      <c r="G19" s="37" t="s">
        <v>152</v>
      </c>
      <c r="H19" s="37"/>
      <c r="I19" s="37"/>
    </row>
    <row r="20" spans="1:9" ht="30" customHeight="1">
      <c r="A20" s="46"/>
      <c r="B20" s="46"/>
      <c r="C20" s="46"/>
      <c r="D20" s="46"/>
      <c r="E20" s="46"/>
      <c r="F20" s="46"/>
      <c r="G20" s="46"/>
      <c r="H20" s="46"/>
      <c r="I20" s="46"/>
    </row>
    <row r="21" spans="1:9" ht="30" customHeight="1">
      <c r="A21" s="48"/>
      <c r="B21" s="48"/>
      <c r="C21" s="48"/>
      <c r="D21" s="48"/>
      <c r="E21" s="48"/>
      <c r="F21" s="48"/>
      <c r="G21" s="48"/>
      <c r="H21" s="48"/>
      <c r="I21" s="48"/>
    </row>
    <row r="22" spans="1:9" ht="30" customHeight="1">
      <c r="A22" s="48"/>
      <c r="B22" s="48"/>
      <c r="C22" s="48"/>
      <c r="D22" s="48"/>
      <c r="E22" s="48"/>
      <c r="F22" s="48"/>
      <c r="G22" s="48"/>
      <c r="H22" s="48"/>
      <c r="I22" s="48"/>
    </row>
    <row r="23" spans="1:9" ht="30" customHeight="1">
      <c r="A23" s="48"/>
      <c r="B23" s="48"/>
      <c r="C23" s="48"/>
      <c r="D23" s="48"/>
      <c r="E23" s="48"/>
      <c r="F23" s="48"/>
      <c r="G23" s="48"/>
      <c r="H23" s="48"/>
      <c r="I23" s="48"/>
    </row>
    <row r="24" spans="1:9" ht="30" customHeight="1">
      <c r="A24" s="48"/>
      <c r="B24" s="48"/>
      <c r="C24" s="48"/>
      <c r="D24" s="48"/>
      <c r="E24" s="48"/>
      <c r="F24" s="48"/>
      <c r="G24" s="48"/>
      <c r="H24" s="48"/>
      <c r="I24" s="48"/>
    </row>
    <row r="25" spans="1:9" ht="30" customHeight="1">
      <c r="A25" s="48"/>
      <c r="B25" s="48"/>
      <c r="C25" s="48"/>
      <c r="D25" s="48"/>
      <c r="E25" s="48"/>
      <c r="F25" s="48"/>
      <c r="G25" s="48"/>
      <c r="H25" s="48"/>
      <c r="I25" s="48"/>
    </row>
    <row r="26" spans="1:9" ht="30" customHeight="1">
      <c r="A26" s="48"/>
      <c r="B26" s="48"/>
      <c r="C26" s="48"/>
      <c r="D26" s="48"/>
      <c r="E26" s="48"/>
      <c r="F26" s="48"/>
      <c r="G26" s="48"/>
      <c r="H26" s="48"/>
      <c r="I26" s="48"/>
    </row>
    <row r="27" spans="1:9" ht="30" customHeight="1">
      <c r="A27" s="48"/>
      <c r="B27" s="48"/>
      <c r="C27" s="48"/>
      <c r="D27" s="48"/>
      <c r="E27" s="48"/>
      <c r="F27" s="48"/>
      <c r="G27" s="48"/>
      <c r="H27" s="48"/>
      <c r="I27" s="48"/>
    </row>
    <row r="28" spans="1:9" ht="30" customHeight="1">
      <c r="A28" s="48"/>
      <c r="B28" s="48"/>
      <c r="C28" s="48"/>
      <c r="D28" s="48"/>
      <c r="E28" s="48"/>
      <c r="F28" s="48"/>
      <c r="G28" s="48"/>
      <c r="H28" s="48"/>
      <c r="I28" s="48"/>
    </row>
    <row r="29" spans="1:9" ht="30" customHeight="1">
      <c r="A29" s="48"/>
      <c r="B29" s="48"/>
      <c r="C29" s="48"/>
      <c r="D29" s="48"/>
      <c r="E29" s="48"/>
      <c r="F29" s="48"/>
      <c r="G29" s="48"/>
      <c r="H29" s="48"/>
      <c r="I29" s="48"/>
    </row>
    <row r="30" spans="1:9" ht="30" customHeight="1">
      <c r="A30" s="48"/>
      <c r="B30" s="48"/>
      <c r="C30" s="48"/>
      <c r="D30" s="48"/>
      <c r="E30" s="48"/>
      <c r="F30" s="48"/>
      <c r="G30" s="48"/>
      <c r="H30" s="48"/>
      <c r="I30" s="48"/>
    </row>
    <row r="31" spans="1:9" ht="30" customHeight="1">
      <c r="A31" s="48"/>
      <c r="B31" s="48"/>
      <c r="C31" s="48"/>
      <c r="D31" s="48"/>
      <c r="E31" s="48"/>
      <c r="F31" s="48"/>
      <c r="G31" s="48"/>
      <c r="H31" s="48"/>
      <c r="I31" s="48"/>
    </row>
    <row r="32" spans="1:9" ht="30" customHeight="1">
      <c r="A32" s="48"/>
      <c r="B32" s="48"/>
      <c r="C32" s="48"/>
      <c r="D32" s="48"/>
      <c r="E32" s="48"/>
      <c r="F32" s="48"/>
      <c r="G32" s="48"/>
      <c r="H32" s="48"/>
      <c r="I32" s="48"/>
    </row>
    <row r="33" spans="1:9" ht="30" customHeight="1">
      <c r="A33" s="48"/>
      <c r="B33" s="48"/>
      <c r="C33" s="48"/>
      <c r="D33" s="48"/>
      <c r="E33" s="48"/>
      <c r="F33" s="48"/>
      <c r="G33" s="48"/>
      <c r="H33" s="48"/>
      <c r="I33" s="48"/>
    </row>
    <row r="34" spans="1:9" ht="30" customHeight="1">
      <c r="A34" s="48"/>
      <c r="B34" s="48"/>
      <c r="C34" s="48"/>
      <c r="D34" s="48"/>
      <c r="E34" s="48"/>
      <c r="F34" s="48"/>
      <c r="G34" s="48"/>
      <c r="H34" s="48"/>
      <c r="I34" s="48"/>
    </row>
    <row r="35" spans="1:9" ht="30" customHeight="1">
      <c r="A35" s="48"/>
      <c r="B35" s="48"/>
      <c r="C35" s="48"/>
      <c r="D35" s="48"/>
      <c r="E35" s="48"/>
      <c r="F35" s="48"/>
      <c r="G35" s="48"/>
      <c r="H35" s="48"/>
      <c r="I35" s="48"/>
    </row>
    <row r="36" spans="1:9" ht="30" customHeight="1">
      <c r="A36" s="48"/>
      <c r="B36" s="48"/>
      <c r="C36" s="48"/>
      <c r="D36" s="48"/>
      <c r="E36" s="48"/>
      <c r="F36" s="48"/>
      <c r="G36" s="48"/>
      <c r="H36" s="48"/>
      <c r="I36" s="48"/>
    </row>
    <row r="37" spans="1:9" ht="30" customHeight="1">
      <c r="A37" s="48"/>
      <c r="B37" s="48"/>
      <c r="C37" s="48"/>
      <c r="D37" s="48"/>
      <c r="E37" s="48"/>
      <c r="F37" s="48"/>
      <c r="G37" s="48"/>
      <c r="H37" s="48"/>
      <c r="I37" s="48"/>
    </row>
    <row r="38" spans="1:9" ht="30" customHeight="1">
      <c r="A38" s="48"/>
      <c r="B38" s="48"/>
      <c r="C38" s="48"/>
      <c r="D38" s="48"/>
      <c r="E38" s="48"/>
      <c r="F38" s="48"/>
      <c r="G38" s="48"/>
      <c r="H38" s="48"/>
      <c r="I38" s="48"/>
    </row>
    <row r="39" spans="1:9" ht="30" customHeight="1">
      <c r="A39" s="48"/>
      <c r="B39" s="48"/>
      <c r="C39" s="48"/>
      <c r="D39" s="48"/>
      <c r="E39" s="48"/>
      <c r="F39" s="48"/>
      <c r="G39" s="48"/>
      <c r="H39" s="48"/>
      <c r="I39" s="48"/>
    </row>
    <row r="40" spans="1:9" ht="30" customHeight="1">
      <c r="A40" s="48"/>
      <c r="B40" s="48"/>
      <c r="C40" s="48"/>
      <c r="D40" s="48"/>
      <c r="E40" s="48"/>
      <c r="F40" s="48"/>
      <c r="G40" s="48"/>
      <c r="H40" s="48"/>
      <c r="I40" s="48"/>
    </row>
    <row r="41" spans="1:9" ht="30" customHeight="1">
      <c r="A41" s="48"/>
      <c r="B41" s="48"/>
      <c r="C41" s="48"/>
      <c r="D41" s="48"/>
      <c r="E41" s="48"/>
      <c r="F41" s="48"/>
      <c r="G41" s="48"/>
      <c r="H41" s="48"/>
      <c r="I41" s="48"/>
    </row>
    <row r="42" spans="1:9" ht="30" customHeight="1">
      <c r="A42" s="48"/>
      <c r="B42" s="48"/>
      <c r="C42" s="48"/>
      <c r="D42" s="48"/>
      <c r="E42" s="48"/>
      <c r="F42" s="48"/>
      <c r="G42" s="48"/>
      <c r="H42" s="48"/>
      <c r="I42" s="48"/>
    </row>
    <row r="43" spans="1:9" ht="30" customHeight="1">
      <c r="A43" s="48"/>
      <c r="B43" s="48"/>
      <c r="C43" s="48"/>
      <c r="D43" s="48"/>
      <c r="E43" s="48"/>
      <c r="F43" s="48"/>
      <c r="G43" s="48"/>
      <c r="H43" s="48"/>
      <c r="I43" s="48"/>
    </row>
    <row r="44" spans="1:9" ht="30" customHeight="1">
      <c r="A44" s="48"/>
      <c r="B44" s="48"/>
      <c r="C44" s="48"/>
      <c r="D44" s="48"/>
      <c r="E44" s="48"/>
      <c r="F44" s="48"/>
      <c r="G44" s="48"/>
      <c r="H44" s="48"/>
      <c r="I44" s="48"/>
    </row>
    <row r="45" spans="1:9" ht="30" customHeight="1">
      <c r="A45" s="48"/>
      <c r="B45" s="48"/>
      <c r="C45" s="48"/>
      <c r="D45" s="48"/>
      <c r="E45" s="48"/>
      <c r="F45" s="48"/>
      <c r="G45" s="48"/>
      <c r="H45" s="48"/>
      <c r="I45" s="48"/>
    </row>
    <row r="46" spans="1:9" ht="30" customHeight="1">
      <c r="A46" s="48"/>
      <c r="B46" s="48"/>
      <c r="C46" s="48"/>
      <c r="D46" s="48"/>
      <c r="E46" s="48"/>
      <c r="F46" s="48"/>
      <c r="G46" s="48"/>
      <c r="H46" s="48"/>
      <c r="I46" s="48"/>
    </row>
    <row r="47" spans="1:9" ht="30" customHeight="1">
      <c r="A47" s="48"/>
      <c r="B47" s="48"/>
      <c r="C47" s="48"/>
      <c r="D47" s="48"/>
      <c r="E47" s="48"/>
      <c r="F47" s="48"/>
      <c r="G47" s="48"/>
      <c r="H47" s="48"/>
      <c r="I47" s="48"/>
    </row>
    <row r="48" spans="1:9" ht="30" customHeight="1">
      <c r="A48" s="48"/>
      <c r="B48" s="48"/>
      <c r="C48" s="48"/>
      <c r="D48" s="48"/>
      <c r="E48" s="48"/>
      <c r="F48" s="48"/>
      <c r="G48" s="48"/>
      <c r="H48" s="48"/>
      <c r="I48" s="48"/>
    </row>
    <row r="49" spans="1:9" ht="30" customHeight="1">
      <c r="A49" s="48"/>
      <c r="B49" s="48"/>
      <c r="C49" s="48"/>
      <c r="D49" s="48"/>
      <c r="E49" s="48"/>
      <c r="F49" s="48"/>
      <c r="G49" s="48"/>
      <c r="H49" s="48"/>
      <c r="I49" s="48"/>
    </row>
    <row r="50" spans="1:9" ht="30" customHeight="1">
      <c r="A50" s="48"/>
      <c r="B50" s="48"/>
      <c r="C50" s="48"/>
      <c r="D50" s="48"/>
      <c r="E50" s="48"/>
      <c r="F50" s="48"/>
      <c r="G50" s="48"/>
      <c r="H50" s="48"/>
      <c r="I50" s="48"/>
    </row>
    <row r="51" spans="1:9" ht="30" customHeight="1">
      <c r="A51" s="48"/>
      <c r="B51" s="48"/>
      <c r="C51" s="48"/>
      <c r="D51" s="48"/>
      <c r="E51" s="48"/>
      <c r="F51" s="48"/>
      <c r="G51" s="48"/>
      <c r="H51" s="48"/>
      <c r="I51" s="48"/>
    </row>
    <row r="52" spans="1:9" ht="30" customHeight="1">
      <c r="A52" s="48"/>
      <c r="B52" s="48"/>
      <c r="C52" s="48"/>
      <c r="D52" s="48"/>
      <c r="E52" s="48"/>
      <c r="F52" s="48"/>
      <c r="G52" s="48"/>
      <c r="H52" s="48"/>
      <c r="I52" s="48"/>
    </row>
    <row r="53" spans="1:9" ht="30" customHeight="1">
      <c r="A53" s="48"/>
      <c r="B53" s="48"/>
      <c r="C53" s="48"/>
      <c r="D53" s="48"/>
      <c r="E53" s="48"/>
      <c r="F53" s="48"/>
      <c r="G53" s="48"/>
      <c r="H53" s="48"/>
      <c r="I53" s="48"/>
    </row>
    <row r="54" spans="1:9" ht="30" customHeight="1">
      <c r="A54" s="48"/>
      <c r="B54" s="48"/>
      <c r="C54" s="48"/>
      <c r="D54" s="48"/>
      <c r="E54" s="48"/>
      <c r="F54" s="48"/>
      <c r="G54" s="48"/>
      <c r="H54" s="48"/>
      <c r="I54" s="48"/>
    </row>
    <row r="55" spans="1:9" ht="30" customHeight="1">
      <c r="A55" s="48"/>
      <c r="B55" s="48"/>
      <c r="C55" s="48"/>
      <c r="D55" s="48"/>
      <c r="E55" s="48"/>
      <c r="F55" s="48"/>
      <c r="G55" s="48"/>
      <c r="H55" s="48"/>
      <c r="I55" s="48"/>
    </row>
    <row r="56" spans="1:9" ht="30" customHeight="1">
      <c r="A56" s="48"/>
      <c r="B56" s="48"/>
      <c r="C56" s="48"/>
      <c r="D56" s="48"/>
      <c r="E56" s="48"/>
      <c r="F56" s="48"/>
      <c r="G56" s="48"/>
      <c r="H56" s="48"/>
      <c r="I56" s="48"/>
    </row>
    <row r="57" spans="1:9" ht="30" customHeight="1">
      <c r="A57" s="48"/>
      <c r="B57" s="48"/>
      <c r="C57" s="48"/>
      <c r="D57" s="48"/>
      <c r="E57" s="48"/>
      <c r="F57" s="48"/>
      <c r="G57" s="48"/>
      <c r="H57" s="48"/>
      <c r="I57" s="48"/>
    </row>
    <row r="58" spans="1:9" ht="30" customHeight="1">
      <c r="A58" s="48"/>
      <c r="B58" s="48"/>
      <c r="C58" s="48"/>
      <c r="D58" s="48"/>
      <c r="E58" s="48"/>
      <c r="F58" s="48"/>
      <c r="G58" s="48"/>
      <c r="H58" s="48"/>
      <c r="I58" s="48"/>
    </row>
    <row r="59" spans="1:9" ht="30" customHeight="1">
      <c r="A59" s="48"/>
      <c r="B59" s="48"/>
      <c r="C59" s="48"/>
      <c r="D59" s="48"/>
      <c r="E59" s="48"/>
      <c r="F59" s="48"/>
      <c r="G59" s="48"/>
      <c r="H59" s="48"/>
      <c r="I59" s="48"/>
    </row>
    <row r="60" spans="1:9" ht="30" customHeight="1">
      <c r="A60" s="48"/>
      <c r="B60" s="48"/>
      <c r="C60" s="48"/>
      <c r="D60" s="48"/>
      <c r="E60" s="48"/>
      <c r="F60" s="48"/>
      <c r="G60" s="48"/>
      <c r="H60" s="48"/>
      <c r="I60" s="48"/>
    </row>
    <row r="61" spans="1:9" ht="30" customHeight="1">
      <c r="A61" s="48"/>
      <c r="B61" s="48"/>
      <c r="C61" s="48"/>
      <c r="D61" s="48"/>
      <c r="E61" s="48"/>
      <c r="F61" s="48"/>
      <c r="G61" s="48"/>
      <c r="H61" s="48"/>
      <c r="I61" s="48"/>
    </row>
    <row r="62" spans="1:9" ht="30" customHeight="1">
      <c r="A62" s="48"/>
      <c r="B62" s="48"/>
      <c r="C62" s="48"/>
      <c r="D62" s="48"/>
      <c r="E62" s="48"/>
      <c r="F62" s="48"/>
      <c r="G62" s="48"/>
      <c r="H62" s="48"/>
      <c r="I62" s="48"/>
    </row>
    <row r="63" spans="1:9" ht="30" customHeight="1">
      <c r="A63" s="48"/>
      <c r="B63" s="48"/>
      <c r="C63" s="48"/>
      <c r="D63" s="48"/>
      <c r="E63" s="48"/>
      <c r="F63" s="48"/>
      <c r="G63" s="48"/>
      <c r="H63" s="48"/>
      <c r="I63" s="48"/>
    </row>
    <row r="64" spans="1:9" ht="30" customHeight="1">
      <c r="A64" s="48"/>
      <c r="B64" s="48"/>
      <c r="C64" s="48"/>
      <c r="D64" s="48"/>
      <c r="E64" s="48"/>
      <c r="F64" s="48"/>
      <c r="G64" s="48"/>
      <c r="H64" s="48"/>
      <c r="I64" s="48"/>
    </row>
    <row r="65" spans="1:9" ht="30" customHeight="1">
      <c r="A65" s="48"/>
      <c r="B65" s="48"/>
      <c r="C65" s="48"/>
      <c r="D65" s="48"/>
      <c r="E65" s="48"/>
      <c r="F65" s="48"/>
      <c r="G65" s="48"/>
      <c r="H65" s="48"/>
      <c r="I65" s="48"/>
    </row>
    <row r="66" spans="1:9" ht="30" customHeight="1">
      <c r="A66" s="48"/>
      <c r="B66" s="48"/>
      <c r="C66" s="48"/>
      <c r="D66" s="48"/>
      <c r="E66" s="48"/>
      <c r="F66" s="48"/>
      <c r="G66" s="48"/>
      <c r="H66" s="48"/>
      <c r="I66" s="48"/>
    </row>
    <row r="67" spans="1:9" ht="30" customHeight="1">
      <c r="A67" s="48"/>
      <c r="B67" s="48"/>
      <c r="C67" s="48"/>
      <c r="D67" s="48"/>
      <c r="E67" s="48"/>
      <c r="F67" s="48"/>
      <c r="G67" s="48"/>
      <c r="H67" s="48"/>
      <c r="I67" s="48"/>
    </row>
    <row r="68" spans="1:9" ht="30" customHeight="1">
      <c r="A68" s="48"/>
      <c r="B68" s="48"/>
      <c r="C68" s="48"/>
      <c r="D68" s="48"/>
      <c r="E68" s="48"/>
      <c r="F68" s="48"/>
      <c r="G68" s="48"/>
      <c r="H68" s="48"/>
      <c r="I68" s="48"/>
    </row>
    <row r="69" spans="1:9" ht="30" customHeight="1">
      <c r="A69" s="48"/>
      <c r="B69" s="48"/>
      <c r="C69" s="48"/>
      <c r="D69" s="48"/>
      <c r="E69" s="48"/>
      <c r="F69" s="48"/>
      <c r="G69" s="48"/>
      <c r="H69" s="48"/>
      <c r="I69" s="48"/>
    </row>
    <row r="70" spans="1:9" ht="30" customHeight="1">
      <c r="A70" s="48"/>
      <c r="B70" s="48"/>
      <c r="C70" s="48"/>
      <c r="D70" s="48"/>
      <c r="E70" s="48"/>
      <c r="F70" s="48"/>
      <c r="G70" s="48"/>
      <c r="H70" s="48"/>
      <c r="I70" s="48"/>
    </row>
    <row r="71" spans="1:9" ht="30" customHeight="1">
      <c r="A71" s="48"/>
      <c r="B71" s="48"/>
      <c r="C71" s="48"/>
      <c r="D71" s="48"/>
      <c r="E71" s="48"/>
      <c r="F71" s="48"/>
      <c r="G71" s="48"/>
      <c r="H71" s="48"/>
      <c r="I71" s="48"/>
    </row>
    <row r="72" spans="1:9" ht="30" customHeight="1">
      <c r="A72" s="48"/>
      <c r="B72" s="48"/>
      <c r="C72" s="48"/>
      <c r="D72" s="48"/>
      <c r="E72" s="48"/>
      <c r="F72" s="48"/>
      <c r="G72" s="48"/>
      <c r="H72" s="48"/>
      <c r="I72" s="48"/>
    </row>
    <row r="73" spans="1:9" ht="30" customHeight="1">
      <c r="A73" s="48"/>
      <c r="B73" s="48"/>
      <c r="C73" s="48"/>
      <c r="D73" s="48"/>
      <c r="E73" s="48"/>
      <c r="F73" s="48"/>
      <c r="G73" s="48"/>
      <c r="H73" s="48"/>
      <c r="I73" s="48"/>
    </row>
    <row r="74" spans="1:9" ht="30" customHeight="1">
      <c r="A74" s="48"/>
      <c r="B74" s="48"/>
      <c r="C74" s="48"/>
      <c r="D74" s="48"/>
      <c r="E74" s="48"/>
      <c r="F74" s="48"/>
      <c r="G74" s="48"/>
      <c r="H74" s="48"/>
      <c r="I74" s="48"/>
    </row>
    <row r="75" spans="1:9" ht="30" customHeight="1">
      <c r="A75" s="48"/>
      <c r="B75" s="48"/>
      <c r="C75" s="48"/>
      <c r="D75" s="48"/>
      <c r="E75" s="48"/>
      <c r="F75" s="48"/>
      <c r="G75" s="48"/>
      <c r="H75" s="48"/>
      <c r="I75" s="48"/>
    </row>
    <row r="76" spans="1:9" ht="30" customHeight="1">
      <c r="A76" s="48"/>
      <c r="B76" s="48"/>
      <c r="C76" s="48"/>
      <c r="D76" s="48"/>
      <c r="E76" s="48"/>
      <c r="F76" s="48"/>
      <c r="G76" s="48"/>
      <c r="H76" s="48"/>
      <c r="I76" s="48"/>
    </row>
    <row r="77" spans="1:9" ht="30" customHeight="1">
      <c r="A77" s="48"/>
      <c r="B77" s="48"/>
      <c r="C77" s="48"/>
      <c r="D77" s="48"/>
      <c r="E77" s="48"/>
      <c r="F77" s="48"/>
      <c r="G77" s="48"/>
      <c r="H77" s="48"/>
      <c r="I77" s="48"/>
    </row>
    <row r="78" spans="1:9" ht="30" customHeight="1">
      <c r="A78" s="48"/>
      <c r="B78" s="48"/>
      <c r="C78" s="48"/>
      <c r="D78" s="48"/>
      <c r="E78" s="48"/>
      <c r="F78" s="48"/>
      <c r="G78" s="48"/>
      <c r="H78" s="48"/>
      <c r="I78" s="48"/>
    </row>
    <row r="79" spans="1:9" ht="30" customHeight="1">
      <c r="A79" s="48"/>
      <c r="B79" s="48"/>
      <c r="C79" s="48"/>
      <c r="D79" s="48"/>
      <c r="E79" s="48"/>
      <c r="F79" s="48"/>
      <c r="G79" s="48"/>
      <c r="H79" s="48"/>
      <c r="I79" s="48"/>
    </row>
    <row r="80" spans="1:9" ht="30" customHeight="1">
      <c r="A80" s="48"/>
      <c r="B80" s="48"/>
      <c r="C80" s="48"/>
      <c r="D80" s="48"/>
      <c r="E80" s="48"/>
      <c r="F80" s="48"/>
      <c r="G80" s="48"/>
      <c r="H80" s="48"/>
      <c r="I80" s="48"/>
    </row>
    <row r="81" spans="1:9" ht="30" customHeight="1">
      <c r="A81" s="48"/>
      <c r="B81" s="48"/>
      <c r="C81" s="48"/>
      <c r="D81" s="48"/>
      <c r="E81" s="48"/>
      <c r="F81" s="48"/>
      <c r="G81" s="48"/>
      <c r="H81" s="48"/>
      <c r="I81" s="48"/>
    </row>
    <row r="82" spans="1:9" ht="30" customHeight="1">
      <c r="A82" s="48"/>
      <c r="B82" s="48"/>
      <c r="C82" s="48"/>
      <c r="D82" s="48"/>
      <c r="E82" s="48"/>
      <c r="F82" s="48"/>
      <c r="G82" s="48"/>
      <c r="H82" s="48"/>
      <c r="I82" s="48"/>
    </row>
    <row r="83" spans="1:9" ht="30" customHeight="1">
      <c r="A83" s="48"/>
      <c r="B83" s="48"/>
      <c r="C83" s="48"/>
      <c r="D83" s="48"/>
      <c r="E83" s="48"/>
      <c r="F83" s="48"/>
      <c r="G83" s="48"/>
      <c r="H83" s="48"/>
      <c r="I83" s="48"/>
    </row>
    <row r="84" spans="1:9" ht="30" customHeight="1">
      <c r="A84" s="48"/>
      <c r="B84" s="48"/>
      <c r="C84" s="48"/>
      <c r="D84" s="48"/>
      <c r="E84" s="48"/>
      <c r="F84" s="48"/>
      <c r="G84" s="48"/>
      <c r="H84" s="48"/>
      <c r="I84" s="48"/>
    </row>
    <row r="85" spans="1:9" ht="30" customHeight="1">
      <c r="A85" s="48"/>
      <c r="B85" s="48"/>
      <c r="C85" s="48"/>
      <c r="D85" s="48"/>
      <c r="E85" s="48"/>
      <c r="F85" s="48"/>
      <c r="G85" s="48"/>
      <c r="H85" s="48"/>
      <c r="I85" s="48"/>
    </row>
    <row r="86" spans="1:9" ht="30" customHeight="1">
      <c r="A86" s="48"/>
      <c r="B86" s="48"/>
      <c r="C86" s="48"/>
      <c r="D86" s="48"/>
      <c r="E86" s="48"/>
      <c r="F86" s="48"/>
      <c r="G86" s="48"/>
      <c r="H86" s="48"/>
      <c r="I86" s="48"/>
    </row>
    <row r="87" spans="1:9" ht="30" customHeight="1">
      <c r="A87" s="48"/>
      <c r="B87" s="48"/>
      <c r="C87" s="48"/>
      <c r="D87" s="48"/>
      <c r="E87" s="48"/>
      <c r="F87" s="48"/>
      <c r="G87" s="48"/>
      <c r="H87" s="48"/>
      <c r="I87" s="48"/>
    </row>
    <row r="88" spans="1:9" ht="30" customHeight="1">
      <c r="A88" s="48"/>
      <c r="B88" s="48"/>
      <c r="C88" s="48"/>
      <c r="D88" s="48"/>
      <c r="E88" s="48"/>
      <c r="F88" s="48"/>
      <c r="G88" s="48"/>
      <c r="H88" s="48"/>
      <c r="I88" s="48"/>
    </row>
    <row r="89" spans="1:9" ht="30" customHeight="1">
      <c r="A89" s="48"/>
      <c r="B89" s="48"/>
      <c r="C89" s="48"/>
      <c r="D89" s="48"/>
      <c r="E89" s="48"/>
      <c r="F89" s="48"/>
      <c r="G89" s="48"/>
      <c r="H89" s="48"/>
      <c r="I89" s="48"/>
    </row>
    <row r="90" spans="1:9" ht="30" customHeight="1">
      <c r="A90" s="48"/>
      <c r="B90" s="48"/>
      <c r="C90" s="48"/>
      <c r="D90" s="48"/>
      <c r="E90" s="48"/>
      <c r="F90" s="48"/>
      <c r="G90" s="48"/>
      <c r="H90" s="48"/>
      <c r="I90" s="48"/>
    </row>
    <row r="91" spans="1:9" ht="30" customHeight="1">
      <c r="A91" s="48"/>
      <c r="B91" s="48"/>
      <c r="C91" s="48"/>
      <c r="D91" s="48"/>
      <c r="E91" s="48"/>
      <c r="F91" s="48"/>
      <c r="G91" s="48"/>
      <c r="H91" s="48"/>
      <c r="I91" s="48"/>
    </row>
    <row r="92" spans="1:9" ht="30" customHeight="1">
      <c r="A92" s="48"/>
      <c r="B92" s="48"/>
      <c r="C92" s="48"/>
      <c r="D92" s="48"/>
      <c r="E92" s="48"/>
      <c r="F92" s="48"/>
      <c r="G92" s="48"/>
      <c r="H92" s="48"/>
      <c r="I92" s="48"/>
    </row>
    <row r="93" spans="1:9" ht="30" customHeight="1">
      <c r="A93" s="48"/>
      <c r="B93" s="48"/>
      <c r="C93" s="48"/>
      <c r="D93" s="48"/>
      <c r="E93" s="48"/>
      <c r="F93" s="48"/>
      <c r="G93" s="48"/>
      <c r="H93" s="48"/>
      <c r="I93" s="48"/>
    </row>
    <row r="94" spans="1:9" ht="30" customHeight="1">
      <c r="A94" s="48"/>
      <c r="B94" s="48"/>
      <c r="C94" s="48"/>
      <c r="D94" s="48"/>
      <c r="E94" s="48"/>
      <c r="F94" s="48"/>
      <c r="G94" s="48"/>
      <c r="H94" s="48"/>
      <c r="I94" s="48"/>
    </row>
    <row r="95" spans="1:9" ht="30" customHeight="1">
      <c r="A95" s="48"/>
      <c r="B95" s="48"/>
      <c r="C95" s="48"/>
      <c r="D95" s="48"/>
      <c r="E95" s="48"/>
      <c r="F95" s="48"/>
      <c r="G95" s="48"/>
      <c r="H95" s="48"/>
      <c r="I95" s="48"/>
    </row>
    <row r="96" spans="1:9" ht="30" customHeight="1">
      <c r="A96" s="48"/>
      <c r="B96" s="48"/>
      <c r="C96" s="48"/>
      <c r="D96" s="48"/>
      <c r="E96" s="48"/>
      <c r="F96" s="48"/>
      <c r="G96" s="48"/>
      <c r="H96" s="48"/>
      <c r="I96" s="48"/>
    </row>
    <row r="97" spans="1:9" ht="30" customHeight="1">
      <c r="A97" s="48"/>
      <c r="B97" s="48"/>
      <c r="C97" s="48"/>
      <c r="D97" s="48"/>
      <c r="E97" s="48"/>
      <c r="F97" s="48"/>
      <c r="G97" s="48"/>
      <c r="H97" s="48"/>
      <c r="I97" s="48"/>
    </row>
    <row r="98" spans="1:9" ht="30" customHeight="1">
      <c r="A98" s="48"/>
      <c r="B98" s="48"/>
      <c r="C98" s="48"/>
      <c r="D98" s="48"/>
      <c r="E98" s="48"/>
      <c r="F98" s="48"/>
      <c r="G98" s="48"/>
      <c r="H98" s="48"/>
      <c r="I98" s="48"/>
    </row>
    <row r="99" spans="1:9" ht="30" customHeight="1">
      <c r="A99" s="48"/>
      <c r="B99" s="48"/>
      <c r="C99" s="48"/>
      <c r="D99" s="48"/>
      <c r="E99" s="48"/>
      <c r="F99" s="48"/>
      <c r="G99" s="48"/>
      <c r="H99" s="48"/>
      <c r="I99" s="48"/>
    </row>
    <row r="100" spans="1:9" ht="30" customHeight="1">
      <c r="A100" s="48"/>
      <c r="B100" s="48"/>
      <c r="C100" s="48"/>
      <c r="D100" s="48"/>
      <c r="E100" s="48"/>
      <c r="F100" s="48"/>
      <c r="G100" s="48"/>
      <c r="H100" s="48"/>
      <c r="I100" s="48"/>
    </row>
    <row r="101" spans="1:9" ht="30" customHeight="1">
      <c r="A101" s="48"/>
      <c r="B101" s="48"/>
      <c r="C101" s="48"/>
      <c r="D101" s="48"/>
      <c r="E101" s="48"/>
      <c r="F101" s="48"/>
      <c r="G101" s="48"/>
      <c r="H101" s="48"/>
      <c r="I101" s="48"/>
    </row>
    <row r="102" spans="1:9" ht="30" customHeight="1">
      <c r="A102" s="48"/>
      <c r="B102" s="48"/>
      <c r="C102" s="48"/>
      <c r="D102" s="48"/>
      <c r="E102" s="48"/>
      <c r="F102" s="48"/>
      <c r="G102" s="48"/>
      <c r="H102" s="48"/>
      <c r="I102" s="48"/>
    </row>
    <row r="103" spans="1:9" ht="30" customHeight="1">
      <c r="A103" s="48"/>
      <c r="B103" s="48"/>
      <c r="C103" s="48"/>
      <c r="D103" s="48"/>
      <c r="E103" s="48"/>
      <c r="F103" s="48"/>
      <c r="G103" s="48"/>
      <c r="H103" s="48"/>
      <c r="I103" s="48"/>
    </row>
    <row r="104" spans="1:9" ht="30" customHeight="1">
      <c r="A104" s="48"/>
      <c r="B104" s="48"/>
      <c r="C104" s="48"/>
      <c r="D104" s="48"/>
      <c r="E104" s="48"/>
      <c r="F104" s="48"/>
      <c r="G104" s="48"/>
      <c r="H104" s="48"/>
      <c r="I104" s="48"/>
    </row>
    <row r="105" spans="1:9" ht="30" customHeight="1">
      <c r="A105" s="48"/>
      <c r="B105" s="48"/>
      <c r="C105" s="48"/>
      <c r="D105" s="48"/>
      <c r="E105" s="48"/>
      <c r="F105" s="48"/>
      <c r="G105" s="48"/>
      <c r="H105" s="48"/>
      <c r="I105" s="48"/>
    </row>
    <row r="106" spans="1:9" ht="30" customHeight="1">
      <c r="A106" s="48"/>
      <c r="B106" s="48"/>
      <c r="C106" s="48"/>
      <c r="D106" s="48"/>
      <c r="E106" s="48"/>
      <c r="F106" s="48"/>
      <c r="G106" s="48"/>
      <c r="H106" s="48"/>
      <c r="I106" s="48"/>
    </row>
    <row r="107" spans="1:9" ht="30" customHeight="1">
      <c r="A107" s="48"/>
      <c r="B107" s="48"/>
      <c r="C107" s="48"/>
      <c r="D107" s="48"/>
      <c r="E107" s="48"/>
      <c r="F107" s="48"/>
      <c r="G107" s="48"/>
      <c r="H107" s="48"/>
      <c r="I107" s="48"/>
    </row>
    <row r="108" spans="1:9" ht="30" customHeight="1">
      <c r="A108" s="48"/>
      <c r="B108" s="48"/>
      <c r="C108" s="48"/>
      <c r="D108" s="48"/>
      <c r="E108" s="48"/>
      <c r="F108" s="48"/>
      <c r="G108" s="48"/>
      <c r="H108" s="48"/>
      <c r="I108" s="48"/>
    </row>
    <row r="109" spans="1:9" ht="30" customHeight="1">
      <c r="A109" s="48"/>
      <c r="B109" s="48"/>
      <c r="C109" s="48"/>
      <c r="D109" s="48"/>
      <c r="E109" s="48"/>
      <c r="F109" s="48"/>
      <c r="G109" s="48"/>
      <c r="H109" s="48"/>
      <c r="I109" s="48"/>
    </row>
    <row r="110" spans="1:9" ht="30" customHeight="1">
      <c r="A110" s="48"/>
      <c r="B110" s="48"/>
      <c r="C110" s="48"/>
      <c r="D110" s="48"/>
      <c r="E110" s="48"/>
      <c r="F110" s="48"/>
      <c r="G110" s="48"/>
      <c r="H110" s="48"/>
      <c r="I110" s="48"/>
    </row>
    <row r="111" spans="1:9" ht="30" customHeight="1">
      <c r="A111" s="48"/>
      <c r="B111" s="48"/>
      <c r="C111" s="48"/>
      <c r="D111" s="48"/>
      <c r="E111" s="48"/>
      <c r="F111" s="48"/>
      <c r="G111" s="48"/>
      <c r="H111" s="48"/>
      <c r="I111" s="48"/>
    </row>
    <row r="112" spans="1:9" ht="30" customHeight="1">
      <c r="A112" s="48"/>
      <c r="B112" s="48"/>
      <c r="C112" s="48"/>
      <c r="D112" s="48"/>
      <c r="E112" s="48"/>
      <c r="F112" s="48"/>
      <c r="G112" s="48"/>
      <c r="H112" s="48"/>
      <c r="I112" s="48"/>
    </row>
    <row r="113" spans="1:9" ht="30" customHeight="1">
      <c r="A113" s="48"/>
      <c r="B113" s="48"/>
      <c r="C113" s="48"/>
      <c r="D113" s="48"/>
      <c r="E113" s="48"/>
      <c r="F113" s="48"/>
      <c r="G113" s="48"/>
      <c r="H113" s="48"/>
      <c r="I113" s="48"/>
    </row>
    <row r="114" spans="1:9" ht="30" customHeight="1">
      <c r="A114" s="48"/>
      <c r="B114" s="48"/>
      <c r="C114" s="48"/>
      <c r="D114" s="48"/>
      <c r="E114" s="48"/>
      <c r="F114" s="48"/>
      <c r="G114" s="48"/>
      <c r="H114" s="48"/>
      <c r="I114" s="48"/>
    </row>
    <row r="115" spans="1:9" ht="30" customHeight="1">
      <c r="A115" s="48"/>
      <c r="B115" s="48"/>
      <c r="C115" s="48"/>
      <c r="D115" s="48"/>
      <c r="E115" s="48"/>
      <c r="F115" s="48"/>
      <c r="G115" s="48"/>
      <c r="H115" s="48"/>
      <c r="I115" s="48"/>
    </row>
    <row r="116" spans="1:9" ht="30" customHeight="1">
      <c r="A116" s="48"/>
      <c r="B116" s="48"/>
      <c r="C116" s="48"/>
      <c r="D116" s="48"/>
      <c r="E116" s="48"/>
      <c r="F116" s="48"/>
      <c r="G116" s="48"/>
      <c r="H116" s="48"/>
      <c r="I116" s="48"/>
    </row>
    <row r="117" spans="1:9" ht="30" customHeight="1">
      <c r="A117" s="48"/>
      <c r="B117" s="48"/>
      <c r="C117" s="48"/>
      <c r="D117" s="48"/>
      <c r="E117" s="48"/>
      <c r="F117" s="48"/>
      <c r="G117" s="48"/>
      <c r="H117" s="48"/>
      <c r="I117" s="48"/>
    </row>
    <row r="118" spans="1:9" ht="30" customHeight="1">
      <c r="A118" s="48"/>
      <c r="B118" s="48"/>
      <c r="C118" s="48"/>
      <c r="D118" s="48"/>
      <c r="E118" s="48"/>
      <c r="F118" s="48"/>
      <c r="G118" s="48"/>
      <c r="H118" s="48"/>
      <c r="I118" s="48"/>
    </row>
    <row r="119" spans="1:9" ht="30" customHeight="1">
      <c r="A119" s="48"/>
      <c r="B119" s="48"/>
      <c r="C119" s="48"/>
      <c r="D119" s="48"/>
      <c r="E119" s="48"/>
      <c r="F119" s="48"/>
      <c r="G119" s="48"/>
      <c r="H119" s="48"/>
      <c r="I119" s="48"/>
    </row>
    <row r="120" spans="1:9" ht="30" customHeight="1">
      <c r="A120" s="48"/>
      <c r="B120" s="48"/>
      <c r="C120" s="48"/>
      <c r="D120" s="48"/>
      <c r="E120" s="48"/>
      <c r="F120" s="48"/>
      <c r="G120" s="48"/>
      <c r="H120" s="48"/>
      <c r="I120" s="48"/>
    </row>
    <row r="121" spans="1:9" ht="30" customHeight="1">
      <c r="A121" s="48"/>
      <c r="B121" s="48"/>
      <c r="C121" s="48"/>
      <c r="D121" s="48"/>
      <c r="E121" s="48"/>
      <c r="F121" s="48"/>
      <c r="G121" s="48"/>
      <c r="H121" s="48"/>
      <c r="I121" s="48"/>
    </row>
  </sheetData>
  <mergeCells count="3">
    <mergeCell ref="A4:I4"/>
    <mergeCell ref="A3:I3"/>
    <mergeCell ref="A1:I1"/>
  </mergeCells>
  <dataValidations count="2">
    <dataValidation type="list" allowBlank="1" sqref="H7:H121" xr:uid="{00000000-0002-0000-2100-000000000000}">
      <formula1>"Not Started,In Progress,Awaiting Information,Complete,N/A,On Hold,Gap / Action Required,Approved,Rejected,Superseded"</formula1>
    </dataValidation>
    <dataValidation type="list" allowBlank="1" sqref="G8:G19" xr:uid="{00000000-0002-0000-2100-000001000000}">
      <formula1>"Not Started,In Progress,Needs Review,Complete,Not Applicable,Blocked"</formula1>
    </dataValidation>
  </dataValidation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281C2-6D16-4326-B106-78311732614C}">
  <sheetPr>
    <tabColor rgb="FFFF66CC"/>
  </sheetPr>
  <dimension ref="A1:M71"/>
  <sheetViews>
    <sheetView workbookViewId="0">
      <pane ySplit="17" topLeftCell="A18" activePane="bottomLeft" state="frozen"/>
      <selection pane="bottomLeft"/>
    </sheetView>
  </sheetViews>
  <sheetFormatPr defaultRowHeight="15"/>
  <cols>
    <col min="1" max="1" width="21" customWidth="1"/>
    <col min="2" max="2" width="13.28515625" customWidth="1"/>
    <col min="3" max="3" width="17.140625" customWidth="1"/>
    <col min="4" max="4" width="15.28515625" customWidth="1"/>
    <col min="5" max="7" width="13.28515625" customWidth="1"/>
    <col min="8" max="8" width="21" customWidth="1"/>
    <col min="9" max="9" width="18.140625" customWidth="1"/>
    <col min="10" max="10" width="21" customWidth="1"/>
    <col min="11" max="11" width="32.42578125" customWidth="1"/>
    <col min="12" max="12" width="22.85546875" customWidth="1"/>
  </cols>
  <sheetData>
    <row r="1" spans="1:13" s="48" customFormat="1">
      <c r="A1" s="188" t="s">
        <v>2897</v>
      </c>
      <c r="B1" s="188"/>
      <c r="C1" s="188"/>
      <c r="D1" s="188"/>
      <c r="E1" s="188"/>
      <c r="F1" s="188"/>
      <c r="G1" s="188"/>
      <c r="H1" s="188"/>
      <c r="I1" s="188"/>
      <c r="J1" s="188"/>
      <c r="K1" s="188"/>
      <c r="L1" s="188"/>
      <c r="M1" s="188"/>
    </row>
    <row r="2" spans="1:13">
      <c r="A2" s="173" t="s">
        <v>0</v>
      </c>
      <c r="B2" s="173"/>
      <c r="C2" s="173"/>
      <c r="D2" s="173"/>
      <c r="E2" s="173"/>
      <c r="F2" s="173"/>
      <c r="G2" s="173"/>
      <c r="H2" s="173"/>
      <c r="I2" s="173"/>
      <c r="J2" s="173"/>
      <c r="K2" s="173"/>
      <c r="L2" s="173"/>
      <c r="M2" s="48"/>
    </row>
    <row r="3" spans="1:13">
      <c r="A3" s="202" t="s">
        <v>2921</v>
      </c>
      <c r="B3" s="202"/>
      <c r="C3" s="202"/>
      <c r="D3" s="202"/>
      <c r="E3" s="202"/>
      <c r="F3" s="202"/>
      <c r="G3" s="202"/>
      <c r="H3" s="202"/>
      <c r="I3" s="202"/>
      <c r="J3" s="202"/>
      <c r="K3" s="202"/>
      <c r="L3" s="202"/>
      <c r="M3" s="48"/>
    </row>
    <row r="4" spans="1:13">
      <c r="A4" s="174" t="s">
        <v>2922</v>
      </c>
      <c r="B4" s="174"/>
      <c r="C4" s="174"/>
      <c r="D4" s="174"/>
      <c r="E4" s="174"/>
      <c r="F4" s="174"/>
      <c r="G4" s="174"/>
      <c r="H4" s="174"/>
      <c r="I4" s="174"/>
      <c r="J4" s="174"/>
      <c r="K4" s="174"/>
      <c r="L4" s="174"/>
      <c r="M4" s="48"/>
    </row>
    <row r="6" spans="1:13">
      <c r="A6" s="175" t="s">
        <v>2923</v>
      </c>
      <c r="B6" s="175"/>
      <c r="C6" s="175"/>
      <c r="D6" s="175"/>
      <c r="E6" s="175"/>
      <c r="F6" s="175"/>
      <c r="G6" s="175"/>
      <c r="H6" s="175"/>
      <c r="I6" s="175"/>
      <c r="J6" s="175"/>
      <c r="K6" s="175"/>
      <c r="L6" s="175"/>
      <c r="M6" s="48"/>
    </row>
    <row r="7" spans="1:13">
      <c r="A7" s="172" t="s">
        <v>330</v>
      </c>
      <c r="B7" s="172"/>
      <c r="C7" s="193"/>
      <c r="D7" s="193"/>
      <c r="E7" s="193"/>
      <c r="F7" s="48"/>
      <c r="G7" s="172" t="s">
        <v>2924</v>
      </c>
      <c r="H7" s="172"/>
      <c r="I7" s="193"/>
      <c r="J7" s="193"/>
      <c r="K7" s="193"/>
      <c r="L7" s="193"/>
      <c r="M7" s="48"/>
    </row>
    <row r="8" spans="1:13">
      <c r="A8" s="172" t="s">
        <v>1868</v>
      </c>
      <c r="B8" s="172"/>
      <c r="C8" s="193"/>
      <c r="D8" s="193"/>
      <c r="E8" s="193"/>
      <c r="F8" s="48"/>
      <c r="G8" s="172" t="s">
        <v>1019</v>
      </c>
      <c r="H8" s="172"/>
      <c r="I8" s="193"/>
      <c r="J8" s="193"/>
      <c r="K8" s="193"/>
      <c r="L8" s="193"/>
      <c r="M8" s="48"/>
    </row>
    <row r="9" spans="1:13">
      <c r="A9" s="172" t="s">
        <v>2925</v>
      </c>
      <c r="B9" s="172"/>
      <c r="C9" s="193"/>
      <c r="D9" s="193"/>
      <c r="E9" s="193"/>
      <c r="F9" s="48"/>
      <c r="G9" s="172" t="s">
        <v>2926</v>
      </c>
      <c r="H9" s="172"/>
      <c r="I9" s="193"/>
      <c r="J9" s="193"/>
      <c r="K9" s="193"/>
      <c r="L9" s="193"/>
      <c r="M9" s="48"/>
    </row>
    <row r="10" spans="1:13">
      <c r="A10" s="172" t="s">
        <v>1881</v>
      </c>
      <c r="B10" s="172"/>
      <c r="C10" s="193"/>
      <c r="D10" s="193"/>
      <c r="E10" s="193"/>
      <c r="F10" s="48"/>
      <c r="G10" s="172" t="s">
        <v>2927</v>
      </c>
      <c r="H10" s="172"/>
      <c r="I10" s="193"/>
      <c r="J10" s="193"/>
      <c r="K10" s="193"/>
      <c r="L10" s="193"/>
      <c r="M10" s="48"/>
    </row>
    <row r="13" spans="1:13">
      <c r="A13" s="175" t="s">
        <v>2928</v>
      </c>
      <c r="B13" s="175"/>
      <c r="C13" s="175"/>
      <c r="D13" s="175"/>
      <c r="E13" s="175"/>
      <c r="F13" s="175"/>
      <c r="G13" s="175"/>
      <c r="H13" s="175"/>
      <c r="I13" s="175"/>
      <c r="J13" s="175"/>
      <c r="K13" s="175"/>
      <c r="L13" s="175"/>
      <c r="M13" s="48"/>
    </row>
    <row r="14" spans="1:13">
      <c r="A14" s="174" t="s">
        <v>2929</v>
      </c>
      <c r="B14" s="174"/>
      <c r="C14" s="174"/>
      <c r="D14" s="174"/>
      <c r="E14" s="174"/>
      <c r="F14" s="174"/>
      <c r="G14" s="174"/>
      <c r="H14" s="174"/>
      <c r="I14" s="174"/>
      <c r="J14" s="174"/>
      <c r="K14" s="174"/>
      <c r="L14" s="174"/>
      <c r="M14" s="48"/>
    </row>
    <row r="16" spans="1:13">
      <c r="A16" s="175" t="s">
        <v>2930</v>
      </c>
      <c r="B16" s="175"/>
      <c r="C16" s="175"/>
      <c r="D16" s="175"/>
      <c r="E16" s="175"/>
      <c r="F16" s="175"/>
      <c r="G16" s="175"/>
      <c r="H16" s="175"/>
      <c r="I16" s="175"/>
      <c r="J16" s="175"/>
      <c r="K16" s="175"/>
      <c r="L16" s="175"/>
      <c r="M16" s="48"/>
    </row>
    <row r="17" spans="1:13" ht="37.5">
      <c r="A17" s="95" t="s">
        <v>2931</v>
      </c>
      <c r="B17" s="95" t="s">
        <v>2932</v>
      </c>
      <c r="C17" s="95" t="s">
        <v>2933</v>
      </c>
      <c r="D17" s="95" t="s">
        <v>2934</v>
      </c>
      <c r="E17" s="95" t="s">
        <v>2935</v>
      </c>
      <c r="F17" s="95" t="s">
        <v>2936</v>
      </c>
      <c r="G17" s="95" t="s">
        <v>2937</v>
      </c>
      <c r="H17" s="95" t="s">
        <v>2938</v>
      </c>
      <c r="I17" s="95" t="s">
        <v>2939</v>
      </c>
      <c r="J17" s="95" t="s">
        <v>2940</v>
      </c>
      <c r="K17" s="95" t="s">
        <v>2941</v>
      </c>
      <c r="L17" s="95" t="s">
        <v>2942</v>
      </c>
      <c r="M17" s="48"/>
    </row>
    <row r="18" spans="1:13">
      <c r="A18" s="78"/>
      <c r="B18" s="79"/>
      <c r="C18" s="79"/>
      <c r="D18" s="85"/>
      <c r="E18" s="79"/>
      <c r="F18" s="79"/>
      <c r="G18" s="79"/>
      <c r="H18" s="79"/>
      <c r="I18" s="79"/>
      <c r="J18" s="79"/>
      <c r="K18" s="79"/>
      <c r="L18" s="80"/>
      <c r="M18" s="48"/>
    </row>
    <row r="19" spans="1:13">
      <c r="A19" s="78"/>
      <c r="B19" s="79"/>
      <c r="C19" s="79"/>
      <c r="D19" s="85"/>
      <c r="E19" s="79"/>
      <c r="F19" s="79"/>
      <c r="G19" s="79"/>
      <c r="H19" s="79"/>
      <c r="I19" s="79"/>
      <c r="J19" s="79"/>
      <c r="K19" s="79"/>
      <c r="L19" s="80"/>
      <c r="M19" s="48"/>
    </row>
    <row r="20" spans="1:13">
      <c r="A20" s="78"/>
      <c r="B20" s="79"/>
      <c r="C20" s="79"/>
      <c r="D20" s="85"/>
      <c r="E20" s="79"/>
      <c r="F20" s="79"/>
      <c r="G20" s="79"/>
      <c r="H20" s="79"/>
      <c r="I20" s="79"/>
      <c r="J20" s="79"/>
      <c r="K20" s="79"/>
      <c r="L20" s="80"/>
      <c r="M20" s="48"/>
    </row>
    <row r="21" spans="1:13">
      <c r="A21" s="78"/>
      <c r="B21" s="79"/>
      <c r="C21" s="79"/>
      <c r="D21" s="85"/>
      <c r="E21" s="79"/>
      <c r="F21" s="79"/>
      <c r="G21" s="79"/>
      <c r="H21" s="79"/>
      <c r="I21" s="79"/>
      <c r="J21" s="79"/>
      <c r="K21" s="79"/>
      <c r="L21" s="80"/>
      <c r="M21" s="48"/>
    </row>
    <row r="22" spans="1:13">
      <c r="A22" s="78"/>
      <c r="B22" s="79"/>
      <c r="C22" s="79"/>
      <c r="D22" s="85"/>
      <c r="E22" s="79"/>
      <c r="F22" s="79"/>
      <c r="G22" s="79"/>
      <c r="H22" s="79"/>
      <c r="I22" s="79"/>
      <c r="J22" s="79"/>
      <c r="K22" s="79"/>
      <c r="L22" s="80"/>
      <c r="M22" s="48"/>
    </row>
    <row r="23" spans="1:13">
      <c r="A23" s="78"/>
      <c r="B23" s="79"/>
      <c r="C23" s="79"/>
      <c r="D23" s="85"/>
      <c r="E23" s="79"/>
      <c r="F23" s="79"/>
      <c r="G23" s="79"/>
      <c r="H23" s="79"/>
      <c r="I23" s="79"/>
      <c r="J23" s="79"/>
      <c r="K23" s="79"/>
      <c r="L23" s="80"/>
      <c r="M23" s="48"/>
    </row>
    <row r="24" spans="1:13">
      <c r="A24" s="78"/>
      <c r="B24" s="79"/>
      <c r="C24" s="79"/>
      <c r="D24" s="85"/>
      <c r="E24" s="79"/>
      <c r="F24" s="79"/>
      <c r="G24" s="79"/>
      <c r="H24" s="79"/>
      <c r="I24" s="79"/>
      <c r="J24" s="79"/>
      <c r="K24" s="79"/>
      <c r="L24" s="80"/>
      <c r="M24" s="48"/>
    </row>
    <row r="25" spans="1:13">
      <c r="A25" s="78"/>
      <c r="B25" s="79"/>
      <c r="C25" s="79"/>
      <c r="D25" s="85"/>
      <c r="E25" s="79"/>
      <c r="F25" s="79"/>
      <c r="G25" s="79"/>
      <c r="H25" s="79"/>
      <c r="I25" s="79"/>
      <c r="J25" s="79"/>
      <c r="K25" s="79"/>
      <c r="L25" s="80"/>
      <c r="M25" s="48"/>
    </row>
    <row r="26" spans="1:13">
      <c r="A26" s="78"/>
      <c r="B26" s="79"/>
      <c r="C26" s="79"/>
      <c r="D26" s="85"/>
      <c r="E26" s="79"/>
      <c r="F26" s="79"/>
      <c r="G26" s="79"/>
      <c r="H26" s="79"/>
      <c r="I26" s="79"/>
      <c r="J26" s="79"/>
      <c r="K26" s="79"/>
      <c r="L26" s="80"/>
      <c r="M26" s="48"/>
    </row>
    <row r="27" spans="1:13">
      <c r="A27" s="78"/>
      <c r="B27" s="79"/>
      <c r="C27" s="79"/>
      <c r="D27" s="85"/>
      <c r="E27" s="79"/>
      <c r="F27" s="79"/>
      <c r="G27" s="79"/>
      <c r="H27" s="79"/>
      <c r="I27" s="79"/>
      <c r="J27" s="79"/>
      <c r="K27" s="79"/>
      <c r="L27" s="80"/>
      <c r="M27" s="48"/>
    </row>
    <row r="28" spans="1:13">
      <c r="A28" s="78"/>
      <c r="B28" s="79"/>
      <c r="C28" s="79"/>
      <c r="D28" s="85"/>
      <c r="E28" s="79"/>
      <c r="F28" s="79"/>
      <c r="G28" s="79"/>
      <c r="H28" s="79"/>
      <c r="I28" s="79"/>
      <c r="J28" s="79"/>
      <c r="K28" s="79"/>
      <c r="L28" s="80"/>
      <c r="M28" s="48"/>
    </row>
    <row r="29" spans="1:13">
      <c r="A29" s="78"/>
      <c r="B29" s="79"/>
      <c r="C29" s="79"/>
      <c r="D29" s="85"/>
      <c r="E29" s="79"/>
      <c r="F29" s="79"/>
      <c r="G29" s="79"/>
      <c r="H29" s="79"/>
      <c r="I29" s="79"/>
      <c r="J29" s="79"/>
      <c r="K29" s="79"/>
      <c r="L29" s="80"/>
      <c r="M29" s="48"/>
    </row>
    <row r="30" spans="1:13">
      <c r="A30" s="78"/>
      <c r="B30" s="79"/>
      <c r="C30" s="79"/>
      <c r="D30" s="85"/>
      <c r="E30" s="79"/>
      <c r="F30" s="79"/>
      <c r="G30" s="79"/>
      <c r="H30" s="79"/>
      <c r="I30" s="79"/>
      <c r="J30" s="79"/>
      <c r="K30" s="79"/>
      <c r="L30" s="80"/>
      <c r="M30" s="48"/>
    </row>
    <row r="31" spans="1:13">
      <c r="A31" s="78"/>
      <c r="B31" s="79"/>
      <c r="C31" s="79"/>
      <c r="D31" s="85"/>
      <c r="E31" s="79"/>
      <c r="F31" s="79"/>
      <c r="G31" s="79"/>
      <c r="H31" s="79"/>
      <c r="I31" s="79"/>
      <c r="J31" s="79"/>
      <c r="K31" s="79"/>
      <c r="L31" s="80"/>
      <c r="M31" s="48"/>
    </row>
    <row r="32" spans="1:13">
      <c r="A32" s="78"/>
      <c r="B32" s="79"/>
      <c r="C32" s="79"/>
      <c r="D32" s="85"/>
      <c r="E32" s="79"/>
      <c r="F32" s="79"/>
      <c r="G32" s="79"/>
      <c r="H32" s="79"/>
      <c r="I32" s="79"/>
      <c r="J32" s="79"/>
      <c r="K32" s="79"/>
      <c r="L32" s="80"/>
      <c r="M32" s="48"/>
    </row>
    <row r="33" spans="1:13">
      <c r="A33" s="78"/>
      <c r="B33" s="79"/>
      <c r="C33" s="79"/>
      <c r="D33" s="85"/>
      <c r="E33" s="79"/>
      <c r="F33" s="79"/>
      <c r="G33" s="79"/>
      <c r="H33" s="79"/>
      <c r="I33" s="79"/>
      <c r="J33" s="79"/>
      <c r="K33" s="79"/>
      <c r="L33" s="80"/>
      <c r="M33" s="48"/>
    </row>
    <row r="34" spans="1:13">
      <c r="A34" s="78"/>
      <c r="B34" s="79"/>
      <c r="C34" s="79"/>
      <c r="D34" s="85"/>
      <c r="E34" s="79"/>
      <c r="F34" s="79"/>
      <c r="G34" s="79"/>
      <c r="H34" s="79"/>
      <c r="I34" s="79"/>
      <c r="J34" s="79"/>
      <c r="K34" s="79"/>
      <c r="L34" s="80"/>
      <c r="M34" s="48"/>
    </row>
    <row r="35" spans="1:13">
      <c r="A35" s="78"/>
      <c r="B35" s="79"/>
      <c r="C35" s="79"/>
      <c r="D35" s="85"/>
      <c r="E35" s="79"/>
      <c r="F35" s="79"/>
      <c r="G35" s="79"/>
      <c r="H35" s="79"/>
      <c r="I35" s="79"/>
      <c r="J35" s="79"/>
      <c r="K35" s="79"/>
      <c r="L35" s="80"/>
      <c r="M35" s="48"/>
    </row>
    <row r="36" spans="1:13">
      <c r="A36" s="78"/>
      <c r="B36" s="79"/>
      <c r="C36" s="79"/>
      <c r="D36" s="85"/>
      <c r="E36" s="79"/>
      <c r="F36" s="79"/>
      <c r="G36" s="79"/>
      <c r="H36" s="79"/>
      <c r="I36" s="79"/>
      <c r="J36" s="79"/>
      <c r="K36" s="79"/>
      <c r="L36" s="80"/>
      <c r="M36" s="48"/>
    </row>
    <row r="37" spans="1:13">
      <c r="A37" s="78"/>
      <c r="B37" s="79"/>
      <c r="C37" s="79"/>
      <c r="D37" s="85"/>
      <c r="E37" s="79"/>
      <c r="F37" s="79"/>
      <c r="G37" s="79"/>
      <c r="H37" s="79"/>
      <c r="I37" s="79"/>
      <c r="J37" s="79"/>
      <c r="K37" s="79"/>
      <c r="L37" s="80"/>
      <c r="M37" s="48"/>
    </row>
    <row r="38" spans="1:13">
      <c r="A38" s="78"/>
      <c r="B38" s="79"/>
      <c r="C38" s="79"/>
      <c r="D38" s="85"/>
      <c r="E38" s="79"/>
      <c r="F38" s="79"/>
      <c r="G38" s="79"/>
      <c r="H38" s="79"/>
      <c r="I38" s="79"/>
      <c r="J38" s="79"/>
      <c r="K38" s="79"/>
      <c r="L38" s="80"/>
      <c r="M38" s="48"/>
    </row>
    <row r="39" spans="1:13">
      <c r="A39" s="78"/>
      <c r="B39" s="79"/>
      <c r="C39" s="79"/>
      <c r="D39" s="85"/>
      <c r="E39" s="79"/>
      <c r="F39" s="79"/>
      <c r="G39" s="79"/>
      <c r="H39" s="79"/>
      <c r="I39" s="79"/>
      <c r="J39" s="79"/>
      <c r="K39" s="79"/>
      <c r="L39" s="80"/>
      <c r="M39" s="48"/>
    </row>
    <row r="40" spans="1:13">
      <c r="A40" s="78"/>
      <c r="B40" s="79"/>
      <c r="C40" s="79"/>
      <c r="D40" s="85"/>
      <c r="E40" s="79"/>
      <c r="F40" s="79"/>
      <c r="G40" s="79"/>
      <c r="H40" s="79"/>
      <c r="I40" s="79"/>
      <c r="J40" s="79"/>
      <c r="K40" s="79"/>
      <c r="L40" s="80"/>
      <c r="M40" s="48"/>
    </row>
    <row r="41" spans="1:13">
      <c r="A41" s="78"/>
      <c r="B41" s="79"/>
      <c r="C41" s="79"/>
      <c r="D41" s="85"/>
      <c r="E41" s="79"/>
      <c r="F41" s="79"/>
      <c r="G41" s="79"/>
      <c r="H41" s="79"/>
      <c r="I41" s="79"/>
      <c r="J41" s="79"/>
      <c r="K41" s="79"/>
      <c r="L41" s="80"/>
      <c r="M41" s="48"/>
    </row>
    <row r="42" spans="1:13">
      <c r="A42" s="78"/>
      <c r="B42" s="79"/>
      <c r="C42" s="79"/>
      <c r="D42" s="85"/>
      <c r="E42" s="79"/>
      <c r="F42" s="79"/>
      <c r="G42" s="79"/>
      <c r="H42" s="79"/>
      <c r="I42" s="79"/>
      <c r="J42" s="79"/>
      <c r="K42" s="79"/>
      <c r="L42" s="80"/>
      <c r="M42" s="48"/>
    </row>
    <row r="43" spans="1:13">
      <c r="A43" s="78"/>
      <c r="B43" s="79"/>
      <c r="C43" s="79"/>
      <c r="D43" s="85"/>
      <c r="E43" s="79"/>
      <c r="F43" s="79"/>
      <c r="G43" s="79"/>
      <c r="H43" s="79"/>
      <c r="I43" s="79"/>
      <c r="J43" s="79"/>
      <c r="K43" s="79"/>
      <c r="L43" s="80"/>
      <c r="M43" s="48"/>
    </row>
    <row r="44" spans="1:13">
      <c r="A44" s="78"/>
      <c r="B44" s="79"/>
      <c r="C44" s="79"/>
      <c r="D44" s="85"/>
      <c r="E44" s="79"/>
      <c r="F44" s="79"/>
      <c r="G44" s="79"/>
      <c r="H44" s="79"/>
      <c r="I44" s="79"/>
      <c r="J44" s="79"/>
      <c r="K44" s="79"/>
      <c r="L44" s="80"/>
      <c r="M44" s="48"/>
    </row>
    <row r="45" spans="1:13">
      <c r="A45" s="78"/>
      <c r="B45" s="79"/>
      <c r="C45" s="79"/>
      <c r="D45" s="85"/>
      <c r="E45" s="79"/>
      <c r="F45" s="79"/>
      <c r="G45" s="79"/>
      <c r="H45" s="79"/>
      <c r="I45" s="79"/>
      <c r="J45" s="79"/>
      <c r="K45" s="79"/>
      <c r="L45" s="80"/>
      <c r="M45" s="48"/>
    </row>
    <row r="46" spans="1:13">
      <c r="A46" s="78"/>
      <c r="B46" s="79"/>
      <c r="C46" s="79"/>
      <c r="D46" s="85"/>
      <c r="E46" s="79"/>
      <c r="F46" s="79"/>
      <c r="G46" s="79"/>
      <c r="H46" s="79"/>
      <c r="I46" s="79"/>
      <c r="J46" s="79"/>
      <c r="K46" s="79"/>
      <c r="L46" s="80"/>
      <c r="M46" s="48"/>
    </row>
    <row r="47" spans="1:13">
      <c r="A47" s="78"/>
      <c r="B47" s="79"/>
      <c r="C47" s="79"/>
      <c r="D47" s="85"/>
      <c r="E47" s="79"/>
      <c r="F47" s="79"/>
      <c r="G47" s="79"/>
      <c r="H47" s="79"/>
      <c r="I47" s="79"/>
      <c r="J47" s="79"/>
      <c r="K47" s="79"/>
      <c r="L47" s="80"/>
      <c r="M47" s="48"/>
    </row>
    <row r="48" spans="1:13">
      <c r="A48" s="78"/>
      <c r="B48" s="79"/>
      <c r="C48" s="79"/>
      <c r="D48" s="85"/>
      <c r="E48" s="79"/>
      <c r="F48" s="79"/>
      <c r="G48" s="79"/>
      <c r="H48" s="79"/>
      <c r="I48" s="79"/>
      <c r="J48" s="79"/>
      <c r="K48" s="79"/>
      <c r="L48" s="80"/>
      <c r="M48" s="48"/>
    </row>
    <row r="49" spans="1:13">
      <c r="A49" s="78"/>
      <c r="B49" s="79"/>
      <c r="C49" s="79"/>
      <c r="D49" s="85"/>
      <c r="E49" s="79"/>
      <c r="F49" s="79"/>
      <c r="G49" s="79"/>
      <c r="H49" s="79"/>
      <c r="I49" s="79"/>
      <c r="J49" s="79"/>
      <c r="K49" s="79"/>
      <c r="L49" s="80"/>
      <c r="M49" s="48"/>
    </row>
    <row r="50" spans="1:13">
      <c r="A50" s="78"/>
      <c r="B50" s="79"/>
      <c r="C50" s="79"/>
      <c r="D50" s="85"/>
      <c r="E50" s="79"/>
      <c r="F50" s="79"/>
      <c r="G50" s="79"/>
      <c r="H50" s="79"/>
      <c r="I50" s="79"/>
      <c r="J50" s="79"/>
      <c r="K50" s="79"/>
      <c r="L50" s="80"/>
      <c r="M50" s="48"/>
    </row>
    <row r="51" spans="1:13">
      <c r="A51" s="78"/>
      <c r="B51" s="79"/>
      <c r="C51" s="79"/>
      <c r="D51" s="85"/>
      <c r="E51" s="79"/>
      <c r="F51" s="79"/>
      <c r="G51" s="79"/>
      <c r="H51" s="79"/>
      <c r="I51" s="79"/>
      <c r="J51" s="79"/>
      <c r="K51" s="79"/>
      <c r="L51" s="80"/>
      <c r="M51" s="48"/>
    </row>
    <row r="52" spans="1:13">
      <c r="A52" s="78"/>
      <c r="B52" s="79"/>
      <c r="C52" s="79"/>
      <c r="D52" s="85"/>
      <c r="E52" s="79"/>
      <c r="F52" s="79"/>
      <c r="G52" s="79"/>
      <c r="H52" s="79"/>
      <c r="I52" s="79"/>
      <c r="J52" s="79"/>
      <c r="K52" s="79"/>
      <c r="L52" s="80"/>
      <c r="M52" s="48"/>
    </row>
    <row r="53" spans="1:13">
      <c r="A53" s="78"/>
      <c r="B53" s="79"/>
      <c r="C53" s="79"/>
      <c r="D53" s="85"/>
      <c r="E53" s="79"/>
      <c r="F53" s="79"/>
      <c r="G53" s="79"/>
      <c r="H53" s="79"/>
      <c r="I53" s="79"/>
      <c r="J53" s="79"/>
      <c r="K53" s="79"/>
      <c r="L53" s="80"/>
      <c r="M53" s="48"/>
    </row>
    <row r="54" spans="1:13">
      <c r="A54" s="78"/>
      <c r="B54" s="79"/>
      <c r="C54" s="79"/>
      <c r="D54" s="85"/>
      <c r="E54" s="79"/>
      <c r="F54" s="79"/>
      <c r="G54" s="79"/>
      <c r="H54" s="79"/>
      <c r="I54" s="79"/>
      <c r="J54" s="79"/>
      <c r="K54" s="79"/>
      <c r="L54" s="80"/>
      <c r="M54" s="48"/>
    </row>
    <row r="55" spans="1:13">
      <c r="A55" s="78"/>
      <c r="B55" s="79"/>
      <c r="C55" s="79"/>
      <c r="D55" s="85"/>
      <c r="E55" s="79"/>
      <c r="F55" s="79"/>
      <c r="G55" s="79"/>
      <c r="H55" s="79"/>
      <c r="I55" s="79"/>
      <c r="J55" s="79"/>
      <c r="K55" s="79"/>
      <c r="L55" s="80"/>
      <c r="M55" s="48"/>
    </row>
    <row r="56" spans="1:13">
      <c r="A56" s="78"/>
      <c r="B56" s="79"/>
      <c r="C56" s="79"/>
      <c r="D56" s="85"/>
      <c r="E56" s="79"/>
      <c r="F56" s="79"/>
      <c r="G56" s="79"/>
      <c r="H56" s="79"/>
      <c r="I56" s="79"/>
      <c r="J56" s="79"/>
      <c r="K56" s="79"/>
      <c r="L56" s="80"/>
      <c r="M56" s="48"/>
    </row>
    <row r="57" spans="1:13">
      <c r="A57" s="78"/>
      <c r="B57" s="79"/>
      <c r="C57" s="79"/>
      <c r="D57" s="85"/>
      <c r="E57" s="79"/>
      <c r="F57" s="79"/>
      <c r="G57" s="79"/>
      <c r="H57" s="79"/>
      <c r="I57" s="79"/>
      <c r="J57" s="79"/>
      <c r="K57" s="79"/>
      <c r="L57" s="80"/>
      <c r="M57" s="48"/>
    </row>
    <row r="58" spans="1:13">
      <c r="A58" s="48"/>
      <c r="B58" s="48"/>
      <c r="C58" s="48"/>
      <c r="D58" s="48"/>
      <c r="E58" s="48"/>
      <c r="F58" s="48"/>
      <c r="G58" s="48"/>
      <c r="H58" s="48"/>
      <c r="I58" s="48"/>
      <c r="J58" s="48"/>
      <c r="K58" s="48"/>
      <c r="L58" s="48"/>
      <c r="M58" s="48"/>
    </row>
    <row r="60" spans="1:13">
      <c r="A60" s="175" t="s">
        <v>2943</v>
      </c>
      <c r="B60" s="175"/>
      <c r="C60" s="175"/>
      <c r="D60" s="175"/>
      <c r="E60" s="175"/>
      <c r="F60" s="175"/>
      <c r="G60" s="175"/>
      <c r="H60" s="175"/>
      <c r="I60" s="175"/>
      <c r="J60" s="175"/>
      <c r="K60" s="175"/>
      <c r="L60" s="175"/>
      <c r="M60" s="48"/>
    </row>
    <row r="61" spans="1:13">
      <c r="A61" s="189" t="s">
        <v>78</v>
      </c>
      <c r="B61" s="189"/>
      <c r="C61" s="101" t="s">
        <v>79</v>
      </c>
      <c r="D61" s="48"/>
      <c r="E61" s="48"/>
      <c r="F61" s="48"/>
      <c r="G61" s="48"/>
      <c r="H61" s="48"/>
      <c r="I61" s="48"/>
      <c r="J61" s="48"/>
      <c r="K61" s="48"/>
      <c r="L61" s="48"/>
      <c r="M61" s="48"/>
    </row>
    <row r="62" spans="1:13">
      <c r="A62" s="206" t="s">
        <v>2944</v>
      </c>
      <c r="B62" s="206"/>
      <c r="C62" s="93">
        <f>COUNTA($A$18:$A$57)</f>
        <v>0</v>
      </c>
      <c r="D62" s="48"/>
      <c r="E62" s="48"/>
      <c r="F62" s="48"/>
      <c r="G62" s="48"/>
      <c r="H62" s="48"/>
      <c r="I62" s="48"/>
      <c r="J62" s="48"/>
      <c r="K62" s="48"/>
      <c r="L62" s="48"/>
      <c r="M62" s="48"/>
    </row>
    <row r="63" spans="1:13">
      <c r="A63" s="206" t="s">
        <v>2945</v>
      </c>
      <c r="B63" s="206"/>
      <c r="C63" s="93">
        <f>COUNTIF($B$18:$B$57,"M")</f>
        <v>0</v>
      </c>
      <c r="D63" s="48"/>
      <c r="E63" s="48"/>
      <c r="F63" s="48"/>
      <c r="G63" s="48"/>
      <c r="H63" s="48"/>
      <c r="I63" s="48"/>
      <c r="J63" s="48"/>
      <c r="K63" s="48"/>
      <c r="L63" s="48"/>
      <c r="M63" s="48"/>
    </row>
    <row r="64" spans="1:13">
      <c r="A64" s="206" t="s">
        <v>2946</v>
      </c>
      <c r="B64" s="206"/>
      <c r="C64" s="93">
        <f>COUNTIF($B$18:$B$57,"F")</f>
        <v>0</v>
      </c>
      <c r="D64" s="48"/>
      <c r="E64" s="48"/>
      <c r="F64" s="48"/>
      <c r="G64" s="48"/>
      <c r="H64" s="48"/>
      <c r="I64" s="48"/>
      <c r="J64" s="48"/>
      <c r="K64" s="48"/>
      <c r="L64" s="48"/>
      <c r="M64" s="48"/>
    </row>
    <row r="65" spans="1:13">
      <c r="A65" s="206" t="s">
        <v>2947</v>
      </c>
      <c r="B65" s="206"/>
      <c r="C65" s="93" t="str">
        <f>IFERROR(ROUND(AVERAGE($E$18:$E$57),1),"-")</f>
        <v>-</v>
      </c>
      <c r="D65" s="48"/>
      <c r="E65" s="48"/>
      <c r="F65" s="48"/>
      <c r="G65" s="48"/>
      <c r="H65" s="48"/>
      <c r="I65" s="48"/>
      <c r="J65" s="48"/>
      <c r="K65" s="48"/>
      <c r="L65" s="48"/>
      <c r="M65" s="48"/>
    </row>
    <row r="66" spans="1:13">
      <c r="A66" s="206" t="s">
        <v>2948</v>
      </c>
      <c r="B66" s="206"/>
      <c r="C66" s="93" t="str">
        <f>IFERROR(ROUND(AVERAGE($F$18:$F$57),1),"-")</f>
        <v>-</v>
      </c>
      <c r="D66" s="48"/>
      <c r="E66" s="48"/>
      <c r="F66" s="48"/>
      <c r="G66" s="48"/>
      <c r="H66" s="48"/>
      <c r="I66" s="48"/>
      <c r="J66" s="48"/>
      <c r="K66" s="48"/>
      <c r="L66" s="48"/>
      <c r="M66" s="48"/>
    </row>
    <row r="67" spans="1:13">
      <c r="A67" s="206" t="s">
        <v>2949</v>
      </c>
      <c r="B67" s="206"/>
      <c r="C67" s="93" t="str">
        <f>IFERROR(ROUND(AVERAGE($G$18:$G$57),1),"-")</f>
        <v>-</v>
      </c>
      <c r="D67" s="48"/>
      <c r="E67" s="48"/>
      <c r="F67" s="48"/>
      <c r="G67" s="48"/>
      <c r="H67" s="48"/>
      <c r="I67" s="48"/>
      <c r="J67" s="48"/>
      <c r="K67" s="48"/>
      <c r="L67" s="48"/>
      <c r="M67" s="48"/>
    </row>
    <row r="68" spans="1:13">
      <c r="A68" s="206" t="s">
        <v>2950</v>
      </c>
      <c r="B68" s="206"/>
      <c r="C68" s="93">
        <f>COUNTIF($H$18:$H$57,"Yes")</f>
        <v>0</v>
      </c>
      <c r="D68" s="48"/>
      <c r="E68" s="48"/>
      <c r="F68" s="48"/>
      <c r="G68" s="48"/>
      <c r="H68" s="48"/>
      <c r="I68" s="48"/>
      <c r="J68" s="48"/>
      <c r="K68" s="48"/>
      <c r="L68" s="48"/>
      <c r="M68" s="48"/>
    </row>
    <row r="69" spans="1:13">
      <c r="A69" s="206" t="s">
        <v>2951</v>
      </c>
      <c r="B69" s="206"/>
      <c r="C69" s="93">
        <f>COUNTIF($H$18:$H$57,"Borderline")</f>
        <v>0</v>
      </c>
      <c r="D69" s="48"/>
      <c r="E69" s="48"/>
      <c r="F69" s="48"/>
      <c r="G69" s="48"/>
      <c r="H69" s="48"/>
      <c r="I69" s="48"/>
      <c r="J69" s="48"/>
      <c r="K69" s="48"/>
      <c r="L69" s="48"/>
      <c r="M69" s="48"/>
    </row>
    <row r="70" spans="1:13">
      <c r="A70" s="206" t="s">
        <v>2952</v>
      </c>
      <c r="B70" s="206"/>
      <c r="C70" s="93">
        <f>COUNTIF($I$18:$I$57,"Yes")</f>
        <v>0</v>
      </c>
      <c r="D70" s="48"/>
      <c r="E70" s="48"/>
      <c r="F70" s="48"/>
      <c r="G70" s="48"/>
      <c r="H70" s="48"/>
      <c r="I70" s="48"/>
      <c r="J70" s="48"/>
      <c r="K70" s="48"/>
      <c r="L70" s="48"/>
      <c r="M70" s="48"/>
    </row>
    <row r="71" spans="1:13">
      <c r="A71" s="206" t="s">
        <v>2953</v>
      </c>
      <c r="B71" s="206"/>
      <c r="C71" s="102" t="str">
        <f>IF(COUNTIF($H$18:$H$57,"Yes")&gt;0,"REVIEW - slip risk reported; check marketing message","OK - no slip risk flagged")</f>
        <v>OK - no slip risk flagged</v>
      </c>
      <c r="D71" s="48"/>
      <c r="E71" s="48"/>
      <c r="F71" s="48"/>
      <c r="G71" s="48"/>
      <c r="H71" s="48"/>
      <c r="I71" s="48"/>
      <c r="J71" s="48"/>
      <c r="K71" s="48"/>
      <c r="L71" s="48"/>
      <c r="M71" s="48"/>
    </row>
  </sheetData>
  <mergeCells count="36">
    <mergeCell ref="A1:M1"/>
    <mergeCell ref="A71:B71"/>
    <mergeCell ref="A65:B65"/>
    <mergeCell ref="A66:B66"/>
    <mergeCell ref="A67:B67"/>
    <mergeCell ref="A68:B68"/>
    <mergeCell ref="A69:B69"/>
    <mergeCell ref="A70:B70"/>
    <mergeCell ref="A64:B64"/>
    <mergeCell ref="A10:B10"/>
    <mergeCell ref="C10:E10"/>
    <mergeCell ref="G10:H10"/>
    <mergeCell ref="I10:L10"/>
    <mergeCell ref="A13:L13"/>
    <mergeCell ref="A14:L14"/>
    <mergeCell ref="A16:L16"/>
    <mergeCell ref="A60:L60"/>
    <mergeCell ref="A61:B61"/>
    <mergeCell ref="A62:B62"/>
    <mergeCell ref="A63:B63"/>
    <mergeCell ref="A8:B8"/>
    <mergeCell ref="C8:E8"/>
    <mergeCell ref="G8:H8"/>
    <mergeCell ref="I8:L8"/>
    <mergeCell ref="A9:B9"/>
    <mergeCell ref="C9:E9"/>
    <mergeCell ref="G9:H9"/>
    <mergeCell ref="I9:L9"/>
    <mergeCell ref="A2:L2"/>
    <mergeCell ref="A3:L3"/>
    <mergeCell ref="A4:L4"/>
    <mergeCell ref="A6:L6"/>
    <mergeCell ref="A7:B7"/>
    <mergeCell ref="C7:E7"/>
    <mergeCell ref="G7:H7"/>
    <mergeCell ref="I7:L7"/>
  </mergeCells>
  <dataValidations count="4">
    <dataValidation type="list" allowBlank="1" showInputMessage="1" showErrorMessage="1" sqref="B18:B57" xr:uid="{4D3E8C0C-AC69-4AA9-A91B-E7032EC1E8C1}">
      <formula1>"M,F"</formula1>
    </dataValidation>
    <dataValidation type="list" allowBlank="1" showInputMessage="1" showErrorMessage="1" sqref="E18:G57" xr:uid="{B5A9FCC5-1A5E-4498-A863-A590952AB220}">
      <formula1>"1,2,3,4,5"</formula1>
    </dataValidation>
    <dataValidation type="list" allowBlank="1" showInputMessage="1" showErrorMessage="1" sqref="H18:H57" xr:uid="{5475493D-5DD6-4874-99AA-FB2B20E1EFB5}">
      <formula1>"No,Borderline,Yes"</formula1>
    </dataValidation>
    <dataValidation type="list" allowBlank="1" showInputMessage="1" showErrorMessage="1" sqref="I18:I57" xr:uid="{652A79ED-BDB7-4981-BFB2-C6A2D4CCC77C}">
      <formula1>"Yes,No,Maybe"</formula1>
    </dataValidation>
  </dataValidation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66CC"/>
  </sheetPr>
  <dimension ref="A1:Z28"/>
  <sheetViews>
    <sheetView showGridLines="0" workbookViewId="0">
      <selection activeCell="A3" sqref="A3"/>
    </sheetView>
  </sheetViews>
  <sheetFormatPr defaultRowHeight="15"/>
  <cols>
    <col min="1" max="1" width="52" customWidth="1"/>
    <col min="2" max="2" width="30" customWidth="1"/>
    <col min="3" max="3" width="18" customWidth="1"/>
    <col min="4" max="4" width="24" customWidth="1"/>
    <col min="5" max="5" width="20" customWidth="1"/>
    <col min="6" max="6" width="16" customWidth="1"/>
    <col min="7" max="7" width="36" customWidth="1"/>
    <col min="8" max="9" width="30" customWidth="1"/>
    <col min="10" max="10" width="26" customWidth="1"/>
    <col min="11" max="11" width="34" customWidth="1"/>
    <col min="12" max="13" width="18" customWidth="1"/>
    <col min="14" max="14" width="30" customWidth="1"/>
    <col min="15" max="15" width="18" customWidth="1"/>
    <col min="16" max="16" width="20" customWidth="1"/>
    <col min="17" max="17" width="34" customWidth="1"/>
    <col min="18" max="18" width="14" customWidth="1"/>
    <col min="19" max="19" width="20" customWidth="1"/>
    <col min="20" max="20" width="26" customWidth="1"/>
    <col min="21" max="21" width="36" customWidth="1"/>
    <col min="22" max="22" width="18" customWidth="1"/>
    <col min="23" max="23" width="32" customWidth="1"/>
    <col min="24" max="24" width="16" customWidth="1"/>
    <col min="25" max="25" width="14" customWidth="1"/>
    <col min="26" max="26" width="34" customWidth="1"/>
  </cols>
  <sheetData>
    <row r="1" spans="1:26" s="48" customFormat="1">
      <c r="A1" s="188" t="s">
        <v>2897</v>
      </c>
      <c r="B1" s="188"/>
      <c r="C1" s="188"/>
      <c r="D1" s="188"/>
      <c r="E1" s="188"/>
      <c r="F1" s="188"/>
      <c r="G1" s="188"/>
      <c r="H1" s="188"/>
      <c r="I1" s="188"/>
      <c r="J1" s="188"/>
      <c r="K1" s="188"/>
      <c r="L1" s="188"/>
      <c r="M1" s="188"/>
      <c r="N1" s="188"/>
      <c r="O1" s="188"/>
      <c r="P1" s="188"/>
      <c r="Q1" s="188"/>
      <c r="R1" s="188"/>
      <c r="S1" s="188"/>
      <c r="T1" s="188"/>
      <c r="U1" s="188"/>
      <c r="V1" s="188"/>
      <c r="W1" s="188"/>
      <c r="X1" s="188"/>
      <c r="Y1" s="188"/>
      <c r="Z1" s="188"/>
    </row>
    <row r="2" spans="1:26" ht="24" customHeight="1">
      <c r="A2" s="56" t="s">
        <v>0</v>
      </c>
      <c r="B2" s="56"/>
      <c r="C2" s="56"/>
      <c r="D2" s="56"/>
      <c r="E2" s="56"/>
      <c r="F2" s="56"/>
      <c r="G2" s="56"/>
      <c r="H2" s="56"/>
      <c r="I2" s="56"/>
      <c r="J2" s="56"/>
      <c r="K2" s="56"/>
      <c r="L2" s="56"/>
      <c r="M2" s="56"/>
      <c r="N2" s="56"/>
      <c r="O2" s="56"/>
      <c r="P2" s="56"/>
      <c r="Q2" s="56"/>
      <c r="R2" s="48"/>
      <c r="S2" s="48"/>
      <c r="T2" s="48"/>
      <c r="U2" s="48"/>
      <c r="V2" s="48"/>
      <c r="W2" s="48"/>
      <c r="X2" s="48"/>
      <c r="Y2" s="48"/>
      <c r="Z2" s="48"/>
    </row>
    <row r="3" spans="1:26" ht="30" customHeight="1">
      <c r="A3" s="168" t="s">
        <v>1161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row>
    <row r="4" spans="1:26">
      <c r="A4" s="46"/>
      <c r="B4" s="46"/>
      <c r="C4" s="46"/>
      <c r="D4" s="46"/>
      <c r="E4" s="46"/>
      <c r="F4" s="46"/>
      <c r="G4" s="46"/>
      <c r="H4" s="46"/>
      <c r="I4" s="46"/>
      <c r="J4" s="46"/>
      <c r="K4" s="46"/>
      <c r="L4" s="46"/>
      <c r="M4" s="46"/>
      <c r="N4" s="46"/>
      <c r="O4" s="46"/>
      <c r="P4" s="46"/>
      <c r="Q4" s="46"/>
      <c r="R4" s="48"/>
      <c r="S4" s="48"/>
      <c r="T4" s="48"/>
      <c r="U4" s="48"/>
      <c r="V4" s="48"/>
      <c r="W4" s="48"/>
      <c r="X4" s="48"/>
      <c r="Y4" s="48"/>
      <c r="Z4" s="48"/>
    </row>
    <row r="5" spans="1:26" ht="21.95" customHeight="1">
      <c r="A5" s="57" t="s">
        <v>2954</v>
      </c>
      <c r="B5" s="57"/>
      <c r="C5" s="57"/>
      <c r="D5" s="57"/>
      <c r="E5" s="57"/>
      <c r="F5" s="57"/>
      <c r="G5" s="57"/>
      <c r="H5" s="57"/>
      <c r="I5" s="57"/>
      <c r="J5" s="57"/>
      <c r="K5" s="57"/>
      <c r="L5" s="57"/>
      <c r="M5" s="57"/>
      <c r="N5" s="57"/>
      <c r="O5" s="57"/>
      <c r="P5" s="57"/>
      <c r="Q5" s="57"/>
      <c r="R5" s="48"/>
      <c r="S5" s="48"/>
      <c r="T5" s="48"/>
      <c r="U5" s="48"/>
      <c r="V5" s="48"/>
      <c r="W5" s="48"/>
      <c r="X5" s="48"/>
      <c r="Y5" s="48"/>
      <c r="Z5" s="48"/>
    </row>
    <row r="6" spans="1:26" ht="33.950000000000003" customHeight="1">
      <c r="A6" s="36" t="s">
        <v>1772</v>
      </c>
      <c r="B6" s="36" t="s">
        <v>2779</v>
      </c>
      <c r="C6" s="36" t="s">
        <v>1757</v>
      </c>
      <c r="D6" s="36" t="s">
        <v>2955</v>
      </c>
      <c r="E6" s="36" t="s">
        <v>1817</v>
      </c>
      <c r="F6" s="36" t="s">
        <v>2956</v>
      </c>
      <c r="G6" s="36" t="s">
        <v>2578</v>
      </c>
      <c r="H6" s="36" t="s">
        <v>578</v>
      </c>
      <c r="I6" s="36" t="s">
        <v>2781</v>
      </c>
      <c r="J6" s="36" t="s">
        <v>2783</v>
      </c>
      <c r="K6" s="36" t="s">
        <v>2957</v>
      </c>
      <c r="L6" s="36" t="s">
        <v>340</v>
      </c>
      <c r="M6" s="36" t="s">
        <v>145</v>
      </c>
      <c r="N6" s="36" t="s">
        <v>129</v>
      </c>
      <c r="O6" s="36" t="s">
        <v>2958</v>
      </c>
      <c r="P6" s="36" t="s">
        <v>144</v>
      </c>
      <c r="Q6" s="36" t="s">
        <v>70</v>
      </c>
      <c r="R6" s="48"/>
      <c r="S6" s="48"/>
      <c r="T6" s="48"/>
      <c r="U6" s="48"/>
      <c r="V6" s="48"/>
      <c r="W6" s="48"/>
      <c r="X6" s="48"/>
      <c r="Y6" s="48"/>
      <c r="Z6" s="48"/>
    </row>
    <row r="7" spans="1:26">
      <c r="A7" s="37" t="s">
        <v>2959</v>
      </c>
      <c r="B7" s="37"/>
      <c r="C7" s="37"/>
      <c r="D7" s="37"/>
      <c r="E7" s="37"/>
      <c r="F7" s="37" t="s">
        <v>2960</v>
      </c>
      <c r="G7" s="37"/>
      <c r="H7" s="37"/>
      <c r="I7" s="37"/>
      <c r="J7" s="37"/>
      <c r="K7" s="37"/>
      <c r="L7" s="42"/>
      <c r="M7" s="37" t="s">
        <v>152</v>
      </c>
      <c r="N7" s="37"/>
      <c r="O7" s="42"/>
      <c r="P7" s="37"/>
      <c r="Q7" s="37"/>
      <c r="R7" s="48"/>
      <c r="S7" s="48"/>
      <c r="T7" s="48"/>
      <c r="U7" s="48"/>
      <c r="V7" s="48"/>
      <c r="W7" s="48"/>
      <c r="X7" s="48"/>
      <c r="Y7" s="48"/>
      <c r="Z7" s="48"/>
    </row>
    <row r="8" spans="1:26">
      <c r="A8" s="37" t="s">
        <v>2959</v>
      </c>
      <c r="B8" s="37"/>
      <c r="C8" s="37"/>
      <c r="D8" s="37"/>
      <c r="E8" s="37"/>
      <c r="F8" s="37" t="s">
        <v>2960</v>
      </c>
      <c r="G8" s="37"/>
      <c r="H8" s="37"/>
      <c r="I8" s="37"/>
      <c r="J8" s="37"/>
      <c r="K8" s="37"/>
      <c r="L8" s="42"/>
      <c r="M8" s="37" t="s">
        <v>152</v>
      </c>
      <c r="N8" s="37"/>
      <c r="O8" s="42"/>
      <c r="P8" s="37"/>
      <c r="Q8" s="37"/>
      <c r="R8" s="48"/>
      <c r="S8" s="48"/>
      <c r="T8" s="48"/>
      <c r="U8" s="48"/>
      <c r="V8" s="48"/>
      <c r="W8" s="48"/>
      <c r="X8" s="48"/>
      <c r="Y8" s="48"/>
      <c r="Z8" s="48"/>
    </row>
    <row r="9" spans="1:26">
      <c r="A9" s="37" t="s">
        <v>2959</v>
      </c>
      <c r="B9" s="37"/>
      <c r="C9" s="37"/>
      <c r="D9" s="37"/>
      <c r="E9" s="37"/>
      <c r="F9" s="37" t="s">
        <v>2960</v>
      </c>
      <c r="G9" s="37"/>
      <c r="H9" s="37"/>
      <c r="I9" s="37"/>
      <c r="J9" s="37"/>
      <c r="K9" s="37"/>
      <c r="L9" s="42"/>
      <c r="M9" s="37" t="s">
        <v>152</v>
      </c>
      <c r="N9" s="37"/>
      <c r="O9" s="42"/>
      <c r="P9" s="37"/>
      <c r="Q9" s="37"/>
      <c r="R9" s="48"/>
      <c r="S9" s="48"/>
      <c r="T9" s="48"/>
      <c r="U9" s="48"/>
      <c r="V9" s="48"/>
      <c r="W9" s="48"/>
      <c r="X9" s="48"/>
      <c r="Y9" s="48"/>
      <c r="Z9" s="48"/>
    </row>
    <row r="10" spans="1:26">
      <c r="A10" s="37" t="s">
        <v>2959</v>
      </c>
      <c r="B10" s="37"/>
      <c r="C10" s="37"/>
      <c r="D10" s="37"/>
      <c r="E10" s="37"/>
      <c r="F10" s="37" t="s">
        <v>2960</v>
      </c>
      <c r="G10" s="37"/>
      <c r="H10" s="37"/>
      <c r="I10" s="37"/>
      <c r="J10" s="37"/>
      <c r="K10" s="37"/>
      <c r="L10" s="42"/>
      <c r="M10" s="37" t="s">
        <v>152</v>
      </c>
      <c r="N10" s="37"/>
      <c r="O10" s="42"/>
      <c r="P10" s="37"/>
      <c r="Q10" s="37"/>
      <c r="R10" s="48"/>
      <c r="S10" s="48"/>
      <c r="T10" s="48"/>
      <c r="U10" s="48"/>
      <c r="V10" s="48"/>
      <c r="W10" s="48"/>
      <c r="X10" s="48"/>
      <c r="Y10" s="48"/>
      <c r="Z10" s="48"/>
    </row>
    <row r="11" spans="1:26">
      <c r="A11" s="37" t="s">
        <v>2959</v>
      </c>
      <c r="B11" s="37"/>
      <c r="C11" s="37"/>
      <c r="D11" s="37"/>
      <c r="E11" s="37"/>
      <c r="F11" s="37" t="s">
        <v>2960</v>
      </c>
      <c r="G11" s="37"/>
      <c r="H11" s="37"/>
      <c r="I11" s="37"/>
      <c r="J11" s="37"/>
      <c r="K11" s="37"/>
      <c r="L11" s="42"/>
      <c r="M11" s="37" t="s">
        <v>152</v>
      </c>
      <c r="N11" s="37"/>
      <c r="O11" s="42"/>
      <c r="P11" s="37"/>
      <c r="Q11" s="37"/>
      <c r="R11" s="48"/>
      <c r="S11" s="48"/>
      <c r="T11" s="48"/>
      <c r="U11" s="48"/>
      <c r="V11" s="48"/>
      <c r="W11" s="48"/>
      <c r="X11" s="48"/>
      <c r="Y11" s="48"/>
      <c r="Z11" s="48"/>
    </row>
    <row r="12" spans="1:26">
      <c r="A12" s="37" t="s">
        <v>2959</v>
      </c>
      <c r="B12" s="37"/>
      <c r="C12" s="37"/>
      <c r="D12" s="37"/>
      <c r="E12" s="37"/>
      <c r="F12" s="37" t="s">
        <v>2960</v>
      </c>
      <c r="G12" s="37"/>
      <c r="H12" s="37"/>
      <c r="I12" s="37"/>
      <c r="J12" s="37"/>
      <c r="K12" s="37"/>
      <c r="L12" s="42"/>
      <c r="M12" s="37" t="s">
        <v>152</v>
      </c>
      <c r="N12" s="37"/>
      <c r="O12" s="42"/>
      <c r="P12" s="37"/>
      <c r="Q12" s="37"/>
      <c r="R12" s="48"/>
      <c r="S12" s="48"/>
      <c r="T12" s="48"/>
      <c r="U12" s="48"/>
      <c r="V12" s="48"/>
      <c r="W12" s="48"/>
      <c r="X12" s="48"/>
      <c r="Y12" s="48"/>
      <c r="Z12" s="48"/>
    </row>
    <row r="13" spans="1:26">
      <c r="A13" s="37" t="s">
        <v>2959</v>
      </c>
      <c r="B13" s="37"/>
      <c r="C13" s="37"/>
      <c r="D13" s="37"/>
      <c r="E13" s="37"/>
      <c r="F13" s="37" t="s">
        <v>2960</v>
      </c>
      <c r="G13" s="37"/>
      <c r="H13" s="37"/>
      <c r="I13" s="37"/>
      <c r="J13" s="37"/>
      <c r="K13" s="37"/>
      <c r="L13" s="42"/>
      <c r="M13" s="37" t="s">
        <v>152</v>
      </c>
      <c r="N13" s="37"/>
      <c r="O13" s="42"/>
      <c r="P13" s="37"/>
      <c r="Q13" s="37"/>
      <c r="R13" s="48"/>
      <c r="S13" s="48"/>
      <c r="T13" s="48"/>
      <c r="U13" s="48"/>
      <c r="V13" s="48"/>
      <c r="W13" s="48"/>
      <c r="X13" s="48"/>
      <c r="Y13" s="48"/>
      <c r="Z13" s="48"/>
    </row>
    <row r="14" spans="1:26">
      <c r="A14" s="37" t="s">
        <v>2959</v>
      </c>
      <c r="B14" s="37"/>
      <c r="C14" s="37"/>
      <c r="D14" s="37"/>
      <c r="E14" s="37"/>
      <c r="F14" s="37" t="s">
        <v>2960</v>
      </c>
      <c r="G14" s="37"/>
      <c r="H14" s="37"/>
      <c r="I14" s="37"/>
      <c r="J14" s="37"/>
      <c r="K14" s="37"/>
      <c r="L14" s="42"/>
      <c r="M14" s="37" t="s">
        <v>152</v>
      </c>
      <c r="N14" s="37"/>
      <c r="O14" s="42"/>
      <c r="P14" s="37"/>
      <c r="Q14" s="37"/>
      <c r="R14" s="48"/>
      <c r="S14" s="48"/>
      <c r="T14" s="48"/>
      <c r="U14" s="48"/>
      <c r="V14" s="48"/>
      <c r="W14" s="48"/>
      <c r="X14" s="48"/>
      <c r="Y14" s="48"/>
      <c r="Z14" s="48"/>
    </row>
    <row r="15" spans="1:26">
      <c r="A15" s="37" t="s">
        <v>2959</v>
      </c>
      <c r="B15" s="37"/>
      <c r="C15" s="37"/>
      <c r="D15" s="37"/>
      <c r="E15" s="37"/>
      <c r="F15" s="37" t="s">
        <v>2960</v>
      </c>
      <c r="G15" s="37"/>
      <c r="H15" s="37"/>
      <c r="I15" s="37"/>
      <c r="J15" s="37"/>
      <c r="K15" s="37"/>
      <c r="L15" s="42"/>
      <c r="M15" s="37" t="s">
        <v>152</v>
      </c>
      <c r="N15" s="37"/>
      <c r="O15" s="42"/>
      <c r="P15" s="37"/>
      <c r="Q15" s="37"/>
      <c r="R15" s="48"/>
      <c r="S15" s="48"/>
      <c r="T15" s="48"/>
      <c r="U15" s="48"/>
      <c r="V15" s="48"/>
      <c r="W15" s="48"/>
      <c r="X15" s="48"/>
      <c r="Y15" s="48"/>
      <c r="Z15" s="48"/>
    </row>
    <row r="16" spans="1:26">
      <c r="A16" s="37" t="s">
        <v>2959</v>
      </c>
      <c r="B16" s="37"/>
      <c r="C16" s="37"/>
      <c r="D16" s="37"/>
      <c r="E16" s="37"/>
      <c r="F16" s="37" t="s">
        <v>2960</v>
      </c>
      <c r="G16" s="37"/>
      <c r="H16" s="37"/>
      <c r="I16" s="37"/>
      <c r="J16" s="37"/>
      <c r="K16" s="37"/>
      <c r="L16" s="42"/>
      <c r="M16" s="37" t="s">
        <v>152</v>
      </c>
      <c r="N16" s="37"/>
      <c r="O16" s="42"/>
      <c r="P16" s="37"/>
      <c r="Q16" s="37"/>
      <c r="R16" s="48"/>
      <c r="S16" s="48"/>
      <c r="T16" s="48"/>
      <c r="U16" s="48"/>
      <c r="V16" s="48"/>
      <c r="W16" s="48"/>
      <c r="X16" s="48"/>
      <c r="Y16" s="48"/>
      <c r="Z16" s="48"/>
    </row>
    <row r="17" spans="1:26">
      <c r="A17" s="37" t="s">
        <v>2959</v>
      </c>
      <c r="B17" s="37"/>
      <c r="C17" s="37"/>
      <c r="D17" s="37"/>
      <c r="E17" s="37"/>
      <c r="F17" s="37" t="s">
        <v>2960</v>
      </c>
      <c r="G17" s="37"/>
      <c r="H17" s="37"/>
      <c r="I17" s="37"/>
      <c r="J17" s="37"/>
      <c r="K17" s="37"/>
      <c r="L17" s="42"/>
      <c r="M17" s="37" t="s">
        <v>152</v>
      </c>
      <c r="N17" s="37"/>
      <c r="O17" s="42"/>
      <c r="P17" s="37"/>
      <c r="Q17" s="37"/>
      <c r="R17" s="48"/>
      <c r="S17" s="48"/>
      <c r="T17" s="48"/>
      <c r="U17" s="48"/>
      <c r="V17" s="48"/>
      <c r="W17" s="48"/>
      <c r="X17" s="48"/>
      <c r="Y17" s="48"/>
      <c r="Z17" s="48"/>
    </row>
    <row r="18" spans="1:26">
      <c r="A18" s="37" t="s">
        <v>2959</v>
      </c>
      <c r="B18" s="37"/>
      <c r="C18" s="37"/>
      <c r="D18" s="37"/>
      <c r="E18" s="37"/>
      <c r="F18" s="37" t="s">
        <v>2960</v>
      </c>
      <c r="G18" s="37"/>
      <c r="H18" s="37"/>
      <c r="I18" s="37"/>
      <c r="J18" s="37"/>
      <c r="K18" s="37"/>
      <c r="L18" s="42"/>
      <c r="M18" s="37" t="s">
        <v>152</v>
      </c>
      <c r="N18" s="37"/>
      <c r="O18" s="42"/>
      <c r="P18" s="37"/>
      <c r="Q18" s="37"/>
      <c r="R18" s="48"/>
      <c r="S18" s="48"/>
      <c r="T18" s="48"/>
      <c r="U18" s="48"/>
      <c r="V18" s="48"/>
      <c r="W18" s="48"/>
      <c r="X18" s="48"/>
      <c r="Y18" s="48"/>
      <c r="Z18" s="48"/>
    </row>
    <row r="19" spans="1:26">
      <c r="A19" s="46"/>
      <c r="B19" s="46"/>
      <c r="C19" s="46"/>
      <c r="D19" s="46"/>
      <c r="E19" s="46"/>
      <c r="F19" s="46"/>
      <c r="G19" s="46"/>
      <c r="H19" s="46"/>
      <c r="I19" s="46"/>
      <c r="J19" s="46"/>
      <c r="K19" s="46"/>
      <c r="L19" s="46"/>
      <c r="M19" s="46"/>
      <c r="N19" s="46"/>
      <c r="O19" s="46"/>
      <c r="P19" s="46"/>
      <c r="Q19" s="46"/>
      <c r="R19" s="48"/>
      <c r="S19" s="48"/>
      <c r="T19" s="48"/>
      <c r="U19" s="48"/>
      <c r="V19" s="48"/>
      <c r="W19" s="48"/>
      <c r="X19" s="48"/>
      <c r="Y19" s="48"/>
      <c r="Z19" s="48"/>
    </row>
    <row r="20" spans="1:26" ht="21.95" customHeight="1">
      <c r="A20" s="57" t="s">
        <v>2961</v>
      </c>
      <c r="B20" s="57"/>
      <c r="C20" s="57"/>
      <c r="D20" s="57"/>
      <c r="E20" s="57"/>
      <c r="F20" s="57"/>
      <c r="G20" s="57"/>
      <c r="H20" s="57"/>
      <c r="I20" s="57"/>
      <c r="J20" s="57"/>
      <c r="K20" s="57"/>
      <c r="L20" s="57"/>
      <c r="M20" s="57"/>
      <c r="N20" s="57"/>
      <c r="O20" s="57"/>
      <c r="P20" s="57"/>
      <c r="Q20" s="57"/>
      <c r="R20" s="48"/>
      <c r="S20" s="48"/>
      <c r="T20" s="48"/>
      <c r="U20" s="48"/>
      <c r="V20" s="48"/>
      <c r="W20" s="48"/>
      <c r="X20" s="48"/>
      <c r="Y20" s="48"/>
      <c r="Z20" s="48"/>
    </row>
    <row r="21" spans="1:26" ht="33.950000000000003" customHeight="1">
      <c r="A21" s="36" t="s">
        <v>1743</v>
      </c>
      <c r="B21" s="36" t="s">
        <v>523</v>
      </c>
      <c r="C21" s="36" t="s">
        <v>2962</v>
      </c>
      <c r="D21" s="36" t="s">
        <v>2963</v>
      </c>
      <c r="E21" s="36" t="s">
        <v>145</v>
      </c>
      <c r="F21" s="36" t="s">
        <v>70</v>
      </c>
      <c r="G21" s="36"/>
      <c r="H21" s="36"/>
      <c r="I21" s="36"/>
      <c r="J21" s="36"/>
      <c r="K21" s="36"/>
      <c r="L21" s="36"/>
      <c r="M21" s="36"/>
      <c r="N21" s="36"/>
      <c r="O21" s="36"/>
      <c r="P21" s="36"/>
      <c r="Q21" s="36"/>
      <c r="R21" s="48"/>
      <c r="S21" s="48"/>
      <c r="T21" s="48"/>
      <c r="U21" s="48"/>
      <c r="V21" s="48"/>
      <c r="W21" s="48"/>
      <c r="X21" s="48"/>
      <c r="Y21" s="48"/>
      <c r="Z21" s="48"/>
    </row>
    <row r="22" spans="1:26">
      <c r="A22" s="37" t="s">
        <v>730</v>
      </c>
      <c r="B22" s="37" t="s">
        <v>2964</v>
      </c>
      <c r="C22" s="37" t="s">
        <v>2965</v>
      </c>
      <c r="D22" s="37" t="s">
        <v>260</v>
      </c>
      <c r="E22" s="37" t="s">
        <v>152</v>
      </c>
      <c r="F22" s="37"/>
      <c r="G22" s="37"/>
      <c r="H22" s="37"/>
      <c r="I22" s="37"/>
      <c r="J22" s="37"/>
      <c r="K22" s="37"/>
      <c r="L22" s="37"/>
      <c r="M22" s="37"/>
      <c r="N22" s="37"/>
      <c r="O22" s="37"/>
      <c r="P22" s="37"/>
      <c r="Q22" s="37"/>
      <c r="R22" s="48"/>
      <c r="S22" s="48"/>
      <c r="T22" s="48"/>
      <c r="U22" s="48"/>
      <c r="V22" s="48"/>
      <c r="W22" s="48"/>
      <c r="X22" s="48"/>
      <c r="Y22" s="48"/>
      <c r="Z22" s="48"/>
    </row>
    <row r="23" spans="1:26">
      <c r="A23" s="37" t="s">
        <v>1823</v>
      </c>
      <c r="B23" s="37" t="s">
        <v>2966</v>
      </c>
      <c r="C23" s="37" t="s">
        <v>2967</v>
      </c>
      <c r="D23" s="37" t="s">
        <v>2968</v>
      </c>
      <c r="E23" s="37" t="s">
        <v>152</v>
      </c>
      <c r="F23" s="37"/>
      <c r="G23" s="37"/>
      <c r="H23" s="37"/>
      <c r="I23" s="37"/>
      <c r="J23" s="37"/>
      <c r="K23" s="37"/>
      <c r="L23" s="37"/>
      <c r="M23" s="37"/>
      <c r="N23" s="37"/>
      <c r="O23" s="37"/>
      <c r="P23" s="37"/>
      <c r="Q23" s="37"/>
      <c r="R23" s="48"/>
      <c r="S23" s="48"/>
      <c r="T23" s="48"/>
      <c r="U23" s="48"/>
      <c r="V23" s="48"/>
      <c r="W23" s="48"/>
      <c r="X23" s="48"/>
      <c r="Y23" s="48"/>
      <c r="Z23" s="48"/>
    </row>
    <row r="24" spans="1:26">
      <c r="A24" s="37" t="s">
        <v>176</v>
      </c>
      <c r="B24" s="37" t="s">
        <v>2969</v>
      </c>
      <c r="C24" s="37" t="s">
        <v>2970</v>
      </c>
      <c r="D24" s="37" t="s">
        <v>2971</v>
      </c>
      <c r="E24" s="37" t="s">
        <v>152</v>
      </c>
      <c r="F24" s="37"/>
      <c r="G24" s="37"/>
      <c r="H24" s="37"/>
      <c r="I24" s="37"/>
      <c r="J24" s="37"/>
      <c r="K24" s="37"/>
      <c r="L24" s="37"/>
      <c r="M24" s="37"/>
      <c r="N24" s="37"/>
      <c r="O24" s="37"/>
      <c r="P24" s="37"/>
      <c r="Q24" s="37"/>
      <c r="R24" s="48"/>
      <c r="S24" s="48"/>
      <c r="T24" s="48"/>
      <c r="U24" s="48"/>
      <c r="V24" s="48"/>
      <c r="W24" s="48"/>
      <c r="X24" s="48"/>
      <c r="Y24" s="48"/>
      <c r="Z24" s="48"/>
    </row>
    <row r="25" spans="1:26">
      <c r="A25" s="37" t="s">
        <v>211</v>
      </c>
      <c r="B25" s="37" t="s">
        <v>2969</v>
      </c>
      <c r="C25" s="37" t="s">
        <v>2972</v>
      </c>
      <c r="D25" s="37" t="s">
        <v>2973</v>
      </c>
      <c r="E25" s="37" t="s">
        <v>152</v>
      </c>
      <c r="F25" s="37"/>
      <c r="G25" s="37"/>
      <c r="H25" s="37"/>
      <c r="I25" s="37"/>
      <c r="J25" s="37"/>
      <c r="K25" s="37"/>
      <c r="L25" s="37"/>
      <c r="M25" s="37"/>
      <c r="N25" s="37"/>
      <c r="O25" s="37"/>
      <c r="P25" s="37"/>
      <c r="Q25" s="37"/>
      <c r="R25" s="48"/>
      <c r="S25" s="48"/>
      <c r="T25" s="48"/>
      <c r="U25" s="48"/>
      <c r="V25" s="48"/>
      <c r="W25" s="48"/>
      <c r="X25" s="48"/>
      <c r="Y25" s="48"/>
      <c r="Z25" s="48"/>
    </row>
    <row r="26" spans="1:26">
      <c r="A26" s="37" t="s">
        <v>2974</v>
      </c>
      <c r="B26" s="37" t="s">
        <v>2975</v>
      </c>
      <c r="C26" s="37" t="s">
        <v>2976</v>
      </c>
      <c r="D26" s="37" t="s">
        <v>2977</v>
      </c>
      <c r="E26" s="37" t="s">
        <v>152</v>
      </c>
      <c r="F26" s="37"/>
      <c r="G26" s="37"/>
      <c r="H26" s="37"/>
      <c r="I26" s="37"/>
      <c r="J26" s="37"/>
      <c r="K26" s="37"/>
      <c r="L26" s="37"/>
      <c r="M26" s="37"/>
      <c r="N26" s="37"/>
      <c r="O26" s="37"/>
      <c r="P26" s="37"/>
      <c r="Q26" s="37"/>
      <c r="R26" s="48"/>
      <c r="S26" s="48"/>
      <c r="T26" s="48"/>
      <c r="U26" s="48"/>
      <c r="V26" s="48"/>
      <c r="W26" s="48"/>
      <c r="X26" s="48"/>
      <c r="Y26" s="48"/>
      <c r="Z26" s="48"/>
    </row>
    <row r="27" spans="1:26">
      <c r="A27" s="46"/>
      <c r="B27" s="46"/>
      <c r="C27" s="46"/>
      <c r="D27" s="46"/>
      <c r="E27" s="46"/>
      <c r="F27" s="46"/>
      <c r="G27" s="46"/>
      <c r="H27" s="46"/>
      <c r="I27" s="46"/>
      <c r="J27" s="46"/>
      <c r="K27" s="46"/>
      <c r="L27" s="46"/>
      <c r="M27" s="46"/>
      <c r="N27" s="46"/>
      <c r="O27" s="46"/>
      <c r="P27" s="46"/>
      <c r="Q27" s="46"/>
      <c r="R27" s="48"/>
      <c r="S27" s="48"/>
      <c r="T27" s="48"/>
      <c r="U27" s="48"/>
      <c r="V27" s="48"/>
      <c r="W27" s="48"/>
      <c r="X27" s="48"/>
      <c r="Y27" s="48"/>
      <c r="Z27" s="48"/>
    </row>
    <row r="28" spans="1:26">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sheetData>
  <mergeCells count="2">
    <mergeCell ref="A3:Z3"/>
    <mergeCell ref="A1:Z1"/>
  </mergeCells>
  <dataValidations count="7">
    <dataValidation type="list" sqref="D5:D200" xr:uid="{00000000-0002-0000-2A00-000000000000}">
      <formula1>"Artwork / label,Formula / ingredient,Formula version / pH / process,Packaging / component,Supplier / raw material,Claims / marketing copy,Market / language / regulatory,Manufacturing / GMP / process,Other"</formula1>
    </dataValidation>
    <dataValidation type="list" sqref="L5:L200" xr:uid="{00000000-0002-0000-2A00-000001000000}">
      <formula1>"Low,Medium,High,Critical"</formula1>
    </dataValidation>
    <dataValidation type="list" sqref="Q5:Q200" xr:uid="{00000000-0002-0000-2A00-000002000000}">
      <formula1>"Yes,No,N/A"</formula1>
    </dataValidation>
    <dataValidation type="list" sqref="S5:S200" xr:uid="{00000000-0002-0000-2A00-000003000000}">
      <formula1>"Pending,Acknowledged,N/A"</formula1>
    </dataValidation>
    <dataValidation type="list" sqref="V5:V200" xr:uid="{00000000-0002-0000-2A00-000004000000}">
      <formula1>"Not Started,In Progress,Awaiting Review,Approved,Implemented,Closed,Rejected,On Hold"</formula1>
    </dataValidation>
    <dataValidation type="list" allowBlank="1" sqref="F7:F18" xr:uid="{00000000-0002-0000-2A00-000005000000}">
      <formula1>"Low,Medium,High,Critical,N/A"</formula1>
    </dataValidation>
    <dataValidation type="list" allowBlank="1" sqref="E22:E26 M7:N18" xr:uid="{00000000-0002-0000-2A00-000006000000}">
      <formula1>"Not Started,In Progress,Needs Review,Complete,Not Applicable,Blocked"</formula1>
    </dataValidation>
  </dataValidation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66CC"/>
  </sheetPr>
  <dimension ref="A1:H17"/>
  <sheetViews>
    <sheetView showGridLines="0" workbookViewId="0"/>
  </sheetViews>
  <sheetFormatPr defaultRowHeight="15"/>
  <cols>
    <col min="1" max="1" width="28" customWidth="1"/>
    <col min="2" max="2" width="38" customWidth="1"/>
    <col min="3" max="3" width="44" customWidth="1"/>
    <col min="4" max="4" width="42" customWidth="1"/>
    <col min="5" max="5" width="32" customWidth="1"/>
    <col min="6" max="6" width="40" customWidth="1"/>
    <col min="7" max="7" width="30" customWidth="1"/>
    <col min="8" max="8" width="18" customWidth="1"/>
  </cols>
  <sheetData>
    <row r="1" spans="1:8" s="48" customFormat="1">
      <c r="A1" s="188" t="s">
        <v>2897</v>
      </c>
      <c r="B1" s="188"/>
      <c r="C1" s="188"/>
      <c r="D1" s="188"/>
      <c r="E1" s="188"/>
      <c r="F1" s="188"/>
      <c r="G1" s="188"/>
      <c r="H1" s="188"/>
    </row>
    <row r="2" spans="1:8" ht="24" customHeight="1">
      <c r="A2" s="56" t="s">
        <v>0</v>
      </c>
      <c r="B2" s="56"/>
      <c r="C2" s="56"/>
      <c r="D2" s="56"/>
      <c r="E2" s="56"/>
      <c r="F2" s="56"/>
      <c r="G2" s="56"/>
      <c r="H2" s="56"/>
    </row>
    <row r="3" spans="1:8" ht="30" customHeight="1">
      <c r="A3" s="168" t="s">
        <v>2978</v>
      </c>
      <c r="B3" s="193"/>
      <c r="C3" s="193"/>
      <c r="D3" s="193"/>
      <c r="E3" s="193"/>
      <c r="F3" s="193"/>
      <c r="G3" s="193"/>
      <c r="H3" s="45"/>
    </row>
    <row r="4" spans="1:8" ht="30" customHeight="1">
      <c r="A4" s="44" t="s">
        <v>2979</v>
      </c>
      <c r="B4" s="44"/>
      <c r="C4" s="44"/>
      <c r="D4" s="44"/>
      <c r="E4" s="44"/>
      <c r="F4" s="44"/>
      <c r="G4" s="44"/>
      <c r="H4" s="44"/>
    </row>
    <row r="5" spans="1:8">
      <c r="A5" s="46"/>
      <c r="B5" s="46"/>
      <c r="C5" s="46"/>
      <c r="D5" s="46"/>
      <c r="E5" s="46"/>
      <c r="F5" s="46"/>
      <c r="G5" s="46"/>
      <c r="H5" s="46"/>
    </row>
    <row r="6" spans="1:8" ht="21.95" customHeight="1">
      <c r="A6" s="57" t="s">
        <v>2980</v>
      </c>
      <c r="B6" s="57"/>
      <c r="C6" s="57"/>
      <c r="D6" s="57"/>
      <c r="E6" s="57"/>
      <c r="F6" s="57"/>
      <c r="G6" s="57"/>
      <c r="H6" s="57"/>
    </row>
    <row r="7" spans="1:8" ht="33.950000000000003" customHeight="1">
      <c r="A7" s="36" t="s">
        <v>2784</v>
      </c>
      <c r="B7" s="36" t="s">
        <v>2981</v>
      </c>
      <c r="C7" s="36" t="s">
        <v>2982</v>
      </c>
      <c r="D7" s="36" t="s">
        <v>2983</v>
      </c>
      <c r="E7" s="36" t="s">
        <v>2984</v>
      </c>
      <c r="F7" s="36" t="s">
        <v>2985</v>
      </c>
      <c r="G7" s="36" t="s">
        <v>2986</v>
      </c>
      <c r="H7" s="36" t="s">
        <v>145</v>
      </c>
    </row>
    <row r="8" spans="1:8">
      <c r="A8" s="37" t="s">
        <v>2987</v>
      </c>
      <c r="B8" s="37" t="s">
        <v>2988</v>
      </c>
      <c r="C8" s="37" t="s">
        <v>2989</v>
      </c>
      <c r="D8" s="37" t="s">
        <v>2990</v>
      </c>
      <c r="E8" s="37" t="s">
        <v>2991</v>
      </c>
      <c r="F8" s="37" t="s">
        <v>2992</v>
      </c>
      <c r="G8" s="37" t="s">
        <v>260</v>
      </c>
      <c r="H8" s="37" t="s">
        <v>152</v>
      </c>
    </row>
    <row r="9" spans="1:8">
      <c r="A9" s="37" t="s">
        <v>2793</v>
      </c>
      <c r="B9" s="37" t="s">
        <v>2993</v>
      </c>
      <c r="C9" s="37" t="s">
        <v>2994</v>
      </c>
      <c r="D9" s="37" t="s">
        <v>2995</v>
      </c>
      <c r="E9" s="37" t="s">
        <v>2996</v>
      </c>
      <c r="F9" s="37" t="s">
        <v>2997</v>
      </c>
      <c r="G9" s="37" t="s">
        <v>2998</v>
      </c>
      <c r="H9" s="37" t="s">
        <v>152</v>
      </c>
    </row>
    <row r="10" spans="1:8">
      <c r="A10" s="37" t="s">
        <v>2999</v>
      </c>
      <c r="B10" s="37" t="s">
        <v>3000</v>
      </c>
      <c r="C10" s="37" t="s">
        <v>3001</v>
      </c>
      <c r="D10" s="37" t="s">
        <v>3002</v>
      </c>
      <c r="E10" s="37" t="s">
        <v>3003</v>
      </c>
      <c r="F10" s="37" t="s">
        <v>3004</v>
      </c>
      <c r="G10" s="37" t="s">
        <v>2968</v>
      </c>
      <c r="H10" s="37" t="s">
        <v>152</v>
      </c>
    </row>
    <row r="11" spans="1:8">
      <c r="A11" s="37" t="s">
        <v>3005</v>
      </c>
      <c r="B11" s="37" t="s">
        <v>3006</v>
      </c>
      <c r="C11" s="37" t="s">
        <v>3007</v>
      </c>
      <c r="D11" s="37" t="s">
        <v>3008</v>
      </c>
      <c r="E11" s="37" t="s">
        <v>3009</v>
      </c>
      <c r="F11" s="37" t="s">
        <v>3010</v>
      </c>
      <c r="G11" s="37" t="s">
        <v>3011</v>
      </c>
      <c r="H11" s="37" t="s">
        <v>152</v>
      </c>
    </row>
    <row r="12" spans="1:8">
      <c r="A12" s="37" t="s">
        <v>3012</v>
      </c>
      <c r="B12" s="37" t="s">
        <v>3013</v>
      </c>
      <c r="C12" s="37" t="s">
        <v>3014</v>
      </c>
      <c r="D12" s="37" t="s">
        <v>3015</v>
      </c>
      <c r="E12" s="37" t="s">
        <v>3016</v>
      </c>
      <c r="F12" s="37" t="s">
        <v>3017</v>
      </c>
      <c r="G12" s="37" t="s">
        <v>260</v>
      </c>
      <c r="H12" s="37" t="s">
        <v>152</v>
      </c>
    </row>
    <row r="13" spans="1:8">
      <c r="A13" s="46"/>
      <c r="B13" s="46"/>
      <c r="C13" s="46"/>
      <c r="D13" s="46"/>
      <c r="E13" s="46"/>
      <c r="F13" s="46"/>
      <c r="G13" s="46"/>
      <c r="H13" s="46"/>
    </row>
    <row r="14" spans="1:8">
      <c r="A14" s="48"/>
      <c r="B14" s="48"/>
      <c r="C14" s="48"/>
      <c r="D14" s="48"/>
      <c r="E14" s="48"/>
      <c r="F14" s="48"/>
      <c r="G14" s="48"/>
      <c r="H14" s="48"/>
    </row>
    <row r="15" spans="1:8">
      <c r="A15" s="48"/>
      <c r="B15" s="48"/>
      <c r="C15" s="48"/>
      <c r="D15" s="48"/>
      <c r="E15" s="48"/>
      <c r="F15" s="48"/>
      <c r="G15" s="48"/>
      <c r="H15" s="48"/>
    </row>
    <row r="16" spans="1:8">
      <c r="A16" s="48"/>
      <c r="B16" s="48"/>
      <c r="C16" s="48"/>
      <c r="D16" s="48"/>
      <c r="E16" s="48"/>
      <c r="F16" s="48"/>
      <c r="G16" s="48"/>
      <c r="H16" s="48"/>
    </row>
    <row r="17" spans="1:8">
      <c r="A17" s="48"/>
      <c r="B17" s="48"/>
      <c r="C17" s="48"/>
      <c r="D17" s="48"/>
      <c r="E17" s="48"/>
      <c r="F17" s="48"/>
      <c r="G17" s="48"/>
      <c r="H17" s="48"/>
    </row>
  </sheetData>
  <mergeCells count="2">
    <mergeCell ref="A3:G3"/>
    <mergeCell ref="A1:H1"/>
  </mergeCells>
  <dataValidations count="2">
    <dataValidation type="list" allowBlank="1" sqref="D8:D12" xr:uid="{00000000-0002-0000-2D00-000000000000}">
      <formula1>"Not Started,Approved,Conditional,Rejected,Needs Review,Not Applicable"</formula1>
    </dataValidation>
    <dataValidation type="list" allowBlank="1" sqref="F8:F12 H8:H12" xr:uid="{00000000-0002-0000-2D00-000001000000}">
      <formula1>"Not Started,In Progress,Needs Review,Complete,Not Applicable,Blocked"</formula1>
    </dataValidation>
  </dataValidation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D25"/>
  <sheetViews>
    <sheetView showGridLines="0" workbookViewId="0"/>
  </sheetViews>
  <sheetFormatPr defaultRowHeight="15"/>
  <cols>
    <col min="1" max="1" width="28" customWidth="1"/>
    <col min="2" max="2" width="16" customWidth="1"/>
    <col min="3" max="3" width="18" customWidth="1"/>
    <col min="4" max="4" width="50" customWidth="1"/>
    <col min="5" max="5" width="58.140625" customWidth="1"/>
    <col min="6" max="6" width="34.28515625" customWidth="1"/>
    <col min="7" max="7" width="18.7109375" customWidth="1"/>
    <col min="8" max="8" width="24.7109375" customWidth="1"/>
    <col min="9" max="9" width="18.7109375" customWidth="1"/>
    <col min="10" max="10" width="24.7109375" customWidth="1"/>
    <col min="11" max="12" width="16.7109375" customWidth="1"/>
    <col min="13" max="13" width="18.7109375" customWidth="1"/>
    <col min="14" max="14" width="32.7109375" customWidth="1"/>
  </cols>
  <sheetData>
    <row r="1" spans="1:4" s="48" customFormat="1">
      <c r="A1" s="190" t="s">
        <v>3018</v>
      </c>
      <c r="B1" s="190"/>
      <c r="C1" s="190"/>
      <c r="D1" s="190"/>
    </row>
    <row r="2" spans="1:4" ht="24" customHeight="1">
      <c r="A2" s="56" t="s">
        <v>0</v>
      </c>
      <c r="B2" s="56"/>
      <c r="C2" s="56"/>
      <c r="D2" s="56"/>
    </row>
    <row r="3" spans="1:4" ht="30" customHeight="1">
      <c r="A3" s="45" t="s">
        <v>3019</v>
      </c>
      <c r="B3" s="45"/>
      <c r="C3" s="45"/>
      <c r="D3" s="45"/>
    </row>
    <row r="4" spans="1:4" ht="30" customHeight="1">
      <c r="A4" s="44" t="s">
        <v>3020</v>
      </c>
      <c r="B4" s="44"/>
      <c r="C4" s="44"/>
      <c r="D4" s="44"/>
    </row>
    <row r="5" spans="1:4">
      <c r="A5" s="46"/>
      <c r="B5" s="46"/>
      <c r="C5" s="46"/>
      <c r="D5" s="46"/>
    </row>
    <row r="6" spans="1:4" ht="21.95" customHeight="1">
      <c r="A6" s="57" t="s">
        <v>3021</v>
      </c>
      <c r="B6" s="57"/>
      <c r="C6" s="57"/>
      <c r="D6" s="57"/>
    </row>
    <row r="7" spans="1:4" ht="33.950000000000003" customHeight="1">
      <c r="A7" s="36" t="s">
        <v>3022</v>
      </c>
      <c r="B7" s="36" t="s">
        <v>79</v>
      </c>
      <c r="C7" s="36" t="s">
        <v>3023</v>
      </c>
      <c r="D7" s="36" t="s">
        <v>70</v>
      </c>
    </row>
    <row r="8" spans="1:4">
      <c r="A8" s="37" t="s">
        <v>3024</v>
      </c>
      <c r="B8" s="37">
        <v>100</v>
      </c>
      <c r="C8" s="37" t="s">
        <v>3025</v>
      </c>
      <c r="D8" s="37" t="s">
        <v>3026</v>
      </c>
    </row>
    <row r="9" spans="1:4">
      <c r="A9" s="37" t="s">
        <v>3027</v>
      </c>
      <c r="B9" s="37">
        <v>100</v>
      </c>
      <c r="C9" s="37" t="s">
        <v>3028</v>
      </c>
      <c r="D9" s="37" t="s">
        <v>3029</v>
      </c>
    </row>
    <row r="10" spans="1:4">
      <c r="A10" s="37" t="s">
        <v>3030</v>
      </c>
      <c r="B10" s="37">
        <v>1000</v>
      </c>
      <c r="C10" s="37" t="s">
        <v>3031</v>
      </c>
      <c r="D10" s="37" t="s">
        <v>3032</v>
      </c>
    </row>
    <row r="11" spans="1:4">
      <c r="A11" s="37" t="s">
        <v>3033</v>
      </c>
      <c r="B11" s="40">
        <f>IFERROR(SUM('Tuan-Formula_BOM'!K8:K107),0)</f>
        <v>0</v>
      </c>
      <c r="C11" s="37" t="s">
        <v>3034</v>
      </c>
      <c r="D11" s="37" t="s">
        <v>3035</v>
      </c>
    </row>
    <row r="12" spans="1:4">
      <c r="A12" s="37" t="s">
        <v>3036</v>
      </c>
      <c r="B12" s="40">
        <f>IFERROR('Lily-Packaging_BOM'!H109,0)</f>
        <v>0</v>
      </c>
      <c r="C12" s="37" t="s">
        <v>3034</v>
      </c>
      <c r="D12" s="37" t="s">
        <v>3037</v>
      </c>
    </row>
    <row r="13" spans="1:4">
      <c r="A13" s="37" t="s">
        <v>3038</v>
      </c>
      <c r="B13" s="40">
        <v>0</v>
      </c>
      <c r="C13" s="37" t="s">
        <v>3039</v>
      </c>
      <c r="D13" s="37" t="s">
        <v>3040</v>
      </c>
    </row>
    <row r="14" spans="1:4">
      <c r="A14" s="37" t="s">
        <v>3041</v>
      </c>
      <c r="B14" s="40">
        <v>0</v>
      </c>
      <c r="C14" s="37" t="s">
        <v>3039</v>
      </c>
      <c r="D14" s="37" t="s">
        <v>3040</v>
      </c>
    </row>
    <row r="15" spans="1:4">
      <c r="A15" s="37" t="s">
        <v>3042</v>
      </c>
      <c r="B15" s="40">
        <v>0</v>
      </c>
      <c r="C15" s="37" t="s">
        <v>3039</v>
      </c>
      <c r="D15" s="37" t="s">
        <v>3040</v>
      </c>
    </row>
    <row r="16" spans="1:4">
      <c r="A16" s="37" t="s">
        <v>3043</v>
      </c>
      <c r="B16" s="37">
        <v>0.3</v>
      </c>
      <c r="C16" s="37" t="s">
        <v>3044</v>
      </c>
      <c r="D16" s="37" t="s">
        <v>3045</v>
      </c>
    </row>
    <row r="17" spans="1:4">
      <c r="A17" s="37" t="s">
        <v>3046</v>
      </c>
      <c r="B17" s="41">
        <v>0.05</v>
      </c>
      <c r="C17" s="37" t="s">
        <v>3044</v>
      </c>
      <c r="D17" s="37" t="s">
        <v>3047</v>
      </c>
    </row>
    <row r="18" spans="1:4">
      <c r="A18" s="46"/>
      <c r="B18" s="46"/>
      <c r="C18" s="46"/>
      <c r="D18" s="46"/>
    </row>
    <row r="19" spans="1:4" ht="21.95" customHeight="1">
      <c r="A19" s="57" t="s">
        <v>3048</v>
      </c>
      <c r="B19" s="57"/>
      <c r="C19" s="57"/>
      <c r="D19" s="57"/>
    </row>
    <row r="20" spans="1:4" ht="33.950000000000003" customHeight="1">
      <c r="A20" s="36" t="s">
        <v>3049</v>
      </c>
      <c r="B20" s="36" t="s">
        <v>79</v>
      </c>
      <c r="C20" s="36" t="s">
        <v>3023</v>
      </c>
      <c r="D20" s="36" t="s">
        <v>70</v>
      </c>
    </row>
    <row r="21" spans="1:4">
      <c r="A21" s="37" t="s">
        <v>3050</v>
      </c>
      <c r="B21" s="40">
        <f>IFERROR(SUM(B11:B14)*(1+B17),0)</f>
        <v>0</v>
      </c>
      <c r="C21" s="37" t="s">
        <v>3039</v>
      </c>
      <c r="D21" s="37" t="s">
        <v>3051</v>
      </c>
    </row>
    <row r="22" spans="1:4">
      <c r="A22" s="37" t="s">
        <v>3052</v>
      </c>
      <c r="B22" s="41" t="str">
        <f>IFERROR((B15-B21)/B15,"")</f>
        <v/>
      </c>
      <c r="C22" s="37" t="s">
        <v>3044</v>
      </c>
      <c r="D22" s="37" t="s">
        <v>3053</v>
      </c>
    </row>
    <row r="23" spans="1:4">
      <c r="A23" s="37" t="s">
        <v>3054</v>
      </c>
      <c r="B23" s="40">
        <f>IFERROR(B15*B10,0)</f>
        <v>0</v>
      </c>
      <c r="C23" s="37" t="s">
        <v>3039</v>
      </c>
      <c r="D23" s="37" t="s">
        <v>3055</v>
      </c>
    </row>
    <row r="24" spans="1:4">
      <c r="A24" s="37" t="s">
        <v>3056</v>
      </c>
      <c r="B24" s="40">
        <f>IFERROR((B15-B21)*B10,0)</f>
        <v>0</v>
      </c>
      <c r="C24" s="37" t="s">
        <v>3039</v>
      </c>
      <c r="D24" s="37" t="s">
        <v>3057</v>
      </c>
    </row>
    <row r="25" spans="1:4">
      <c r="A25" s="46"/>
      <c r="B25" s="46"/>
      <c r="C25" s="46"/>
      <c r="D25" s="46"/>
    </row>
  </sheetData>
  <mergeCells count="1">
    <mergeCell ref="A1:D1"/>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808080"/>
  </sheetPr>
  <dimension ref="A1:L22"/>
  <sheetViews>
    <sheetView showGridLines="0" workbookViewId="0">
      <selection activeCell="D31" sqref="D31"/>
    </sheetView>
  </sheetViews>
  <sheetFormatPr defaultRowHeight="15"/>
  <cols>
    <col min="1" max="1" width="53.42578125" customWidth="1"/>
    <col min="2" max="2" width="18" customWidth="1"/>
    <col min="3" max="3" width="16" customWidth="1"/>
    <col min="4" max="4" width="22" customWidth="1"/>
    <col min="5" max="5" width="38" customWidth="1"/>
    <col min="6" max="6" width="18" customWidth="1"/>
    <col min="7" max="8" width="30" customWidth="1"/>
    <col min="9" max="9" width="24" customWidth="1"/>
    <col min="10" max="10" width="18" customWidth="1"/>
    <col min="11" max="11" width="20" customWidth="1"/>
    <col min="12" max="12" width="34" customWidth="1"/>
  </cols>
  <sheetData>
    <row r="1" spans="1:12" s="48" customFormat="1">
      <c r="A1" s="190" t="s">
        <v>3018</v>
      </c>
      <c r="B1" s="190"/>
      <c r="C1" s="190"/>
      <c r="D1" s="190"/>
      <c r="E1" s="190"/>
      <c r="F1" s="190"/>
      <c r="G1" s="190"/>
      <c r="H1" s="190"/>
      <c r="I1" s="190"/>
      <c r="J1" s="190"/>
      <c r="K1" s="190"/>
      <c r="L1" s="190"/>
    </row>
    <row r="2" spans="1:12" ht="24" customHeight="1">
      <c r="A2" s="56" t="s">
        <v>0</v>
      </c>
      <c r="B2" s="56"/>
      <c r="C2" s="56"/>
      <c r="D2" s="56"/>
      <c r="E2" s="56"/>
      <c r="F2" s="56"/>
      <c r="G2" s="56"/>
      <c r="H2" s="56"/>
      <c r="I2" s="56"/>
      <c r="J2" s="56"/>
      <c r="K2" s="56"/>
      <c r="L2" s="56"/>
    </row>
    <row r="3" spans="1:12" ht="30" customHeight="1">
      <c r="A3" s="45" t="s">
        <v>3058</v>
      </c>
      <c r="B3" s="45"/>
      <c r="C3" s="45"/>
      <c r="D3" s="45"/>
      <c r="E3" s="45"/>
      <c r="F3" s="45"/>
      <c r="G3" s="45"/>
      <c r="H3" s="45"/>
      <c r="I3" s="45"/>
      <c r="J3" s="45"/>
      <c r="K3" s="45"/>
      <c r="L3" s="45"/>
    </row>
    <row r="4" spans="1:12" ht="30" customHeight="1">
      <c r="A4" s="44" t="s">
        <v>3059</v>
      </c>
      <c r="B4" s="44"/>
      <c r="C4" s="44"/>
      <c r="D4" s="44"/>
      <c r="E4" s="44"/>
      <c r="F4" s="44"/>
      <c r="G4" s="44"/>
      <c r="H4" s="44"/>
      <c r="I4" s="44"/>
      <c r="J4" s="44"/>
      <c r="K4" s="44"/>
      <c r="L4" s="44"/>
    </row>
    <row r="5" spans="1:12">
      <c r="A5" s="46"/>
      <c r="B5" s="46"/>
      <c r="C5" s="46"/>
      <c r="D5" s="46"/>
      <c r="E5" s="46"/>
      <c r="F5" s="46"/>
      <c r="G5" s="46"/>
      <c r="H5" s="46"/>
      <c r="I5" s="46"/>
      <c r="J5" s="46"/>
      <c r="K5" s="46"/>
      <c r="L5" s="46"/>
    </row>
    <row r="6" spans="1:12" ht="21.95" customHeight="1">
      <c r="A6" s="57" t="s">
        <v>3060</v>
      </c>
      <c r="B6" s="57"/>
      <c r="C6" s="57"/>
      <c r="D6" s="57"/>
      <c r="E6" s="57"/>
      <c r="F6" s="57"/>
      <c r="G6" s="57"/>
      <c r="H6" s="57"/>
      <c r="I6" s="57"/>
      <c r="J6" s="57"/>
      <c r="K6" s="57"/>
      <c r="L6" s="57"/>
    </row>
    <row r="7" spans="1:12" ht="33.950000000000003" customHeight="1">
      <c r="A7" s="36" t="s">
        <v>2621</v>
      </c>
      <c r="B7" s="36" t="s">
        <v>1757</v>
      </c>
      <c r="C7" s="36" t="s">
        <v>1892</v>
      </c>
      <c r="D7" s="36" t="s">
        <v>3061</v>
      </c>
      <c r="E7" s="36" t="s">
        <v>3062</v>
      </c>
      <c r="F7" s="36" t="s">
        <v>3063</v>
      </c>
      <c r="G7" s="36" t="s">
        <v>3064</v>
      </c>
      <c r="H7" s="36" t="s">
        <v>3065</v>
      </c>
      <c r="I7" s="36" t="s">
        <v>3066</v>
      </c>
      <c r="J7" s="36" t="s">
        <v>145</v>
      </c>
      <c r="K7" s="36" t="s">
        <v>144</v>
      </c>
      <c r="L7" s="36" t="s">
        <v>70</v>
      </c>
    </row>
    <row r="8" spans="1:12">
      <c r="A8" s="37"/>
      <c r="B8" s="37"/>
      <c r="C8" s="37"/>
      <c r="D8" s="37"/>
      <c r="E8" s="37"/>
      <c r="F8" s="37"/>
      <c r="G8" s="37"/>
      <c r="H8" s="37"/>
      <c r="I8" s="37"/>
      <c r="J8" s="37" t="s">
        <v>152</v>
      </c>
      <c r="K8" s="37"/>
      <c r="L8" s="37"/>
    </row>
    <row r="9" spans="1:12">
      <c r="A9" s="37"/>
      <c r="B9" s="37"/>
      <c r="C9" s="37"/>
      <c r="D9" s="37"/>
      <c r="E9" s="37"/>
      <c r="F9" s="37"/>
      <c r="G9" s="37"/>
      <c r="H9" s="37"/>
      <c r="I9" s="37"/>
      <c r="J9" s="37" t="s">
        <v>152</v>
      </c>
      <c r="K9" s="37"/>
      <c r="L9" s="37"/>
    </row>
    <row r="10" spans="1:12">
      <c r="A10" s="37"/>
      <c r="B10" s="37"/>
      <c r="C10" s="37"/>
      <c r="D10" s="37"/>
      <c r="E10" s="37"/>
      <c r="F10" s="37"/>
      <c r="G10" s="37"/>
      <c r="H10" s="37"/>
      <c r="I10" s="37"/>
      <c r="J10" s="37" t="s">
        <v>152</v>
      </c>
      <c r="K10" s="37"/>
      <c r="L10" s="37"/>
    </row>
    <row r="11" spans="1:12">
      <c r="A11" s="37"/>
      <c r="B11" s="37"/>
      <c r="C11" s="37"/>
      <c r="D11" s="37"/>
      <c r="E11" s="37"/>
      <c r="F11" s="37"/>
      <c r="G11" s="37"/>
      <c r="H11" s="37"/>
      <c r="I11" s="37"/>
      <c r="J11" s="37" t="s">
        <v>152</v>
      </c>
      <c r="K11" s="37"/>
      <c r="L11" s="37"/>
    </row>
    <row r="12" spans="1:12">
      <c r="A12" s="37"/>
      <c r="B12" s="37"/>
      <c r="C12" s="37"/>
      <c r="D12" s="37"/>
      <c r="E12" s="37"/>
      <c r="F12" s="37"/>
      <c r="G12" s="37"/>
      <c r="H12" s="37"/>
      <c r="I12" s="37"/>
      <c r="J12" s="37" t="s">
        <v>152</v>
      </c>
      <c r="K12" s="37"/>
      <c r="L12" s="37"/>
    </row>
    <row r="13" spans="1:12">
      <c r="A13" s="37"/>
      <c r="B13" s="37"/>
      <c r="C13" s="37"/>
      <c r="D13" s="37"/>
      <c r="E13" s="37"/>
      <c r="F13" s="37"/>
      <c r="G13" s="37"/>
      <c r="H13" s="37"/>
      <c r="I13" s="37"/>
      <c r="J13" s="37" t="s">
        <v>152</v>
      </c>
      <c r="K13" s="37"/>
      <c r="L13" s="37"/>
    </row>
    <row r="14" spans="1:12">
      <c r="A14" s="37"/>
      <c r="B14" s="37"/>
      <c r="C14" s="37"/>
      <c r="D14" s="37"/>
      <c r="E14" s="37"/>
      <c r="F14" s="37"/>
      <c r="G14" s="37"/>
      <c r="H14" s="37"/>
      <c r="I14" s="37"/>
      <c r="J14" s="37" t="s">
        <v>152</v>
      </c>
      <c r="K14" s="37"/>
      <c r="L14" s="37"/>
    </row>
    <row r="15" spans="1:12">
      <c r="A15" s="37"/>
      <c r="B15" s="37"/>
      <c r="C15" s="37"/>
      <c r="D15" s="37"/>
      <c r="E15" s="37"/>
      <c r="F15" s="37"/>
      <c r="G15" s="37"/>
      <c r="H15" s="37"/>
      <c r="I15" s="37"/>
      <c r="J15" s="37" t="s">
        <v>152</v>
      </c>
      <c r="K15" s="37"/>
      <c r="L15" s="37"/>
    </row>
    <row r="16" spans="1:12">
      <c r="A16" s="37"/>
      <c r="B16" s="37"/>
      <c r="C16" s="37"/>
      <c r="D16" s="37"/>
      <c r="E16" s="37"/>
      <c r="F16" s="37"/>
      <c r="G16" s="37"/>
      <c r="H16" s="37"/>
      <c r="I16" s="37"/>
      <c r="J16" s="37" t="s">
        <v>152</v>
      </c>
      <c r="K16" s="37"/>
      <c r="L16" s="37"/>
    </row>
    <row r="17" spans="1:12">
      <c r="A17" s="37"/>
      <c r="B17" s="37"/>
      <c r="C17" s="37"/>
      <c r="D17" s="37"/>
      <c r="E17" s="37"/>
      <c r="F17" s="37"/>
      <c r="G17" s="37"/>
      <c r="H17" s="37"/>
      <c r="I17" s="37"/>
      <c r="J17" s="37" t="s">
        <v>152</v>
      </c>
      <c r="K17" s="37"/>
      <c r="L17" s="37"/>
    </row>
    <row r="18" spans="1:12">
      <c r="A18" s="37"/>
      <c r="B18" s="37"/>
      <c r="C18" s="37"/>
      <c r="D18" s="37"/>
      <c r="E18" s="37"/>
      <c r="F18" s="37"/>
      <c r="G18" s="37"/>
      <c r="H18" s="37"/>
      <c r="I18" s="37"/>
      <c r="J18" s="37" t="s">
        <v>152</v>
      </c>
      <c r="K18" s="37"/>
      <c r="L18" s="37"/>
    </row>
    <row r="19" spans="1:12">
      <c r="A19" s="37"/>
      <c r="B19" s="37"/>
      <c r="C19" s="37"/>
      <c r="D19" s="37"/>
      <c r="E19" s="37"/>
      <c r="F19" s="37"/>
      <c r="G19" s="37"/>
      <c r="H19" s="37"/>
      <c r="I19" s="37"/>
      <c r="J19" s="37" t="s">
        <v>152</v>
      </c>
      <c r="K19" s="37"/>
      <c r="L19" s="37"/>
    </row>
    <row r="20" spans="1:12">
      <c r="A20" s="37"/>
      <c r="B20" s="37"/>
      <c r="C20" s="37"/>
      <c r="D20" s="37"/>
      <c r="E20" s="37"/>
      <c r="F20" s="37"/>
      <c r="G20" s="37"/>
      <c r="H20" s="37"/>
      <c r="I20" s="37"/>
      <c r="J20" s="37" t="s">
        <v>152</v>
      </c>
      <c r="K20" s="37"/>
      <c r="L20" s="37"/>
    </row>
    <row r="21" spans="1:12">
      <c r="A21" s="37"/>
      <c r="B21" s="37"/>
      <c r="C21" s="37"/>
      <c r="D21" s="37"/>
      <c r="E21" s="37"/>
      <c r="F21" s="37"/>
      <c r="G21" s="37"/>
      <c r="H21" s="37"/>
      <c r="I21" s="37"/>
      <c r="J21" s="37" t="s">
        <v>152</v>
      </c>
      <c r="K21" s="37"/>
      <c r="L21" s="37"/>
    </row>
    <row r="22" spans="1:12">
      <c r="A22" s="46"/>
      <c r="B22" s="46"/>
      <c r="C22" s="46"/>
      <c r="D22" s="46"/>
      <c r="E22" s="46"/>
      <c r="F22" s="46"/>
      <c r="G22" s="46"/>
      <c r="H22" s="46"/>
      <c r="I22" s="46"/>
      <c r="J22" s="46"/>
      <c r="K22" s="46"/>
      <c r="L22" s="46"/>
    </row>
  </sheetData>
  <mergeCells count="1">
    <mergeCell ref="A1:L1"/>
  </mergeCells>
  <dataValidations count="1">
    <dataValidation type="list" allowBlank="1" sqref="J8:J21" xr:uid="{00000000-0002-0000-2F00-000000000000}">
      <formula1>"Not Started,In Progress,Needs Review,Complete,Not Applicable,Blocked"</formula1>
    </dataValidation>
  </dataValidation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3D37-2A7F-488B-A4F1-410E531D3546}">
  <sheetPr>
    <tabColor rgb="FF00B050"/>
  </sheetPr>
  <dimension ref="A1:E2"/>
  <sheetViews>
    <sheetView topLeftCell="D1" workbookViewId="0">
      <selection activeCell="L18" sqref="L18"/>
    </sheetView>
  </sheetViews>
  <sheetFormatPr defaultRowHeight="15"/>
  <cols>
    <col min="1" max="1" width="27.42578125" customWidth="1"/>
    <col min="2" max="2" width="24.28515625" customWidth="1"/>
    <col min="3" max="3" width="47.42578125" customWidth="1"/>
    <col min="4" max="4" width="45.140625" customWidth="1"/>
  </cols>
  <sheetData>
    <row r="1" spans="1:5">
      <c r="A1" s="104" t="s">
        <v>3067</v>
      </c>
      <c r="B1" s="104" t="s">
        <v>494</v>
      </c>
      <c r="C1" s="104" t="s">
        <v>3068</v>
      </c>
      <c r="D1" s="104" t="s">
        <v>513</v>
      </c>
      <c r="E1" s="48"/>
    </row>
    <row r="2" spans="1:5">
      <c r="A2" s="48"/>
      <c r="B2" s="48"/>
      <c r="C2" s="48"/>
      <c r="D2" s="48"/>
      <c r="E2" s="4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6D50C2AF9764FA9F389C0308E8510" ma:contentTypeVersion="11" ma:contentTypeDescription="Create a new document." ma:contentTypeScope="" ma:versionID="aac9ea0744fa7486f5668dce8133f0de">
  <xsd:schema xmlns:xsd="http://www.w3.org/2001/XMLSchema" xmlns:xs="http://www.w3.org/2001/XMLSchema" xmlns:p="http://schemas.microsoft.com/office/2006/metadata/properties" xmlns:ns2="e49e6c88-aefc-4734-8a0c-fc8503f636ee" xmlns:ns3="55ea1998-c006-4ea4-8d54-ab62dffa7a30" targetNamespace="http://schemas.microsoft.com/office/2006/metadata/properties" ma:root="true" ma:fieldsID="5165946c65ea6089d7cf903074c55618" ns2:_="" ns3:_="">
    <xsd:import namespace="e49e6c88-aefc-4734-8a0c-fc8503f636ee"/>
    <xsd:import namespace="55ea1998-c006-4ea4-8d54-ab62dffa7a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9e6c88-aefc-4734-8a0c-fc8503f63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094b42-4483-4a3b-aa8d-9bc0638767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5ea1998-c006-4ea4-8d54-ab62dffa7a3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b0aaa23-2a92-4bd7-a8cb-6291b4981332}" ma:internalName="TaxCatchAll" ma:showField="CatchAllData" ma:web="55ea1998-c006-4ea4-8d54-ab62dffa7a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9e6c88-aefc-4734-8a0c-fc8503f636ee">
      <Terms xmlns="http://schemas.microsoft.com/office/infopath/2007/PartnerControls"/>
    </lcf76f155ced4ddcb4097134ff3c332f>
    <TaxCatchAll xmlns="55ea1998-c006-4ea4-8d54-ab62dffa7a30" xsi:nil="true"/>
  </documentManagement>
</p:properties>
</file>

<file path=customXml/itemProps1.xml><?xml version="1.0" encoding="utf-8"?>
<ds:datastoreItem xmlns:ds="http://schemas.openxmlformats.org/officeDocument/2006/customXml" ds:itemID="{D32748A7-5B95-4926-B5E1-6DEF4E52D962}"/>
</file>

<file path=customXml/itemProps2.xml><?xml version="1.0" encoding="utf-8"?>
<ds:datastoreItem xmlns:ds="http://schemas.openxmlformats.org/officeDocument/2006/customXml" ds:itemID="{046B1376-0F1F-4241-8E9C-8CC9B3840650}"/>
</file>

<file path=customXml/itemProps3.xml><?xml version="1.0" encoding="utf-8"?>
<ds:datastoreItem xmlns:ds="http://schemas.openxmlformats.org/officeDocument/2006/customXml" ds:itemID="{C8043F90-63CD-410B-9A0C-98BF6FF3E9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2026-07-01T23:27:06Z</dcterms:created>
  <dcterms:modified xsi:type="dcterms:W3CDTF">2026-07-24T06:38:36Z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0x0101003666D50C2AF9764FA9F389C0308E8510</vt:lpwstr>
  </property>
</Properties>
</file>